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d0387828f45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34002d86f3f4009"/>
    <x:sheet xmlns:r="http://schemas.openxmlformats.org/officeDocument/2006/relationships" name="Year 9 Architecture" sheetId="2" r:id="Rfd4f2e01a79748b7"/>
    <x:sheet xmlns:r="http://schemas.openxmlformats.org/officeDocument/2006/relationships" name="Year 10 Architecture" sheetId="3" r:id="R8b8acda6fcd44af1"/>
    <x:sheet xmlns:r="http://schemas.openxmlformats.org/officeDocument/2006/relationships" name="Reconnection Bank" sheetId="4" r:id="R3733e1320d414010"/>
    <x:sheet xmlns:r="http://schemas.openxmlformats.org/officeDocument/2006/relationships" name="Lesson Count Audit" sheetId="5" r:id="R0f3792df6e9944ae"/>
    <x:sheet xmlns:r="http://schemas.openxmlformats.org/officeDocument/2006/relationships" name="Resource Reuse" sheetId="6" r:id="Rd38803240113497d"/>
    <x:sheet xmlns:r="http://schemas.openxmlformats.org/officeDocument/2006/relationships" name="Sources &amp; Notes" sheetId="7" r:id="R3de26246f61443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F3429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b/>
      <x:sz val="11"/>
      <x:color rgb="FF2F3429"/>
      <x:name val="Carlito"/>
    </x:font>
    <x:font>
      <x:b/>
      <x:sz val="2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F5F45"/>
      </x:patternFill>
    </x:fill>
    <x:fill>
      <x:patternFill patternType="solid">
        <x:fgColor rgb="FFE8F0E3"/>
      </x:patternFill>
    </x:fill>
    <x:fill>
      <x:patternFill patternType="solid">
        <x:fgColor rgb="FF5C6B4F"/>
      </x:patternFill>
    </x:fill>
    <x:fill>
      <x:patternFill patternType="solid">
        <x:fgColor rgb="FFD8B26E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ill>
        <x:patternFill patternType="solid">
          <x:bgColor rgb="FFFFF1CF"/>
        </x:patternFill>
      </x:fill>
    </x:dxf>
    <x:dxf>
      <x:fill>
        <x:patternFill patternType="solid">
          <x:bgColor rgb="FFE8F0E3"/>
        </x:patternFill>
      </x:fill>
    </x:dxf>
    <x:dxf>
      <x:fill>
        <x:patternFill patternType="solid">
          <x:bgColor rgb="FFECE7F2"/>
        </x:patternFill>
      </x:fill>
    </x:dxf>
    <x:dxf>
      <x:fill>
        <x:patternFill patternType="solid">
          <x:bgColor rgb="FFF1E9DC"/>
        </x:patternFill>
      </x:fill>
    </x:dxf>
    <x:dxf>
      <x:fill>
        <x:patternFill patternType="solid">
          <x:bgColor rgb="FFE5EEF2"/>
        </x:patternFill>
      </x:fill>
    </x:dxf>
    <x:dxf>
      <x:fill>
        <x:patternFill patternType="solid">
          <x:bgColor rgb="FFECE7F2"/>
        </x:patternFill>
      </x:fill>
    </x:dxf>
    <x:dxf>
      <x:fill>
        <x:patternFill patternType="solid">
          <x:bgColor rgb="FFFFF1CF"/>
        </x:patternFill>
      </x:fill>
    </x:dxf>
    <x:dxf>
      <x:fill>
        <x:patternFill patternType="solid">
          <x:bgColor rgb="FFE8F0E3"/>
        </x:patternFill>
      </x:fill>
    </x:dxf>
    <x:dxf>
      <x:fill>
        <x:patternFill patternType="solid">
          <x:bgColor rgb="FFECE7F2"/>
        </x:patternFill>
      </x:fill>
    </x:dxf>
    <x:dxf>
      <x:fill>
        <x:patternFill patternType="solid">
          <x:bgColor rgb="FFF1E9DC"/>
        </x:patternFill>
      </x:fill>
    </x:dxf>
    <x:dxf>
      <x:fill>
        <x:patternFill patternType="solid">
          <x:bgColor rgb="FFE5EEF2"/>
        </x:patternFill>
      </x:fill>
    </x:dxf>
    <x:dxf>
      <x:fill>
        <x:patternFill patternType="solid">
          <x:bgColor rgb="FFECE7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7fc78ffa0d46be" /><Relationship Type="http://schemas.openxmlformats.org/officeDocument/2006/relationships/theme" Target="/xl/theme/theme1.xml" Id="Rd3c7594e78d44e0c" /><Relationship Type="http://schemas.openxmlformats.org/officeDocument/2006/relationships/sharedStrings" Target="/xl/sharedStrings.xml" Id="Re88453e0bee846d9" /><Relationship Type="http://schemas.openxmlformats.org/officeDocument/2006/relationships/worksheet" Target="/xl/worksheets/sheet1.xml" Id="R934002d86f3f4009" /><Relationship Type="http://schemas.openxmlformats.org/officeDocument/2006/relationships/worksheet" Target="/xl/worksheets/sheet2.xml" Id="Rfd4f2e01a79748b7" /><Relationship Type="http://schemas.openxmlformats.org/officeDocument/2006/relationships/worksheet" Target="/xl/worksheets/sheet3.xml" Id="R8b8acda6fcd44af1" /><Relationship Type="http://schemas.openxmlformats.org/officeDocument/2006/relationships/worksheet" Target="/xl/worksheets/sheet4.xml" Id="R3733e1320d414010" /><Relationship Type="http://schemas.openxmlformats.org/officeDocument/2006/relationships/worksheet" Target="/xl/worksheets/sheet5.xml" Id="R0f3792df6e9944ae" /><Relationship Type="http://schemas.openxmlformats.org/officeDocument/2006/relationships/worksheet" Target="/xl/worksheets/sheet6.xml" Id="Rd38803240113497d" /><Relationship Type="http://schemas.openxmlformats.org/officeDocument/2006/relationships/worksheet" Target="/xl/worksheets/sheet7.xml" Id="R3de26246f61443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59232504225435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Planned Session Mix by Route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Core</c:v>
          </c:tx>
          <c:cat>
            <c:strRef>
              <c:f>'Lesson Count Audit'!$A$5:$A$6</c:f>
              <c:strCache>
                <c:ptCount val="0"/>
              </c:strCache>
            </c:strRef>
          </c:cat>
          <c:val>
            <c:numRef>
              <c:f>'Lesson Count Audit'!$B$5:$B$6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Reconnection</c:v>
          </c:tx>
          <c:cat>
            <c:strRef>
              <c:f>'Lesson Count Audit'!$A$5:$A$6</c:f>
              <c:strCache>
                <c:ptCount val="0"/>
              </c:strCache>
            </c:strRef>
          </c:cat>
          <c:val>
            <c:numRef>
              <c:f>'Lesson Count Audit'!$C$5:$C$6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Consolidation / Mastery</c:v>
          </c:tx>
          <c:cat>
            <c:strRef>
              <c:f>'Lesson Count Audit'!$A$5:$A$6</c:f>
              <c:strCache>
                <c:ptCount val="0"/>
              </c:strCache>
            </c:strRef>
          </c:cat>
          <c:val>
            <c:numRef>
              <c:f>'Lesson Count Audit'!$D$5:$D$6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Extension / Portfolio</c:v>
          </c:tx>
          <c:cat>
            <c:strRef>
              <c:f>'Lesson Count Audit'!$A$5:$A$6</c:f>
              <c:strCache>
                <c:ptCount val="0"/>
              </c:strCache>
            </c:strRef>
          </c:cat>
          <c:val>
            <c:numRef>
              <c:f>'Lesson Count Audit'!$E$5:$E$6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Qualification Practice</c:v>
          </c:tx>
          <c:cat>
            <c:strRef>
              <c:f>'Lesson Count Audit'!$A$5:$A$6</c:f>
              <c:strCache>
                <c:ptCount val="0"/>
              </c:strCache>
            </c:strRef>
          </c:cat>
          <c:val>
            <c:numRef>
              <c:f>'Lesson Count Audit'!$F$5:$F$6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Portfolio / Pathway Review</c:v>
          </c:tx>
          <c:cat>
            <c:strRef>
              <c:f>'Lesson Count Audit'!$A$5:$A$6</c:f>
              <c:strCache>
                <c:ptCount val="0"/>
              </c:strCache>
            </c:strRef>
          </c:cat>
          <c:val>
            <c:numRef>
              <c:f>'Lesson Count Audit'!$G$5:$G$6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Total Sessions</c:v>
          </c:tx>
          <c:cat>
            <c:strRef>
              <c:f>'Lesson Count Audit'!$A$5:$A$6</c:f>
              <c:strCache>
                <c:ptCount val="0"/>
              </c:strCache>
            </c:strRef>
          </c:cat>
          <c:val>
            <c:numRef>
              <c:f>'Lesson Count Audit'!$H$5:$H$6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9232504225435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Y9LessonArchitecture" displayName="Y9LessonArchitecture" ref="A3:AB155" headerRowCount="1">
  <x:tableColumns count="28">
    <x:tableColumn id="1" name="Lesson ID"/>
    <x:tableColumn id="2" name="Route Session"/>
    <x:tableColumn id="3" name="Unit ID"/>
    <x:tableColumn id="4" name="Unit Sequence"/>
    <x:tableColumn id="5" name="Unit Title"/>
    <x:tableColumn id="6" name="Mathematical Strand"/>
    <x:tableColumn id="7" name="Lesson Sequence in Unit"/>
    <x:tableColumn id="8" name="Lesson Type"/>
    <x:tableColumn id="9" name="Lesson Title"/>
    <x:tableColumn id="10" name="Lesson Driving Question"/>
    <x:tableColumn id="11" name="Main Mathematical Move"/>
    <x:tableColumn id="12" name="Stepping Stone Focus"/>
    <x:tableColumn id="13" name="Prerequisite Check"/>
    <x:tableColumn id="14" name="Reconnection Route"/>
    <x:tableColumn id="15" name="Primary Cornerstone"/>
    <x:tableColumn id="16" name="Secondary Cornerstones"/>
    <x:tableColumn id="17" name="Interactive Resource"/>
    <x:tableColumn id="18" name="Resource / Tool Family"/>
    <x:tableColumn id="19" name="Scratchpad Preset"/>
    <x:tableColumn id="20" name="Practice Companion Focus"/>
    <x:tableColumn id="21" name="Evidence Opportunity"/>
    <x:tableColumn id="22" name="Mastery Check"/>
    <x:tableColumn id="23" name="Suggested Session Shape"/>
    <x:tableColumn id="24" name="Qualification Overlay"/>
    <x:tableColumn id="25" name="Sensory / Cognitive Load"/>
    <x:tableColumn id="26" name="Delivery Modes"/>
    <x:tableColumn id="27" name="Build Status"/>
    <x:tableColumn id="28" name="Design Note"/>
  </x:tableColumns>
  <x:tableStyleInfo name="TableStyleMedium2" showRowStripes="1"/>
</x:table>
</file>

<file path=xl/tables/table2.xml><?xml version="1.0" encoding="utf-8"?>
<x:table xmlns:x="http://schemas.openxmlformats.org/spreadsheetml/2006/main" id="2" name="Y10LessonArchitecture" displayName="Y10LessonArchitecture" ref="A3:AB155" headerRowCount="1">
  <x:tableColumns count="28">
    <x:tableColumn id="1" name="Lesson ID"/>
    <x:tableColumn id="2" name="Route Session"/>
    <x:tableColumn id="3" name="Unit ID"/>
    <x:tableColumn id="4" name="Unit Sequence"/>
    <x:tableColumn id="5" name="Unit Title"/>
    <x:tableColumn id="6" name="Mathematical Strand"/>
    <x:tableColumn id="7" name="Lesson Sequence in Unit"/>
    <x:tableColumn id="8" name="Lesson Type"/>
    <x:tableColumn id="9" name="Lesson Title"/>
    <x:tableColumn id="10" name="Lesson Driving Question"/>
    <x:tableColumn id="11" name="Main Mathematical Move"/>
    <x:tableColumn id="12" name="Stepping Stone Focus"/>
    <x:tableColumn id="13" name="Prerequisite Check"/>
    <x:tableColumn id="14" name="Reconnection Route"/>
    <x:tableColumn id="15" name="Primary Cornerstone"/>
    <x:tableColumn id="16" name="Secondary Cornerstones"/>
    <x:tableColumn id="17" name="Interactive Resource"/>
    <x:tableColumn id="18" name="Resource / Tool Family"/>
    <x:tableColumn id="19" name="Scratchpad Preset"/>
    <x:tableColumn id="20" name="Practice Companion Focus"/>
    <x:tableColumn id="21" name="Evidence Opportunity"/>
    <x:tableColumn id="22" name="Mastery Check"/>
    <x:tableColumn id="23" name="Suggested Session Shape"/>
    <x:tableColumn id="24" name="Qualification Overlay"/>
    <x:tableColumn id="25" name="Sensory / Cognitive Load"/>
    <x:tableColumn id="26" name="Delivery Modes"/>
    <x:tableColumn id="27" name="Build Status"/>
    <x:tableColumn id="28" name="Design Note"/>
  </x:tableColumns>
  <x:tableStyleInfo name="TableStyleMedium2" showRowStripes="1"/>
</x:table>
</file>

<file path=xl/tables/table3.xml><?xml version="1.0" encoding="utf-8"?>
<x:table xmlns:x="http://schemas.openxmlformats.org/spreadsheetml/2006/main" id="3" name="ReconnectionBank" displayName="ReconnectionBank" ref="A3:I35" headerRowCount="1">
  <x:tableColumns count="9">
    <x:tableColumn id="1" name="Reconnection ID"/>
    <x:tableColumn id="2" name="Source Level"/>
    <x:tableColumn id="3" name="Mathematical Strand"/>
    <x:tableColumn id="4" name="Lesson Title"/>
    <x:tableColumn id="5" name="Driving Question"/>
    <x:tableColumn id="6" name="Stepping Stone Focus"/>
    <x:tableColumn id="7" name="Interactive Inquiry Tool"/>
    <x:tableColumn id="8" name="Scratchpad Preset"/>
    <x:tableColumn id="9" name="Role in Year 9/10 Routing"/>
  </x:tableColumns>
  <x:tableStyleInfo name="TableStyleMedium2" showRowStripes="1"/>
</x:table>
</file>

<file path=xl/tables/table4.xml><?xml version="1.0" encoding="utf-8"?>
<x:table xmlns:x="http://schemas.openxmlformats.org/spreadsheetml/2006/main" id="4" name="ResourceReuseAudit" displayName="ResourceReuseAudit" ref="A3:F11" headerRowCount="1">
  <x:tableColumns count="6">
    <x:tableColumn id="1" name="Resource / Tool Family"/>
    <x:tableColumn id="2" name="Year 9 Sessions"/>
    <x:tableColumn id="3" name="Year 10 Sessions"/>
    <x:tableColumn id="4" name="Total Sessions"/>
    <x:tableColumn id="5" name="Example Interactive Resources"/>
    <x:tableColumn id="6" name="Curriculum Build Implic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b087ed77ad4e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3e8a89874d4f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68d79619304b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5cc3a02a198741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0609ee856b4454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34" hidden="0" customWidth="1"/>
    <x:col min="4" max="4" width="38" hidden="0" customWidth="1"/>
    <x:col min="5" max="5" width="4" hidden="0" customWidth="1"/>
    <x:col min="6" max="6" width="30" hidden="0" customWidth="1"/>
    <x:col min="7" max="7" width="34" hidden="0" customWidth="1"/>
    <x:col min="8" max="8" width="34" hidden="0" customWidth="1"/>
    <x:col min="9" max="9" width="40" hidden="0" customWidth="1"/>
    <x:col min="10" max="10" width="18" hidden="0" customWidth="1"/>
  </x:cols>
  <x:sheetData>
    <x:row r="1" ht="30" customHeight="1">
      <x:c r="A1" s="38" t="str">
        <x:v>NEO Mathematics Year 9 &amp; Year 10 Lesson Architecture Map v0.1</x:v>
      </x:c>
      <x:c r="B1" s="38"/>
      <x:c r="C1" s="38"/>
      <x:c r="D1" s="38"/>
      <x:c r="E1" s="38"/>
      <x:c r="F1" s="38"/>
      <x:c r="G1" s="38"/>
      <x:c r="H1" s="38"/>
      <x:c r="I1" s="38"/>
      <x:c r="J1" s="38"/>
    </x:row>
    <x:row r="2" ht="42" customHeight="1">
      <x:c r="A2" s="31" t="str">
        <x:v>Session-level GreenPrint companion to the NEO Mathematics Curriculum Vault Map. Built around 45-minute lesson opportunities, navigable Reconnection routes and reusable interactive learning environments.</x:v>
      </x:c>
      <x:c r="B2" s="31"/>
      <x:c r="C2" s="31"/>
      <x:c r="D2" s="31"/>
      <x:c r="E2" s="31"/>
      <x:c r="F2" s="31"/>
      <x:c r="G2" s="31"/>
      <x:c r="H2" s="31"/>
      <x:c r="I2" s="31"/>
      <x:c r="J2" s="31"/>
    </x:row>
    <x:row r="4">
      <x:c r="A4" s="15" t="str">
        <x:v>Launch Route</x:v>
      </x:c>
      <x:c r="B4" s="15" t="str">
        <x:v>Planned Sessions</x:v>
      </x:c>
      <x:c r="C4" s="15" t="str">
        <x:v>Core/Common Spine</x:v>
      </x:c>
      <x:c r="D4" s="15" t="str">
        <x:v>Flexible Route Sessions</x:v>
      </x:c>
      <x:c r="F4" s="40" t="str">
        <x:v>Locked planning principle</x:v>
      </x:c>
      <x:c r="G4" s="40" t="str">
        <x:v>Year 9 meaning</x:v>
      </x:c>
      <x:c r="H4" s="40" t="str">
        <x:v>Year 10 meaning</x:v>
      </x:c>
      <x:c r="I4" s="40" t="str">
        <x:v>Production consequence</x:v>
      </x:c>
      <x:c r="J4" s="40" t="str">
        <x:v>Status</x:v>
      </x:c>
    </x:row>
    <x:row r="5">
      <x:c r="A5" t="str">
        <x:v>Year 9</x:v>
      </x:c>
      <x:c r="B5" t="n">
        <x:f>'Lesson Count Audit'!H5</x:f>
        <x:v>152</x:v>
      </x:c>
      <x:c r="C5" t="n">
        <x:f>'Lesson Count Audit'!B5</x:f>
        <x:v>110</x:v>
      </x:c>
      <x:c r="D5" t="n">
        <x:f>B5-C5</x:f>
        <x:v>42</x:v>
      </x:c>
      <x:c r="F5" s="24" t="str">
        <x:v>Destination remains ambitious; route adapts</x:v>
      </x:c>
      <x:c r="G5" s="24" t="str">
        <x:v>Core Year 9 Bridge plus targeted Y7/Y8 Reconnection</x:v>
      </x:c>
      <x:c r="H5" s="24" t="str">
        <x:v>Common iGCSE Year 1 spine plus prerequisite repair</x:v>
      </x:c>
      <x:c r="I5" s="24" t="str">
        <x:v>Build canonical lessons once and route learners to them</x:v>
      </x:c>
      <x:c r="J5" s="24" t="str">
        <x:v>GreenPrint</x:v>
      </x:c>
    </x:row>
    <x:row r="6">
      <x:c r="A6" t="str">
        <x:v>Year 10</x:v>
      </x:c>
      <x:c r="B6" t="n">
        <x:f>'Lesson Count Audit'!H6</x:f>
        <x:v>152</x:v>
      </x:c>
      <x:c r="C6" t="n">
        <x:f>'Lesson Count Audit'!B6</x:f>
        <x:v>120</x:v>
      </x:c>
      <x:c r="D6" t="n">
        <x:f>B6-C6</x:f>
        <x:v>32</x:v>
      </x:c>
      <x:c r="F6" s="24" t="str">
        <x:v>152 is an entitlement assumption, not 152 new-content lessons</x:v>
      </x:c>
      <x:c r="G6" s="24" t="str">
        <x:v>110 Core + 24 Reconnection + 10 Consolidation + 8 Extension</x:v>
      </x:c>
      <x:c r="H6" s="24" t="str">
        <x:v>120 Core + 10 Reconnection + 12 Qualification + 10 Portfolio Review</x:v>
      </x:c>
      <x:c r="I6" s="24" t="str">
        <x:v>Protect breathing space and re-engagement</x:v>
      </x:c>
      <x:c r="J6" s="24" t="str">
        <x:v>GreenPrint</x:v>
      </x:c>
    </x:row>
    <x:row r="7">
      <x:c r="F7" s="24" t="str">
        <x:v>Interactive resource is not always one 45-minute lesson</x:v>
      </x:c>
      <x:c r="G7" s="24" t="str">
        <x:v>One tool may support several sessions with different inquiry prompts</x:v>
      </x:c>
      <x:c r="H7" s="24" t="str">
        <x:v>Reusable engines can support qualification translation and practice</x:v>
      </x:c>
      <x:c r="I7" s="24" t="str">
        <x:v>Develop component families, not 304 unrelated apps</x:v>
      </x:c>
      <x:c r="J7" s="24" t="str">
        <x:v>GreenPrint</x:v>
      </x:c>
    </x:row>
    <x:row r="8">
      <x:c r="F8" s="24" t="str">
        <x:v>Reconnection is not catch-up</x:v>
      </x:c>
      <x:c r="G8" s="24" t="str">
        <x:v>Earlier learning is linked at point of mathematical need</x:v>
      </x:c>
      <x:c r="H8" s="24" t="str">
        <x:v>Repair prerequisite before returning to the iGCSE route</x:v>
      </x:c>
      <x:c r="I8" s="24" t="str">
        <x:v>Vault routing should make return-to-route visible</x:v>
      </x:c>
      <x:c r="J8" s="24" t="str">
        <x:v>GreenPrint</x:v>
      </x:c>
    </x:row>
    <x:row r="9">
      <x:c r="A9" s="15" t="str">
        <x:v>Workbook Sheet</x:v>
      </x:c>
      <x:c r="B9" s="15" t="str">
        <x:v>Purpose</x:v>
      </x:c>
      <x:c r="C9" s="15" t="str">
        <x:v>Key question</x:v>
      </x:c>
      <x:c r="D9" s="15" t="str">
        <x:v>Planning use</x:v>
      </x:c>
      <x:c r="F9" s="24" t="str">
        <x:v>Mastery evidence is broader than completed pages</x:v>
      </x:c>
      <x:c r="G9" s="24" t="str">
        <x:v>Scratchpad, explanation, model, corrected error or portfolio evidence</x:v>
      </x:c>
      <x:c r="H9" s="24" t="str">
        <x:v>Canonical mastery plus qualification overlay evidence</x:v>
      </x:c>
      <x:c r="I9" s="24" t="str">
        <x:v>Lesson map records evidence opportunity and mastery check</x:v>
      </x:c>
      <x:c r="J9" s="24" t="str">
        <x:v>GreenPrint</x:v>
      </x:c>
    </x:row>
    <x:row r="10">
      <x:c r="A10" s="24" t="str">
        <x:v>Year 9 Architecture</x:v>
      </x:c>
      <x:c r="B10" s="24" t="str">
        <x:v>152 session opportunities</x:v>
      </x:c>
      <x:c r="C10" s="24" t="str">
        <x:v>How might a Year 9 learner move through core and reconnection learning?</x:v>
      </x:c>
      <x:c r="D10" s="24" t="str">
        <x:v>Sequence, route and author sessions</x:v>
      </x:c>
    </x:row>
    <x:row r="11">
      <x:c r="A11" s="24" t="str">
        <x:v>Year 10 Architecture</x:v>
      </x:c>
      <x:c r="B11" s="24" t="str">
        <x:v>152 session opportunities</x:v>
      </x:c>
      <x:c r="C11" s="24" t="str">
        <x:v>How does the iGCSE Year 1 spine stay coherent while repairing prerequisites?</x:v>
      </x:c>
      <x:c r="D11" s="24" t="str">
        <x:v>Sequence and qualification planning</x:v>
      </x:c>
    </x:row>
    <x:row r="12">
      <x:c r="A12" s="24" t="str">
        <x:v>Reconnection Bank</x:v>
      </x:c>
      <x:c r="B12" s="24" t="str">
        <x:v>Earlier high-leverage lessons</x:v>
      </x:c>
      <x:c r="C12" s="24" t="str">
        <x:v>Which prerequisite route reconnects the learner fastest?</x:v>
      </x:c>
      <x:c r="D12" s="24" t="str">
        <x:v>Build Y7/Y8 lessons for reuse</x:v>
      </x:c>
    </x:row>
    <x:row r="13">
      <x:c r="A13" s="24" t="str">
        <x:v>Lesson Count Audit</x:v>
      </x:c>
      <x:c r="B13" s="24" t="str">
        <x:v>Formula-driven totals</x:v>
      </x:c>
      <x:c r="C13" s="24" t="str">
        <x:v>Do planned routes match the 152-session assumption?</x:v>
      </x:c>
      <x:c r="D13" s="24" t="str">
        <x:v>Capacity and timetable audit</x:v>
      </x:c>
    </x:row>
    <x:row r="14">
      <x:c r="A14" s="24" t="str">
        <x:v>Resource Reuse</x:v>
      </x:c>
      <x:c r="B14" s="24" t="str">
        <x:v>Tool-family audit</x:v>
      </x:c>
      <x:c r="C14" s="24" t="str">
        <x:v>How many sessions can share reusable engines?</x:v>
      </x:c>
      <x:c r="D14" s="24" t="str">
        <x:v>Interactive production planning</x:v>
      </x:c>
    </x:row>
    <x:row r="15">
      <x:c r="A15" s="24" t="str">
        <x:v>Sources &amp; Notes</x:v>
      </x:c>
      <x:c r="B15" s="24" t="str">
        <x:v>Design record</x:v>
      </x:c>
      <x:c r="C15" s="24" t="str">
        <x:v>Which GreenPrint decisions and source artifacts underpin this map?</x:v>
      </x:c>
      <x:c r="D15" s="24" t="str">
        <x:v>Governance and review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0" hidden="0" customWidth="1"/>
    <x:col min="5" max="5" width="30" hidden="0" customWidth="1"/>
    <x:col min="6" max="6" width="24" hidden="0" customWidth="1"/>
    <x:col min="7" max="7" width="12" hidden="0" customWidth="1"/>
    <x:col min="8" max="8" width="22" hidden="0" customWidth="1"/>
    <x:col min="9" max="9" width="34" hidden="0" customWidth="1"/>
    <x:col min="10" max="10" width="38" hidden="0" customWidth="1"/>
    <x:col min="11" max="11" width="34" hidden="0" customWidth="1"/>
    <x:col min="12" max="12" width="34" hidden="0" customWidth="1"/>
    <x:col min="13" max="13" width="34" hidden="0" customWidth="1"/>
    <x:col min="14" max="14" width="18" hidden="0" customWidth="1"/>
    <x:col min="15" max="15" width="18" hidden="0" customWidth="1"/>
    <x:col min="16" max="16" width="24" hidden="0" customWidth="1"/>
    <x:col min="17" max="17" width="30" hidden="0" customWidth="1"/>
    <x:col min="18" max="18" width="22" hidden="0" customWidth="1"/>
    <x:col min="19" max="19" width="20" hidden="0" customWidth="1"/>
    <x:col min="20" max="20" width="28" hidden="0" customWidth="1"/>
    <x:col min="21" max="21" width="32" hidden="0" customWidth="1"/>
    <x:col min="22" max="22" width="34" hidden="0" customWidth="1"/>
    <x:col min="23" max="23" width="30" hidden="0" customWidth="1"/>
    <x:col min="24" max="24" width="30" hidden="0" customWidth="1"/>
    <x:col min="25" max="25" width="26" hidden="0" customWidth="1"/>
    <x:col min="26" max="26" width="24" hidden="0" customWidth="1"/>
    <x:col min="27" max="27" width="18" hidden="0" customWidth="1"/>
    <x:col min="28" max="28" width="42" hidden="0" customWidth="1"/>
  </x:cols>
  <x:sheetData>
    <x:row r="1" ht="28" customHeight="1">
      <x:c r="A1" s="4" t="str">
        <x:v>NEO Mathematics Year 9 Lesson Architecture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</x:row>
    <x:row r="2" ht="34" customHeight="1">
      <x:c r="A2" s="10" t="str">
        <x:v>152 planned 45-minute session opportunities. Core Year 9 learning is interleaved with targeted Reconnection routes, deliberate consolidation and high-ceiling extension/portfolio sessions.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</x:row>
    <x:row r="3" ht="40" customHeight="1">
      <x:c r="A3" s="26" t="str">
        <x:v>Lesson ID</x:v>
      </x:c>
      <x:c r="B3" s="26" t="str">
        <x:v>Route Session</x:v>
      </x:c>
      <x:c r="C3" s="26" t="str">
        <x:v>Unit ID</x:v>
      </x:c>
      <x:c r="D3" s="26" t="str">
        <x:v>Unit Sequence</x:v>
      </x:c>
      <x:c r="E3" s="26" t="str">
        <x:v>Unit Title</x:v>
      </x:c>
      <x:c r="F3" s="26" t="str">
        <x:v>Mathematical Strand</x:v>
      </x:c>
      <x:c r="G3" s="26" t="str">
        <x:v>Lesson Sequence in Unit</x:v>
      </x:c>
      <x:c r="H3" s="26" t="str">
        <x:v>Lesson Type</x:v>
      </x:c>
      <x:c r="I3" s="26" t="str">
        <x:v>Lesson Title</x:v>
      </x:c>
      <x:c r="J3" s="26" t="str">
        <x:v>Lesson Driving Question</x:v>
      </x:c>
      <x:c r="K3" s="26" t="str">
        <x:v>Main Mathematical Move</x:v>
      </x:c>
      <x:c r="L3" s="26" t="str">
        <x:v>Stepping Stone Focus</x:v>
      </x:c>
      <x:c r="M3" s="26" t="str">
        <x:v>Prerequisite Check</x:v>
      </x:c>
      <x:c r="N3" s="26" t="str">
        <x:v>Reconnection Route</x:v>
      </x:c>
      <x:c r="O3" s="26" t="str">
        <x:v>Primary Cornerstone</x:v>
      </x:c>
      <x:c r="P3" s="26" t="str">
        <x:v>Secondary Cornerstones</x:v>
      </x:c>
      <x:c r="Q3" s="26" t="str">
        <x:v>Interactive Resource</x:v>
      </x:c>
      <x:c r="R3" s="26" t="str">
        <x:v>Resource / Tool Family</x:v>
      </x:c>
      <x:c r="S3" s="26" t="str">
        <x:v>Scratchpad Preset</x:v>
      </x:c>
      <x:c r="T3" s="26" t="str">
        <x:v>Practice Companion Focus</x:v>
      </x:c>
      <x:c r="U3" s="26" t="str">
        <x:v>Evidence Opportunity</x:v>
      </x:c>
      <x:c r="V3" s="26" t="str">
        <x:v>Mastery Check</x:v>
      </x:c>
      <x:c r="W3" s="26" t="str">
        <x:v>Suggested Session Shape</x:v>
      </x:c>
      <x:c r="X3" s="26" t="str">
        <x:v>Qualification Overlay</x:v>
      </x:c>
      <x:c r="Y3" s="26" t="str">
        <x:v>Sensory / Cognitive Load</x:v>
      </x:c>
      <x:c r="Z3" s="26" t="str">
        <x:v>Delivery Modes</x:v>
      </x:c>
      <x:c r="AA3" s="26" t="str">
        <x:v>Build Status</x:v>
      </x:c>
      <x:c r="AB3" s="26" t="str">
        <x:v>Design Note</x:v>
      </x:c>
    </x:row>
    <x:row r="4" ht="44" customHeight="1">
      <x:c r="A4" s="27" t="str">
        <x:v>NEO-MATH-Y9-001</x:v>
      </x:c>
      <x:c r="B4" s="27" t="n">
        <x:v>1</x:v>
      </x:c>
      <x:c r="C4" s="27" t="str">
        <x:v>NEO-MATH-Y9-01</x:v>
      </x:c>
      <x:c r="D4" s="27" t="n">
        <x:v>1</x:v>
      </x:c>
      <x:c r="E4" s="27" t="str">
        <x:v>Accuracy, Powers and Scale</x:v>
      </x:c>
      <x:c r="F4" s="27" t="str">
        <x:v>Number Sense</x:v>
      </x:c>
      <x:c r="G4" s="27" t="n">
        <x:v>1</x:v>
      </x:c>
      <x:c r="H4" s="27" t="str">
        <x:v>Core</x:v>
      </x:c>
      <x:c r="I4" s="27" t="str">
        <x:v>Connect &amp; notice: Round to significant figures</x:v>
      </x:c>
      <x:c r="J4" s="27" t="str">
        <x:v>What do I already notice about round to significant figures?</x:v>
      </x:c>
      <x:c r="K4" s="27" t="str">
        <x:v>round to significant figures</x:v>
      </x:c>
      <x:c r="L4" s="27" t="str">
        <x:v>round to significant figures</x:v>
      </x:c>
      <x:c r="M4" s="27" t="str">
        <x:v>learner entry knowledge and representation confidence</x:v>
      </x:c>
      <x:c r="N4" s="27" t="str"/>
      <x:c r="O4" s="27" t="str">
        <x:v>Movement</x:v>
      </x:c>
      <x:c r="P4" s="27" t="str">
        <x:v>Reflection, Connection</x:v>
      </x:c>
      <x:c r="Q4" s="27" t="str">
        <x:v>Micro-to-Macro Scale Explorer</x:v>
      </x:c>
      <x:c r="R4" s="27" t="str">
        <x:v>Number Explorer</x:v>
      </x:c>
      <x:c r="S4" s="27" t="str">
        <x:v>Square grid</x:v>
      </x:c>
      <x:c r="T4" s="27" t="str">
        <x:v>Accuracy, Powers and Scale – round to significant figures</x:v>
      </x:c>
      <x:c r="U4" s="27" t="str">
        <x:v>Scratchpad prediction or notice about round to significant figures</x:v>
      </x:c>
      <x:c r="V4" s="27" t="str">
        <x:v>Learner can round to significant figures and give a reason or check.</x:v>
      </x:c>
      <x:c r="W4" s="27" t="str">
        <x:v>Connect 8 / Explore 20 / Notice 10 / Reflect 7</x:v>
      </x:c>
      <x:c r="X4" s="27" t="str">
        <x:v>NC KS3; Pearson Edexcel 4MA1 1.4, 1.8, 1.9</x:v>
      </x:c>
      <x:c r="Y4" s="27" t="str">
        <x:v>Moderate</x:v>
      </x:c>
      <x:c r="Z4" s="27" t="str">
        <x:v>Live, Asynchronous, Independent</x:v>
      </x:c>
      <x:c r="AA4" s="27" t="str">
        <x:v>Architecture mapped</x:v>
      </x:c>
      <x:c r="AB4" s="27" t="str">
        <x:v>Part of the canonical Y9 route. May pause or branch to a Reconnection lesson before returning.</x:v>
      </x:c>
    </x:row>
    <x:row r="5" ht="44" customHeight="1">
      <x:c r="A5" s="27" t="str">
        <x:v>NEO-MATH-Y9-002</x:v>
      </x:c>
      <x:c r="B5" s="27" t="n">
        <x:v>2</x:v>
      </x:c>
      <x:c r="C5" s="27" t="str">
        <x:v>NEO-MATH-Y9-01</x:v>
      </x:c>
      <x:c r="D5" s="27" t="n">
        <x:v>1</x:v>
      </x:c>
      <x:c r="E5" s="27" t="str">
        <x:v>Accuracy, Powers and Scale</x:v>
      </x:c>
      <x:c r="F5" s="27" t="str">
        <x:v>Number Sense</x:v>
      </x:c>
      <x:c r="G5" s="27" t="n">
        <x:v>2</x:v>
      </x:c>
      <x:c r="H5" s="27" t="str">
        <x:v>Core</x:v>
      </x:c>
      <x:c r="I5" s="27" t="str">
        <x:v>Build the idea: Estimate</x:v>
      </x:c>
      <x:c r="J5" s="27" t="str">
        <x:v>What does estimate mean before I use a procedure?</x:v>
      </x:c>
      <x:c r="K5" s="27" t="str">
        <x:v>estimate</x:v>
      </x:c>
      <x:c r="L5" s="27" t="str">
        <x:v>estimate</x:v>
      </x:c>
      <x:c r="M5" s="27" t="str">
        <x:v>round to significant figures</x:v>
      </x:c>
      <x:c r="N5" s="27" t="str"/>
      <x:c r="O5" s="27" t="str">
        <x:v>Movement</x:v>
      </x:c>
      <x:c r="P5" s="27" t="str">
        <x:v>Reflection, Connection</x:v>
      </x:c>
      <x:c r="Q5" s="27" t="str">
        <x:v>Micro-to-Macro Scale Explorer</x:v>
      </x:c>
      <x:c r="R5" s="27" t="str">
        <x:v>Number Explorer</x:v>
      </x:c>
      <x:c r="S5" s="27" t="str">
        <x:v>Square grid</x:v>
      </x:c>
      <x:c r="T5" s="27" t="str">
        <x:v>Accuracy, Powers and Scale – estimate</x:v>
      </x:c>
      <x:c r="U5" s="27" t="str">
        <x:v>Annotated representation of estimate</x:v>
      </x:c>
      <x:c r="V5" s="27" t="str">
        <x:v>Learner can estimate and give a reason or check.</x:v>
      </x:c>
      <x:c r="W5" s="27" t="str">
        <x:v>Connect 5 / Explore 20 / Create or Apply 12 / Reflect 8</x:v>
      </x:c>
      <x:c r="X5" s="27" t="str">
        <x:v>NC KS3; Pearson Edexcel 4MA1 1.4, 1.8, 1.9</x:v>
      </x:c>
      <x:c r="Y5" s="27" t="str">
        <x:v>Moderate</x:v>
      </x:c>
      <x:c r="Z5" s="27" t="str">
        <x:v>Live, Asynchronous, Independent</x:v>
      </x:c>
      <x:c r="AA5" s="27" t="str">
        <x:v>Architecture mapped</x:v>
      </x:c>
      <x:c r="AB5" s="27" t="str">
        <x:v>Part of the canonical Y9 route. May pause or branch to a Reconnection lesson before returning.</x:v>
      </x:c>
    </x:row>
    <x:row r="6" ht="44" customHeight="1">
      <x:c r="A6" s="27" t="str">
        <x:v>NEO-MATH-Y9-003</x:v>
      </x:c>
      <x:c r="B6" s="27" t="n">
        <x:v>3</x:v>
      </x:c>
      <x:c r="C6" s="27" t="str">
        <x:v>NEO-MATH-Y9-01</x:v>
      </x:c>
      <x:c r="D6" s="27" t="n">
        <x:v>1</x:v>
      </x:c>
      <x:c r="E6" s="27" t="str">
        <x:v>Accuracy, Powers and Scale</x:v>
      </x:c>
      <x:c r="F6" s="27" t="str">
        <x:v>Number Sense</x:v>
      </x:c>
      <x:c r="G6" s="27" t="n">
        <x:v>3</x:v>
      </x:c>
      <x:c r="H6" s="27" t="str">
        <x:v>Reconnection</x:v>
      </x:c>
      <x:c r="I6" s="27" t="str">
        <x:v>Reconnection: Place value and magnitude</x:v>
      </x:c>
      <x:c r="J6" s="27" t="str">
        <x:v>Can I tell which number is really larger?</x:v>
      </x:c>
      <x:c r="K6" s="27" t="str">
        <x:v>place value with integers and decimals</x:v>
      </x:c>
      <x:c r="L6" s="27" t="str">
        <x:v>place value with integers and decimals</x:v>
      </x:c>
      <x:c r="M6" s="27" t="str">
        <x:v>Branch triggered when place value with integers and decimals is not yet secure enough for the current unit.</x:v>
      </x:c>
      <x:c r="N6" s="27" t="str">
        <x:v>REC-NUM-01</x:v>
      </x:c>
      <x:c r="O6" s="27" t="str">
        <x:v>Connection</x:v>
      </x:c>
      <x:c r="P6" s="27" t="str">
        <x:v>Reflection, Rest</x:v>
      </x:c>
      <x:c r="Q6" s="27" t="str">
        <x:v>Place-Value Magnifier</x:v>
      </x:c>
      <x:c r="R6" s="27" t="str">
        <x:v>Number Explorer</x:v>
      </x:c>
      <x:c r="S6" s="27" t="str">
        <x:v>Square grid</x:v>
      </x:c>
      <x:c r="T6" s="27" t="str">
        <x:v>Place value and magnitude targeted practice</x:v>
      </x:c>
      <x:c r="U6" s="27" t="str">
        <x:v>Short reconnection evidence: place value with integers and decimals</x:v>
      </x:c>
      <x:c r="V6" s="27" t="str">
        <x:v>Learner can place value with integers and decimals sufficiently to return to Accuracy, Powers and Scale.</x:v>
      </x:c>
      <x:c r="W6" s="27" t="str">
        <x:v>Arrive 5 / Reconnect 20 / Test 10 / Return link 10</x:v>
      </x:c>
      <x:c r="X6" s="27" t="str">
        <x:v>NC KS3; Pearson Edexcel 4MA1 1.4, 1.8, 1.9</x:v>
      </x:c>
      <x:c r="Y6" s="27" t="str">
        <x:v>Low-Moderate; targeted prerequisite repair</x:v>
      </x:c>
      <x:c r="Z6" s="27" t="str">
        <x:v>Live, Asynchronous, Independent</x:v>
      </x:c>
      <x:c r="AA6" s="27" t="str">
        <x:v>Architecture mapped</x:v>
      </x:c>
      <x:c r="AB6" s="27" t="str">
        <x:v>Not 'catch-up'. A targeted route from Year 7 learning that reconnects the learner to NEO-MATH-Y9-01.</x:v>
      </x:c>
    </x:row>
    <x:row r="7" ht="44" customHeight="1">
      <x:c r="A7" s="27" t="str">
        <x:v>NEO-MATH-Y9-004</x:v>
      </x:c>
      <x:c r="B7" s="27" t="n">
        <x:v>4</x:v>
      </x:c>
      <x:c r="C7" s="27" t="str">
        <x:v>NEO-MATH-Y9-01</x:v>
      </x:c>
      <x:c r="D7" s="27" t="n">
        <x:v>1</x:v>
      </x:c>
      <x:c r="E7" s="27" t="str">
        <x:v>Accuracy, Powers and Scale</x:v>
      </x:c>
      <x:c r="F7" s="27" t="str">
        <x:v>Number Sense</x:v>
      </x:c>
      <x:c r="G7" s="27" t="n">
        <x:v>3</x:v>
      </x:c>
      <x:c r="H7" s="27" t="str">
        <x:v>Core</x:v>
      </x:c>
      <x:c r="I7" s="27" t="str">
        <x:v>Represent it: Use index laws</x:v>
      </x:c>
      <x:c r="J7" s="27" t="str">
        <x:v>How can I show use index laws in more than one way?</x:v>
      </x:c>
      <x:c r="K7" s="27" t="str">
        <x:v>use index laws</x:v>
      </x:c>
      <x:c r="L7" s="27" t="str">
        <x:v>use index laws</x:v>
      </x:c>
      <x:c r="M7" s="27" t="str">
        <x:v>estimate</x:v>
      </x:c>
      <x:c r="N7" s="27" t="str"/>
      <x:c r="O7" s="27" t="str">
        <x:v>Movement</x:v>
      </x:c>
      <x:c r="P7" s="27" t="str">
        <x:v>Reflection, Connection</x:v>
      </x:c>
      <x:c r="Q7" s="27" t="str">
        <x:v>Micro-to-Macro Scale Explorer</x:v>
      </x:c>
      <x:c r="R7" s="27" t="str">
        <x:v>Number Explorer</x:v>
      </x:c>
      <x:c r="S7" s="27" t="str">
        <x:v>Square grid</x:v>
      </x:c>
      <x:c r="T7" s="27" t="str">
        <x:v>Accuracy, Powers and Scale – use index laws</x:v>
      </x:c>
      <x:c r="U7" s="27" t="str">
        <x:v>Annotated representation of use index laws</x:v>
      </x:c>
      <x:c r="V7" s="27" t="str">
        <x:v>Learner can use index laws and give a reason or check.</x:v>
      </x:c>
      <x:c r="W7" s="27" t="str">
        <x:v>Connect 5 / Explore 20 / Create or Apply 12 / Reflect 8</x:v>
      </x:c>
      <x:c r="X7" s="27" t="str">
        <x:v>NC KS3; Pearson Edexcel 4MA1 1.4, 1.8, 1.9</x:v>
      </x:c>
      <x:c r="Y7" s="27" t="str">
        <x:v>Moderate</x:v>
      </x:c>
      <x:c r="Z7" s="27" t="str">
        <x:v>Live, Asynchronous, Independent</x:v>
      </x:c>
      <x:c r="AA7" s="27" t="str">
        <x:v>Architecture mapped</x:v>
      </x:c>
      <x:c r="AB7" s="27" t="str">
        <x:v>Part of the canonical Y9 route. May pause or branch to a Reconnection lesson before returning.</x:v>
      </x:c>
    </x:row>
    <x:row r="8" ht="44" customHeight="1">
      <x:c r="A8" s="27" t="str">
        <x:v>NEO-MATH-Y9-005</x:v>
      </x:c>
      <x:c r="B8" s="27" t="n">
        <x:v>5</x:v>
      </x:c>
      <x:c r="C8" s="27" t="str">
        <x:v>NEO-MATH-Y9-01</x:v>
      </x:c>
      <x:c r="D8" s="27" t="n">
        <x:v>1</x:v>
      </x:c>
      <x:c r="E8" s="27" t="str">
        <x:v>Accuracy, Powers and Scale</x:v>
      </x:c>
      <x:c r="F8" s="27" t="str">
        <x:v>Number Sense</x:v>
      </x:c>
      <x:c r="G8" s="27" t="n">
        <x:v>4</x:v>
      </x:c>
      <x:c r="H8" s="27" t="str">
        <x:v>Core</x:v>
      </x:c>
      <x:c r="I8" s="27" t="str">
        <x:v>Try one change: Write and order standard form</x:v>
      </x:c>
      <x:c r="J8" s="27" t="str">
        <x:v>What changes when I adjust one part of write and order standard form?</x:v>
      </x:c>
      <x:c r="K8" s="27" t="str">
        <x:v>write and order standard form</x:v>
      </x:c>
      <x:c r="L8" s="27" t="str">
        <x:v>write and order standard form</x:v>
      </x:c>
      <x:c r="M8" s="27" t="str">
        <x:v>use index laws</x:v>
      </x:c>
      <x:c r="N8" s="27" t="str"/>
      <x:c r="O8" s="27" t="str">
        <x:v>Movement</x:v>
      </x:c>
      <x:c r="P8" s="27" t="str">
        <x:v>Reflection, Connection</x:v>
      </x:c>
      <x:c r="Q8" s="27" t="str">
        <x:v>Micro-to-Macro Scale Explorer</x:v>
      </x:c>
      <x:c r="R8" s="27" t="str">
        <x:v>Number Explorer</x:v>
      </x:c>
      <x:c r="S8" s="27" t="str">
        <x:v>Square grid</x:v>
      </x:c>
      <x:c r="T8" s="27" t="str">
        <x:v>Accuracy, Powers and Scale – write and order standard form</x:v>
      </x:c>
      <x:c r="U8" s="27" t="str">
        <x:v>Annotated representation of write and order standard form</x:v>
      </x:c>
      <x:c r="V8" s="27" t="str">
        <x:v>Learner can write and order standard form and give a reason or check.</x:v>
      </x:c>
      <x:c r="W8" s="27" t="str">
        <x:v>Connect 5 / Explore 20 / Create or Apply 12 / Reflect 8</x:v>
      </x:c>
      <x:c r="X8" s="27" t="str">
        <x:v>NC KS3; Pearson Edexcel 4MA1 1.4, 1.8, 1.9</x:v>
      </x:c>
      <x:c r="Y8" s="27" t="str">
        <x:v>Moderate</x:v>
      </x:c>
      <x:c r="Z8" s="27" t="str">
        <x:v>Live, Asynchronous, Independent</x:v>
      </x:c>
      <x:c r="AA8" s="27" t="str">
        <x:v>Architecture mapped</x:v>
      </x:c>
      <x:c r="AB8" s="27" t="str">
        <x:v>Part of the canonical Y9 route. May pause or branch to a Reconnection lesson before returning.</x:v>
      </x:c>
    </x:row>
    <x:row r="9" ht="44" customHeight="1">
      <x:c r="A9" s="27" t="str">
        <x:v>NEO-MATH-Y9-006</x:v>
      </x:c>
      <x:c r="B9" s="27" t="n">
        <x:v>6</x:v>
      </x:c>
      <x:c r="C9" s="27" t="str">
        <x:v>NEO-MATH-Y9-01</x:v>
      </x:c>
      <x:c r="D9" s="27" t="n">
        <x:v>1</x:v>
      </x:c>
      <x:c r="E9" s="27" t="str">
        <x:v>Accuracy, Powers and Scale</x:v>
      </x:c>
      <x:c r="F9" s="27" t="str">
        <x:v>Number Sense</x:v>
      </x:c>
      <x:c r="G9" s="27" t="n">
        <x:v>5</x:v>
      </x:c>
      <x:c r="H9" s="27" t="str">
        <x:v>Core</x:v>
      </x:c>
      <x:c r="I9" s="27" t="str">
        <x:v>Connect ideas: Interpret scale and magnitude</x:v>
      </x:c>
      <x:c r="J9" s="27" t="str">
        <x:v>How does interpret scale and magnitude connect to the earlier relationship?</x:v>
      </x:c>
      <x:c r="K9" s="27" t="str">
        <x:v>interpret scale and magnitude</x:v>
      </x:c>
      <x:c r="L9" s="27" t="str">
        <x:v>interpret scale and magnitude</x:v>
      </x:c>
      <x:c r="M9" s="27" t="str">
        <x:v>write and order standard form</x:v>
      </x:c>
      <x:c r="N9" s="27" t="str"/>
      <x:c r="O9" s="27" t="str">
        <x:v>Movement</x:v>
      </x:c>
      <x:c r="P9" s="27" t="str">
        <x:v>Reflection, Connection</x:v>
      </x:c>
      <x:c r="Q9" s="27" t="str">
        <x:v>Micro-to-Macro Scale Explorer</x:v>
      </x:c>
      <x:c r="R9" s="27" t="str">
        <x:v>Number Explorer</x:v>
      </x:c>
      <x:c r="S9" s="27" t="str">
        <x:v>Square grid</x:v>
      </x:c>
      <x:c r="T9" s="27" t="str">
        <x:v>Accuracy, Powers and Scale – interpret scale and magnitude</x:v>
      </x:c>
      <x:c r="U9" s="27" t="str">
        <x:v>Annotated representation of interpret scale and magnitude</x:v>
      </x:c>
      <x:c r="V9" s="27" t="str">
        <x:v>Learner can interpret scale and magnitude and give a reason or check.</x:v>
      </x:c>
      <x:c r="W9" s="27" t="str">
        <x:v>Connect 8 / Explore 20 / Notice 10 / Reflect 7</x:v>
      </x:c>
      <x:c r="X9" s="27" t="str">
        <x:v>NC KS3; Pearson Edexcel 4MA1 1.4, 1.8, 1.9</x:v>
      </x:c>
      <x:c r="Y9" s="27" t="str">
        <x:v>Moderate</x:v>
      </x:c>
      <x:c r="Z9" s="27" t="str">
        <x:v>Live, Asynchronous, Independent</x:v>
      </x:c>
      <x:c r="AA9" s="27" t="str">
        <x:v>Architecture mapped</x:v>
      </x:c>
      <x:c r="AB9" s="27" t="str">
        <x:v>Part of the canonical Y9 route. May pause or branch to a Reconnection lesson before returning.</x:v>
      </x:c>
    </x:row>
    <x:row r="10" ht="44" customHeight="1">
      <x:c r="A10" s="27" t="str">
        <x:v>NEO-MATH-Y9-007</x:v>
      </x:c>
      <x:c r="B10" s="27" t="n">
        <x:v>7</x:v>
      </x:c>
      <x:c r="C10" s="27" t="str">
        <x:v>NEO-MATH-Y9-01</x:v>
      </x:c>
      <x:c r="D10" s="27" t="n">
        <x:v>1</x:v>
      </x:c>
      <x:c r="E10" s="27" t="str">
        <x:v>Accuracy, Powers and Scale</x:v>
      </x:c>
      <x:c r="F10" s="27" t="str">
        <x:v>Number Sense</x:v>
      </x:c>
      <x:c r="G10" s="27" t="n">
        <x:v>7</x:v>
      </x:c>
      <x:c r="H10" s="27" t="str">
        <x:v>Reconnection</x:v>
      </x:c>
      <x:c r="I10" s="27" t="str">
        <x:v>Reconnection: Four operations and inverse checks</x:v>
      </x:c>
      <x:c r="J10" s="27" t="str">
        <x:v>How can an inverse catch a convincing mistake?</x:v>
      </x:c>
      <x:c r="K10" s="27" t="str">
        <x:v>use operations and inverse checks</x:v>
      </x:c>
      <x:c r="L10" s="27" t="str">
        <x:v>use operations and inverse checks</x:v>
      </x:c>
      <x:c r="M10" s="27" t="str">
        <x:v>Branch triggered when use operations and inverse checks is not yet secure enough for the current unit.</x:v>
      </x:c>
      <x:c r="N10" s="27" t="str">
        <x:v>REC-NUM-03</x:v>
      </x:c>
      <x:c r="O10" s="27" t="str">
        <x:v>Connection</x:v>
      </x:c>
      <x:c r="P10" s="27" t="str">
        <x:v>Reflection, Rest</x:v>
      </x:c>
      <x:c r="Q10" s="27" t="str">
        <x:v>Estimate–Calculate–Check Lab</x:v>
      </x:c>
      <x:c r="R10" s="27" t="str">
        <x:v>Number Explorer</x:v>
      </x:c>
      <x:c r="S10" s="27" t="str">
        <x:v>Blank</x:v>
      </x:c>
      <x:c r="T10" s="27" t="str">
        <x:v>Four operations and inverse checks targeted practice</x:v>
      </x:c>
      <x:c r="U10" s="27" t="str">
        <x:v>Short reconnection evidence: use operations and inverse checks</x:v>
      </x:c>
      <x:c r="V10" s="27" t="str">
        <x:v>Learner can use operations and inverse checks sufficiently to return to Accuracy, Powers and Scale.</x:v>
      </x:c>
      <x:c r="W10" s="27" t="str">
        <x:v>Arrive 5 / Reconnect 20 / Test 10 / Return link 10</x:v>
      </x:c>
      <x:c r="X10" s="27" t="str">
        <x:v>NC KS3; Pearson Edexcel 4MA1 1.4, 1.8, 1.9</x:v>
      </x:c>
      <x:c r="Y10" s="27" t="str">
        <x:v>Low-Moderate; targeted prerequisite repair</x:v>
      </x:c>
      <x:c r="Z10" s="27" t="str">
        <x:v>Live, Asynchronous, Independent</x:v>
      </x:c>
      <x:c r="AA10" s="27" t="str">
        <x:v>Architecture mapped</x:v>
      </x:c>
      <x:c r="AB10" s="27" t="str">
        <x:v>Not 'catch-up'. A targeted route from Year 7 learning that reconnects the learner to NEO-MATH-Y9-01.</x:v>
      </x:c>
    </x:row>
    <x:row r="11" ht="44" customHeight="1">
      <x:c r="A11" s="27" t="str">
        <x:v>NEO-MATH-Y9-008</x:v>
      </x:c>
      <x:c r="B11" s="27" t="n">
        <x:v>8</x:v>
      </x:c>
      <x:c r="C11" s="27" t="str">
        <x:v>NEO-MATH-Y9-01</x:v>
      </x:c>
      <x:c r="D11" s="27" t="n">
        <x:v>1</x:v>
      </x:c>
      <x:c r="E11" s="27" t="str">
        <x:v>Accuracy, Powers and Scale</x:v>
      </x:c>
      <x:c r="F11" s="27" t="str">
        <x:v>Number Sense</x:v>
      </x:c>
      <x:c r="G11" s="27" t="n">
        <x:v>6</x:v>
      </x:c>
      <x:c r="H11" s="27" t="str">
        <x:v>Core</x:v>
      </x:c>
      <x:c r="I11" s="27" t="str">
        <x:v>Repair a misconception: Round to significant figures</x:v>
      </x:c>
      <x:c r="J11" s="27" t="str">
        <x:v>What tempting mistake can round to significant figures create?</x:v>
      </x:c>
      <x:c r="K11" s="27" t="str">
        <x:v>round to significant figures</x:v>
      </x:c>
      <x:c r="L11" s="27" t="str">
        <x:v>round to significant figures</x:v>
      </x:c>
      <x:c r="M11" s="27" t="str">
        <x:v>interpret scale and magnitude</x:v>
      </x:c>
      <x:c r="N11" s="27" t="str"/>
      <x:c r="O11" s="27" t="str">
        <x:v>Movement</x:v>
      </x:c>
      <x:c r="P11" s="27" t="str">
        <x:v>Reflection, Connection</x:v>
      </x:c>
      <x:c r="Q11" s="27" t="str">
        <x:v>Micro-to-Macro Scale Explorer</x:v>
      </x:c>
      <x:c r="R11" s="27" t="str">
        <x:v>Number Explorer</x:v>
      </x:c>
      <x:c r="S11" s="27" t="str">
        <x:v>Square grid</x:v>
      </x:c>
      <x:c r="T11" s="27" t="str">
        <x:v>Accuracy, Powers and Scale – round to significant figures</x:v>
      </x:c>
      <x:c r="U11" s="27" t="str">
        <x:v>Corrected misconception note: round to significant figures</x:v>
      </x:c>
      <x:c r="V11" s="27" t="str">
        <x:v>Learner can round to significant figures and give a reason or check.</x:v>
      </x:c>
      <x:c r="W11" s="27" t="str">
        <x:v>Connect 5 / Explore 20 / Create or Apply 12 / Reflect 8</x:v>
      </x:c>
      <x:c r="X11" s="27" t="str">
        <x:v>NC KS3; Pearson Edexcel 4MA1 1.4, 1.8, 1.9</x:v>
      </x:c>
      <x:c r="Y11" s="27" t="str">
        <x:v>Moderate</x:v>
      </x:c>
      <x:c r="Z11" s="27" t="str">
        <x:v>Live, Asynchronous, Independent</x:v>
      </x:c>
      <x:c r="AA11" s="27" t="str">
        <x:v>Architecture mapped</x:v>
      </x:c>
      <x:c r="AB11" s="27" t="str">
        <x:v>Part of the canonical Y9 route. May pause or branch to a Reconnection lesson before returning.</x:v>
      </x:c>
    </x:row>
    <x:row r="12" ht="44" customHeight="1">
      <x:c r="A12" s="27" t="str">
        <x:v>NEO-MATH-Y9-009</x:v>
      </x:c>
      <x:c r="B12" s="27" t="n">
        <x:v>9</x:v>
      </x:c>
      <x:c r="C12" s="27" t="str">
        <x:v>NEO-MATH-Y9-01</x:v>
      </x:c>
      <x:c r="D12" s="27" t="n">
        <x:v>1</x:v>
      </x:c>
      <x:c r="E12" s="27" t="str">
        <x:v>Accuracy, Powers and Scale</x:v>
      </x:c>
      <x:c r="F12" s="27" t="str">
        <x:v>Number Sense</x:v>
      </x:c>
      <x:c r="G12" s="27" t="n">
        <x:v>7</x:v>
      </x:c>
      <x:c r="H12" s="27" t="str">
        <x:v>Core</x:v>
      </x:c>
      <x:c r="I12" s="27" t="str">
        <x:v>Apply in context: Estimate</x:v>
      </x:c>
      <x:c r="J12" s="27" t="str">
        <x:v>Where might estimate help with a real decision?</x:v>
      </x:c>
      <x:c r="K12" s="27" t="str">
        <x:v>estimate</x:v>
      </x:c>
      <x:c r="L12" s="27" t="str">
        <x:v>estimate</x:v>
      </x:c>
      <x:c r="M12" s="27" t="str">
        <x:v>round to significant figures</x:v>
      </x:c>
      <x:c r="N12" s="27" t="str"/>
      <x:c r="O12" s="27" t="str">
        <x:v>Movement</x:v>
      </x:c>
      <x:c r="P12" s="27" t="str">
        <x:v>Reflection, Connection</x:v>
      </x:c>
      <x:c r="Q12" s="27" t="str">
        <x:v>Micro-to-Macro Scale Explorer</x:v>
      </x:c>
      <x:c r="R12" s="27" t="str">
        <x:v>Number Explorer</x:v>
      </x:c>
      <x:c r="S12" s="27" t="str">
        <x:v>Square grid</x:v>
      </x:c>
      <x:c r="T12" s="27" t="str">
        <x:v>Accuracy, Powers and Scale – estimate</x:v>
      </x:c>
      <x:c r="U12" s="27" t="str">
        <x:v>Short contextual application of estimate</x:v>
      </x:c>
      <x:c r="V12" s="27" t="str">
        <x:v>Learner can estimate and give a reason or check.</x:v>
      </x:c>
      <x:c r="W12" s="27" t="str">
        <x:v>Connect 5 / Explore 20 / Create or Apply 12 / Reflect 8</x:v>
      </x:c>
      <x:c r="X12" s="27" t="str">
        <x:v>NC KS3; Pearson Edexcel 4MA1 1.4, 1.8, 1.9</x:v>
      </x:c>
      <x:c r="Y12" s="27" t="str">
        <x:v>Moderate</x:v>
      </x:c>
      <x:c r="Z12" s="27" t="str">
        <x:v>Live, Asynchronous, Independent</x:v>
      </x:c>
      <x:c r="AA12" s="27" t="str">
        <x:v>Architecture mapped</x:v>
      </x:c>
      <x:c r="AB12" s="27" t="str">
        <x:v>Part of the canonical Y9 route. May pause or branch to a Reconnection lesson before returning.</x:v>
      </x:c>
    </x:row>
    <x:row r="13" ht="44" customHeight="1">
      <x:c r="A13" s="27" t="str">
        <x:v>NEO-MATH-Y9-010</x:v>
      </x:c>
      <x:c r="B13" s="27" t="n">
        <x:v>10</x:v>
      </x:c>
      <x:c r="C13" s="27" t="str">
        <x:v>NEO-MATH-Y9-01</x:v>
      </x:c>
      <x:c r="D13" s="27" t="n">
        <x:v>1</x:v>
      </x:c>
      <x:c r="E13" s="27" t="str">
        <x:v>Accuracy, Powers and Scale</x:v>
      </x:c>
      <x:c r="F13" s="27" t="str">
        <x:v>Number Sense</x:v>
      </x:c>
      <x:c r="G13" s="27" t="n">
        <x:v>8</x:v>
      </x:c>
      <x:c r="H13" s="27" t="str">
        <x:v>Core</x:v>
      </x:c>
      <x:c r="I13" s="27" t="str">
        <x:v>Model and test: Use index laws</x:v>
      </x:c>
      <x:c r="J13" s="27" t="str">
        <x:v>Can I build a model using use index laws and test it?</x:v>
      </x:c>
      <x:c r="K13" s="27" t="str">
        <x:v>use index laws</x:v>
      </x:c>
      <x:c r="L13" s="27" t="str">
        <x:v>use index laws</x:v>
      </x:c>
      <x:c r="M13" s="27" t="str">
        <x:v>estimate</x:v>
      </x:c>
      <x:c r="N13" s="27" t="str"/>
      <x:c r="O13" s="27" t="str">
        <x:v>Movement</x:v>
      </x:c>
      <x:c r="P13" s="27" t="str">
        <x:v>Reflection, Connection</x:v>
      </x:c>
      <x:c r="Q13" s="27" t="str">
        <x:v>Micro-to-Macro Scale Explorer</x:v>
      </x:c>
      <x:c r="R13" s="27" t="str">
        <x:v>Number Explorer</x:v>
      </x:c>
      <x:c r="S13" s="27" t="str">
        <x:v>Square grid</x:v>
      </x:c>
      <x:c r="T13" s="27" t="str">
        <x:v>Accuracy, Powers and Scale – use index laws</x:v>
      </x:c>
      <x:c r="U13" s="27" t="str">
        <x:v>Tested model using use index laws</x:v>
      </x:c>
      <x:c r="V13" s="27" t="str">
        <x:v>Learner can use index laws and give a reason or check.</x:v>
      </x:c>
      <x:c r="W13" s="27" t="str">
        <x:v>Connect 5 / Explore 20 / Create or Apply 12 / Reflect 8</x:v>
      </x:c>
      <x:c r="X13" s="27" t="str">
        <x:v>NC KS3; Pearson Edexcel 4MA1 1.4, 1.8, 1.9</x:v>
      </x:c>
      <x:c r="Y13" s="27" t="str">
        <x:v>Moderate</x:v>
      </x:c>
      <x:c r="Z13" s="27" t="str">
        <x:v>Live, Asynchronous, Independent</x:v>
      </x:c>
      <x:c r="AA13" s="27" t="str">
        <x:v>Architecture mapped</x:v>
      </x:c>
      <x:c r="AB13" s="27" t="str">
        <x:v>Part of the canonical Y9 route. May pause or branch to a Reconnection lesson before returning.</x:v>
      </x:c>
    </x:row>
    <x:row r="14" ht="44" customHeight="1">
      <x:c r="A14" s="27" t="str">
        <x:v>NEO-MATH-Y9-011</x:v>
      </x:c>
      <x:c r="B14" s="27" t="n">
        <x:v>11</x:v>
      </x:c>
      <x:c r="C14" s="27" t="str">
        <x:v>NEO-MATH-Y9-01</x:v>
      </x:c>
      <x:c r="D14" s="27" t="n">
        <x:v>1</x:v>
      </x:c>
      <x:c r="E14" s="27" t="str">
        <x:v>Accuracy, Powers and Scale</x:v>
      </x:c>
      <x:c r="F14" s="27" t="str">
        <x:v>Structure &amp; Generalisation</x:v>
      </x:c>
      <x:c r="G14" s="27" t="n">
        <x:v>11</x:v>
      </x:c>
      <x:c r="H14" s="27" t="str">
        <x:v>Reconnection</x:v>
      </x:c>
      <x:c r="I14" s="27" t="str">
        <x:v>Reconnection: Factors, multiples and primes</x:v>
      </x:c>
      <x:c r="J14" s="27" t="str">
        <x:v>How can number structure make a calculation easier?</x:v>
      </x:c>
      <x:c r="K14" s="27" t="str">
        <x:v>identify factors, multiples, primes, HCF and LCM</x:v>
      </x:c>
      <x:c r="L14" s="27" t="str">
        <x:v>identify factors, multiples, primes, HCF and LCM</x:v>
      </x:c>
      <x:c r="M14" s="27" t="str">
        <x:v>Branch triggered when identify factors, multiples, primes, HCF and LCM is not yet secure enough for the current unit.</x:v>
      </x:c>
      <x:c r="N14" s="27" t="str">
        <x:v>REC-NUM-04</x:v>
      </x:c>
      <x:c r="O14" s="27" t="str">
        <x:v>Connection</x:v>
      </x:c>
      <x:c r="P14" s="27" t="str">
        <x:v>Reflection, Rest</x:v>
      </x:c>
      <x:c r="Q14" s="27" t="str">
        <x:v>Factor Web</x:v>
      </x:c>
      <x:c r="R14" s="27" t="str">
        <x:v>Structure Lab</x:v>
      </x:c>
      <x:c r="S14" s="27" t="str">
        <x:v>Square grid</x:v>
      </x:c>
      <x:c r="T14" s="27" t="str">
        <x:v>Factors, multiples and primes targeted practice</x:v>
      </x:c>
      <x:c r="U14" s="27" t="str">
        <x:v>Short reconnection evidence: identify factors, multiples, primes, HCF and LCM</x:v>
      </x:c>
      <x:c r="V14" s="27" t="str">
        <x:v>Learner can identify factors, multiples, primes, HCF and LCM sufficiently to return to Accuracy, Powers and Scale.</x:v>
      </x:c>
      <x:c r="W14" s="27" t="str">
        <x:v>Arrive 5 / Reconnect 20 / Test 10 / Return link 10</x:v>
      </x:c>
      <x:c r="X14" s="27" t="str">
        <x:v>NC KS3; Pearson Edexcel 4MA1 1.4, 1.8, 1.9</x:v>
      </x:c>
      <x:c r="Y14" s="27" t="str">
        <x:v>Low-Moderate; targeted prerequisite repair</x:v>
      </x:c>
      <x:c r="Z14" s="27" t="str">
        <x:v>Live, Asynchronous, Independent</x:v>
      </x:c>
      <x:c r="AA14" s="27" t="str">
        <x:v>Architecture mapped</x:v>
      </x:c>
      <x:c r="AB14" s="27" t="str">
        <x:v>Not 'catch-up'. A targeted route from Year 7 learning that reconnects the learner to NEO-MATH-Y9-01.</x:v>
      </x:c>
    </x:row>
    <x:row r="15" ht="44" customHeight="1">
      <x:c r="A15" s="27" t="str">
        <x:v>NEO-MATH-Y9-012</x:v>
      </x:c>
      <x:c r="B15" s="27" t="n">
        <x:v>12</x:v>
      </x:c>
      <x:c r="C15" s="27" t="str">
        <x:v>NEO-MATH-Y9-01</x:v>
      </x:c>
      <x:c r="D15" s="27" t="n">
        <x:v>1</x:v>
      </x:c>
      <x:c r="E15" s="27" t="str">
        <x:v>Accuracy, Powers and Scale</x:v>
      </x:c>
      <x:c r="F15" s="27" t="str">
        <x:v>Number Sense</x:v>
      </x:c>
      <x:c r="G15" s="27" t="n">
        <x:v>9</x:v>
      </x:c>
      <x:c r="H15" s="27" t="str">
        <x:v>Core</x:v>
      </x:c>
      <x:c r="I15" s="27" t="str">
        <x:v>Compare strategies: Write and order standard form</x:v>
      </x:c>
      <x:c r="J15" s="27" t="str">
        <x:v>Which route through write and order standard form is clearest or most efficient?</x:v>
      </x:c>
      <x:c r="K15" s="27" t="str">
        <x:v>write and order standard form</x:v>
      </x:c>
      <x:c r="L15" s="27" t="str">
        <x:v>write and order standard form</x:v>
      </x:c>
      <x:c r="M15" s="27" t="str">
        <x:v>use index laws</x:v>
      </x:c>
      <x:c r="N15" s="27" t="str"/>
      <x:c r="O15" s="27" t="str">
        <x:v>Movement</x:v>
      </x:c>
      <x:c r="P15" s="27" t="str">
        <x:v>Reflection, Connection</x:v>
      </x:c>
      <x:c r="Q15" s="27" t="str">
        <x:v>Micro-to-Macro Scale Explorer</x:v>
      </x:c>
      <x:c r="R15" s="27" t="str">
        <x:v>Number Explorer</x:v>
      </x:c>
      <x:c r="S15" s="27" t="str">
        <x:v>Square grid</x:v>
      </x:c>
      <x:c r="T15" s="27" t="str">
        <x:v>Accuracy, Powers and Scale – write and order standard form</x:v>
      </x:c>
      <x:c r="U15" s="27" t="str">
        <x:v>Two-route comparison for write and order standard form</x:v>
      </x:c>
      <x:c r="V15" s="27" t="str">
        <x:v>Learner can write and order standard form and give a reason or check.</x:v>
      </x:c>
      <x:c r="W15" s="27" t="str">
        <x:v>Connect 5 / Explore 20 / Create or Apply 12 / Reflect 8</x:v>
      </x:c>
      <x:c r="X15" s="27" t="str">
        <x:v>NC KS3; Pearson Edexcel 4MA1 1.4, 1.8, 1.9</x:v>
      </x:c>
      <x:c r="Y15" s="27" t="str">
        <x:v>Moderate</x:v>
      </x:c>
      <x:c r="Z15" s="27" t="str">
        <x:v>Live, Asynchronous, Independent</x:v>
      </x:c>
      <x:c r="AA15" s="27" t="str">
        <x:v>Architecture mapped</x:v>
      </x:c>
      <x:c r="AB15" s="27" t="str">
        <x:v>Part of the canonical Y9 route. May pause or branch to a Reconnection lesson before returning.</x:v>
      </x:c>
    </x:row>
    <x:row r="16" ht="44" customHeight="1">
      <x:c r="A16" s="27" t="str">
        <x:v>NEO-MATH-Y9-013</x:v>
      </x:c>
      <x:c r="B16" s="27" t="n">
        <x:v>13</x:v>
      </x:c>
      <x:c r="C16" s="27" t="str">
        <x:v>NEO-MATH-Y9-01</x:v>
      </x:c>
      <x:c r="D16" s="27" t="n">
        <x:v>1</x:v>
      </x:c>
      <x:c r="E16" s="27" t="str">
        <x:v>Accuracy, Powers and Scale</x:v>
      </x:c>
      <x:c r="F16" s="27" t="str">
        <x:v>Number Sense</x:v>
      </x:c>
      <x:c r="G16" s="27" t="n">
        <x:v>10</x:v>
      </x:c>
      <x:c r="H16" s="27" t="str">
        <x:v>Core</x:v>
      </x:c>
      <x:c r="I16" s="27" t="str">
        <x:v>Practice with choice: Interpret scale and magnitude</x:v>
      </x:c>
      <x:c r="J16" s="27" t="str">
        <x:v>Can I use interpret scale and magnitude without being told the method?</x:v>
      </x:c>
      <x:c r="K16" s="27" t="str">
        <x:v>interpret scale and magnitude</x:v>
      </x:c>
      <x:c r="L16" s="27" t="str">
        <x:v>interpret scale and magnitude</x:v>
      </x:c>
      <x:c r="M16" s="27" t="str">
        <x:v>write and order standard form</x:v>
      </x:c>
      <x:c r="N16" s="27" t="str"/>
      <x:c r="O16" s="27" t="str">
        <x:v>Movement</x:v>
      </x:c>
      <x:c r="P16" s="27" t="str">
        <x:v>Reflection, Connection</x:v>
      </x:c>
      <x:c r="Q16" s="27" t="str">
        <x:v>Micro-to-Macro Scale Explorer</x:v>
      </x:c>
      <x:c r="R16" s="27" t="str">
        <x:v>Number Explorer</x:v>
      </x:c>
      <x:c r="S16" s="27" t="str">
        <x:v>Square grid</x:v>
      </x:c>
      <x:c r="T16" s="27" t="str">
        <x:v>Accuracy, Powers and Scale – interpret scale and magnitude</x:v>
      </x:c>
      <x:c r="U16" s="27" t="str">
        <x:v>Practice Companion evidence for interpret scale and magnitude</x:v>
      </x:c>
      <x:c r="V16" s="27" t="str">
        <x:v>Learner can interpret scale and magnitude and give a reason or check.</x:v>
      </x:c>
      <x:c r="W16" s="27" t="str">
        <x:v>Reconnect 5 / Practice 25 / Check 10 / Reflect 5</x:v>
      </x:c>
      <x:c r="X16" s="27" t="str">
        <x:v>NC KS3; Pearson Edexcel 4MA1 1.4, 1.8, 1.9</x:v>
      </x:c>
      <x:c r="Y16" s="27" t="str">
        <x:v>Moderate</x:v>
      </x:c>
      <x:c r="Z16" s="27" t="str">
        <x:v>Live, Asynchronous, Independent</x:v>
      </x:c>
      <x:c r="AA16" s="27" t="str">
        <x:v>Architecture mapped</x:v>
      </x:c>
      <x:c r="AB16" s="27" t="str">
        <x:v>Part of the canonical Y9 route. May pause or branch to a Reconnection lesson before returning.</x:v>
      </x:c>
    </x:row>
    <x:row r="17" ht="44" customHeight="1">
      <x:c r="A17" s="27" t="str">
        <x:v>NEO-MATH-Y9-014</x:v>
      </x:c>
      <x:c r="B17" s="27" t="n">
        <x:v>14</x:v>
      </x:c>
      <x:c r="C17" s="27" t="str">
        <x:v>NEO-MATH-Y9-01</x:v>
      </x:c>
      <x:c r="D17" s="27" t="n">
        <x:v>1</x:v>
      </x:c>
      <x:c r="E17" s="27" t="str">
        <x:v>Accuracy, Powers and Scale</x:v>
      </x:c>
      <x:c r="F17" s="27" t="str">
        <x:v>Number Sense</x:v>
      </x:c>
      <x:c r="G17" s="27" t="n">
        <x:v>11</x:v>
      </x:c>
      <x:c r="H17" s="27" t="str">
        <x:v>Core</x:v>
      </x:c>
      <x:c r="I17" s="27" t="str">
        <x:v>Mastery checkpoint: Round to significant figures</x:v>
      </x:c>
      <x:c r="J17" s="27" t="str">
        <x:v>What can I now explain, apply and check about round to significant figures?</x:v>
      </x:c>
      <x:c r="K17" s="27" t="str">
        <x:v>round to significant figures</x:v>
      </x:c>
      <x:c r="L17" s="27" t="str">
        <x:v>round to significant figures</x:v>
      </x:c>
      <x:c r="M17" s="27" t="str">
        <x:v>interpret scale and magnitude</x:v>
      </x:c>
      <x:c r="N17" s="27" t="str"/>
      <x:c r="O17" s="27" t="str">
        <x:v>Movement</x:v>
      </x:c>
      <x:c r="P17" s="27" t="str">
        <x:v>Reflection, Connection</x:v>
      </x:c>
      <x:c r="Q17" s="27" t="str">
        <x:v>Micro-to-Macro Scale Explorer</x:v>
      </x:c>
      <x:c r="R17" s="27" t="str">
        <x:v>Number Explorer</x:v>
      </x:c>
      <x:c r="S17" s="27" t="str">
        <x:v>Square grid</x:v>
      </x:c>
      <x:c r="T17" s="27" t="str">
        <x:v>Accuracy, Powers and Scale – round to significant figures</x:v>
      </x:c>
      <x:c r="U17" s="27" t="str">
        <x:v>Scale of the World Investigation</x:v>
      </x:c>
      <x:c r="V17" s="27" t="str">
        <x:v>Learner can round to significant figures and give a reason or check.</x:v>
      </x:c>
      <x:c r="W17" s="27" t="str">
        <x:v>Settle 5 / Choose evidence 25 / Mastery check 10 / Reflect 5</x:v>
      </x:c>
      <x:c r="X17" s="27" t="str">
        <x:v>NC KS3; Pearson Edexcel 4MA1 1.4, 1.8, 1.9</x:v>
      </x:c>
      <x:c r="Y17" s="27" t="str">
        <x:v>Moderate</x:v>
      </x:c>
      <x:c r="Z17" s="27" t="str">
        <x:v>Live, Asynchronous, Independent</x:v>
      </x:c>
      <x:c r="AA17" s="27" t="str">
        <x:v>Architecture mapped</x:v>
      </x:c>
      <x:c r="AB17" s="27" t="str">
        <x:v>Part of the canonical Y9 route. May pause or branch to a Reconnection lesson before returning.</x:v>
      </x:c>
    </x:row>
    <x:row r="18" ht="44" customHeight="1">
      <x:c r="A18" s="27" t="str">
        <x:v>NEO-MATH-Y9-015</x:v>
      </x:c>
      <x:c r="B18" s="27" t="n">
        <x:v>15</x:v>
      </x:c>
      <x:c r="C18" s="27" t="str">
        <x:v>NEO-MATH-Y9-01</x:v>
      </x:c>
      <x:c r="D18" s="27" t="n">
        <x:v>1</x:v>
      </x:c>
      <x:c r="E18" s="27" t="str">
        <x:v>Accuracy, Powers and Scale</x:v>
      </x:c>
      <x:c r="F18" s="27" t="str">
        <x:v>Number Sense</x:v>
      </x:c>
      <x:c r="G18" s="27" t="n">
        <x:v>15</x:v>
      </x:c>
      <x:c r="H18" s="27" t="str">
        <x:v>Consolidation / Mastery</x:v>
      </x:c>
      <x:c r="I18" s="27" t="str">
        <x:v>Pause, connect and strengthen: Accuracy, Powers and Scale</x:v>
      </x:c>
      <x:c r="J18" s="27" t="str">
        <x:v>Which connection in this unit is now stronger—and which one needs another route?</x:v>
      </x:c>
      <x:c r="K18" s="27" t="str">
        <x:v>review, connect and select evidence across the unit</x:v>
      </x:c>
      <x:c r="L18" s="27" t="str">
        <x:v>unit-level synthesis and self-regulated mathematical learning</x:v>
      </x:c>
      <x:c r="M18" s="27" t="str">
        <x:v>completion of selected core sessions or equivalent evidence</x:v>
      </x:c>
      <x:c r="N18" s="27" t="str">
        <x:v>learner-specific; choose from linked Reconnection Bank</x:v>
      </x:c>
      <x:c r="O18" s="27" t="str">
        <x:v>Reflection</x:v>
      </x:c>
      <x:c r="P18" s="27" t="str">
        <x:v>Rest, Connection</x:v>
      </x:c>
      <x:c r="Q18" s="27" t="str">
        <x:v>Mastery Pathway Review</x:v>
      </x:c>
      <x:c r="R18" s="27" t="str">
        <x:v>Navigation Tool</x:v>
      </x:c>
      <x:c r="S18" s="27" t="str">
        <x:v>Blank</x:v>
      </x:c>
      <x:c r="T18" s="27" t="str">
        <x:v>learner-selected questions from the unit</x:v>
      </x:c>
      <x:c r="U18" s="27" t="str">
        <x:v>Mastery reflection plus one selected piece of unit evidence</x:v>
      </x:c>
      <x:c r="V18" s="27" t="str">
        <x:v>Learner identifies current Emerging / Developing / Secure / Mastering evidence and a useful next step.</x:v>
      </x:c>
      <x:c r="W18" s="27" t="str">
        <x:v>Settle 5 / Review 10 / Strengthen 15 / Evidence 10 / Next step 5</x:v>
      </x:c>
      <x:c r="X18" s="27" t="str">
        <x:v>NC KS3; Pearson Edexcel 4MA1 1.4, 1.8, 1.9</x:v>
      </x:c>
      <x:c r="Y18" s="27" t="str">
        <x:v>Low-Moderate; learner choice and reduced visual field</x:v>
      </x:c>
      <x:c r="Z18" s="27" t="str">
        <x:v>Live, Asynchronous, Independent</x:v>
      </x:c>
      <x:c r="AA18" s="27" t="str">
        <x:v>Architecture mapped</x:v>
      </x:c>
      <x:c r="AB18" s="27" t="str">
        <x:v>Designed breathing space. May become a return session after absence, a Practice Companion session, or a portfolio checkpoint.</x:v>
      </x:c>
    </x:row>
    <x:row r="19" ht="44" customHeight="1">
      <x:c r="A19" s="27" t="str">
        <x:v>NEO-MATH-Y9-016</x:v>
      </x:c>
      <x:c r="B19" s="27" t="n">
        <x:v>16</x:v>
      </x:c>
      <x:c r="C19" s="27" t="str">
        <x:v>NEO-MATH-Y9-01</x:v>
      </x:c>
      <x:c r="D19" s="27" t="n">
        <x:v>1</x:v>
      </x:c>
      <x:c r="E19" s="27" t="str">
        <x:v>Accuracy, Powers and Scale</x:v>
      </x:c>
      <x:c r="F19" s="27" t="str">
        <x:v>Number Sense</x:v>
      </x:c>
      <x:c r="G19" s="27" t="n">
        <x:v>16</x:v>
      </x:c>
      <x:c r="H19" s="27" t="str">
        <x:v>Extension / Portfolio</x:v>
      </x:c>
      <x:c r="I19" s="27" t="str">
        <x:v>Open inquiry: Scale of the World Investigation</x:v>
      </x:c>
      <x:c r="J19" s="27" t="str">
        <x:v>How far can I take interpret scale and magnitude when I choose the model or context?</x:v>
      </x:c>
      <x:c r="K19" s="27" t="str">
        <x:v>generalise and apply interpret scale and magnitude in a learner-selected or unfamiliar context</x:v>
      </x:c>
      <x:c r="L19" s="27" t="str">
        <x:v>interpret scale and magnitude</x:v>
      </x:c>
      <x:c r="M19" s="27" t="str">
        <x:v>Secure evidence in at least one central unit relationship</x:v>
      </x:c>
      <x:c r="N19" s="27" t="str"/>
      <x:c r="O19" s="27" t="str">
        <x:v>Creativity</x:v>
      </x:c>
      <x:c r="P19" s="27" t="str">
        <x:v>Movement, Reflection</x:v>
      </x:c>
      <x:c r="Q19" s="27" t="str">
        <x:v>Micro-to-Macro Scale Explorer</x:v>
      </x:c>
      <x:c r="R19" s="27" t="str">
        <x:v>Number Explorer</x:v>
      </x:c>
      <x:c r="S19" s="27" t="str">
        <x:v>Square grid</x:v>
      </x:c>
      <x:c r="T19" s="27" t="str">
        <x:v>optional stretch / unfamiliar-context questions</x:v>
      </x:c>
      <x:c r="U19" s="27" t="str">
        <x:v>Scale of the World Investigation</x:v>
      </x:c>
      <x:c r="V19" s="27" t="str">
        <x:v>Learner generalises interpret scale and magnitude, tests assumptions and communicates a defensible conclusion.</x:v>
      </x:c>
      <x:c r="W19" s="27" t="str">
        <x:v>Choose 5 / Conjecture 10 / Build or test 20 / Reflect 10</x:v>
      </x:c>
      <x:c r="X19" s="27" t="str">
        <x:v>NC KS3; Pearson Edexcel 4MA1 1.4, 1.8, 1.9</x:v>
      </x:c>
      <x:c r="Y19" s="27" t="str">
        <x:v>Moderate</x:v>
      </x:c>
      <x:c r="Z19" s="27" t="str">
        <x:v>Live, Asynchronous, Independent</x:v>
      </x:c>
      <x:c r="AA19" s="27" t="str">
        <x:v>Architecture mapped</x:v>
      </x:c>
      <x:c r="AB19" s="27" t="str">
        <x:v>High-ceiling optional route. Can replace repeated practice where Secure evidence is already present.</x:v>
      </x:c>
    </x:row>
    <x:row r="20" ht="44" customHeight="1">
      <x:c r="A20" s="27" t="str">
        <x:v>NEO-MATH-Y9-017</x:v>
      </x:c>
      <x:c r="B20" s="27" t="n">
        <x:v>17</x:v>
      </x:c>
      <x:c r="C20" s="27" t="str">
        <x:v>NEO-MATH-Y9-02</x:v>
      </x:c>
      <x:c r="D20" s="27" t="n">
        <x:v>2</x:v>
      </x:c>
      <x:c r="E20" s="27" t="str">
        <x:v>Solids, Cross-Sections and Space</x:v>
      </x:c>
      <x:c r="F20" s="27" t="str">
        <x:v>Spatial Reasoning</x:v>
      </x:c>
      <x:c r="G20" s="27" t="n">
        <x:v>1</x:v>
      </x:c>
      <x:c r="H20" s="27" t="str">
        <x:v>Core</x:v>
      </x:c>
      <x:c r="I20" s="27" t="str">
        <x:v>Connect &amp; notice: Analyse 2D and 3D properties</x:v>
      </x:c>
      <x:c r="J20" s="27" t="str">
        <x:v>What do I already notice about analyse 2D and 3D properties?</x:v>
      </x:c>
      <x:c r="K20" s="27" t="str">
        <x:v>analyse 2D and 3D properties</x:v>
      </x:c>
      <x:c r="L20" s="27" t="str">
        <x:v>analyse 2D and 3D properties</x:v>
      </x:c>
      <x:c r="M20" s="27" t="str">
        <x:v>learner entry knowledge and representation confidence</x:v>
      </x:c>
      <x:c r="N20" s="27" t="str"/>
      <x:c r="O20" s="27" t="str">
        <x:v>Movement</x:v>
      </x:c>
      <x:c r="P20" s="27" t="str">
        <x:v>Creativity, Reflection</x:v>
      </x:c>
      <x:c r="Q20" s="27" t="str">
        <x:v>3D Slice and Net Explorer</x:v>
      </x:c>
      <x:c r="R20" s="27" t="str">
        <x:v>Geometry Studio</x:v>
      </x:c>
      <x:c r="S20" s="27" t="str">
        <x:v>Square grid</x:v>
      </x:c>
      <x:c r="T20" s="27" t="str">
        <x:v>Solids, Cross-Sections and Space – analyse 2D and 3D properties</x:v>
      </x:c>
      <x:c r="U20" s="27" t="str">
        <x:v>Scratchpad prediction or notice about analyse 2D and 3D properties</x:v>
      </x:c>
      <x:c r="V20" s="27" t="str">
        <x:v>Learner can analyse 2D and 3D properties and give a reason or check.</x:v>
      </x:c>
      <x:c r="W20" s="27" t="str">
        <x:v>Connect 8 / Explore 20 / Notice 10 / Reflect 7</x:v>
      </x:c>
      <x:c r="X20" s="27" t="str">
        <x:v>NC KS3; 4MA1 4.2, 4.10; FS L2</x:v>
      </x:c>
      <x:c r="Y20" s="27" t="str">
        <x:v>Moderate-High spatial</x:v>
      </x:c>
      <x:c r="Z20" s="27" t="str">
        <x:v>Live, Asynchronous, Independent</x:v>
      </x:c>
      <x:c r="AA20" s="27" t="str">
        <x:v>Architecture mapped</x:v>
      </x:c>
      <x:c r="AB20" s="27" t="str">
        <x:v>Part of the canonical Y9 route. May pause or branch to a Reconnection lesson before returning.</x:v>
      </x:c>
    </x:row>
    <x:row r="21" ht="44" customHeight="1">
      <x:c r="A21" s="27" t="str">
        <x:v>NEO-MATH-Y9-018</x:v>
      </x:c>
      <x:c r="B21" s="27" t="n">
        <x:v>18</x:v>
      </x:c>
      <x:c r="C21" s="27" t="str">
        <x:v>NEO-MATH-Y9-02</x:v>
      </x:c>
      <x:c r="D21" s="27" t="n">
        <x:v>2</x:v>
      </x:c>
      <x:c r="E21" s="27" t="str">
        <x:v>Solids, Cross-Sections and Space</x:v>
      </x:c>
      <x:c r="F21" s="27" t="str">
        <x:v>Spatial Reasoning</x:v>
      </x:c>
      <x:c r="G21" s="27" t="n">
        <x:v>2</x:v>
      </x:c>
      <x:c r="H21" s="27" t="str">
        <x:v>Core</x:v>
      </x:c>
      <x:c r="I21" s="27" t="str">
        <x:v>Build the idea: Calculate surface area</x:v>
      </x:c>
      <x:c r="J21" s="27" t="str">
        <x:v>What does calculate surface area mean before I use a procedure?</x:v>
      </x:c>
      <x:c r="K21" s="27" t="str">
        <x:v>calculate surface area</x:v>
      </x:c>
      <x:c r="L21" s="27" t="str">
        <x:v>calculate surface area</x:v>
      </x:c>
      <x:c r="M21" s="27" t="str">
        <x:v>analyse 2D and 3D properties</x:v>
      </x:c>
      <x:c r="N21" s="27" t="str"/>
      <x:c r="O21" s="27" t="str">
        <x:v>Movement</x:v>
      </x:c>
      <x:c r="P21" s="27" t="str">
        <x:v>Creativity, Reflection</x:v>
      </x:c>
      <x:c r="Q21" s="27" t="str">
        <x:v>3D Slice and Net Explorer</x:v>
      </x:c>
      <x:c r="R21" s="27" t="str">
        <x:v>Geometry Studio</x:v>
      </x:c>
      <x:c r="S21" s="27" t="str">
        <x:v>Square grid</x:v>
      </x:c>
      <x:c r="T21" s="27" t="str">
        <x:v>Solids, Cross-Sections and Space – calculate surface area</x:v>
      </x:c>
      <x:c r="U21" s="27" t="str">
        <x:v>Annotated representation of calculate surface area</x:v>
      </x:c>
      <x:c r="V21" s="27" t="str">
        <x:v>Learner can calculate surface area and give a reason or check.</x:v>
      </x:c>
      <x:c r="W21" s="27" t="str">
        <x:v>Connect 5 / Explore 20 / Create or Apply 12 / Reflect 8</x:v>
      </x:c>
      <x:c r="X21" s="27" t="str">
        <x:v>NC KS3; 4MA1 4.2, 4.10; FS L2</x:v>
      </x:c>
      <x:c r="Y21" s="27" t="str">
        <x:v>Moderate-High spatial</x:v>
      </x:c>
      <x:c r="Z21" s="27" t="str">
        <x:v>Live, Asynchronous, Independent</x:v>
      </x:c>
      <x:c r="AA21" s="27" t="str">
        <x:v>Architecture mapped</x:v>
      </x:c>
      <x:c r="AB21" s="27" t="str">
        <x:v>Part of the canonical Y9 route. May pause or branch to a Reconnection lesson before returning.</x:v>
      </x:c>
    </x:row>
    <x:row r="22" ht="44" customHeight="1">
      <x:c r="A22" s="27" t="str">
        <x:v>NEO-MATH-Y9-019</x:v>
      </x:c>
      <x:c r="B22" s="27" t="n">
        <x:v>19</x:v>
      </x:c>
      <x:c r="C22" s="27" t="str">
        <x:v>NEO-MATH-Y9-02</x:v>
      </x:c>
      <x:c r="D22" s="27" t="n">
        <x:v>2</x:v>
      </x:c>
      <x:c r="E22" s="27" t="str">
        <x:v>Solids, Cross-Sections and Space</x:v>
      </x:c>
      <x:c r="F22" s="27" t="str">
        <x:v>Spatial Reasoning</x:v>
      </x:c>
      <x:c r="G22" s="27" t="n">
        <x:v>3</x:v>
      </x:c>
      <x:c r="H22" s="27" t="str">
        <x:v>Reconnection</x:v>
      </x:c>
      <x:c r="I22" s="27" t="str">
        <x:v>Reconnection: Perimeter and area</x:v>
      </x:c>
      <x:c r="J22" s="27" t="str">
        <x:v>How are boundary and space different?</x:v>
      </x:c>
      <x:c r="K22" s="27" t="str">
        <x:v>distinguish and calculate perimeter and area</x:v>
      </x:c>
      <x:c r="L22" s="27" t="str">
        <x:v>distinguish and calculate perimeter and area</x:v>
      </x:c>
      <x:c r="M22" s="27" t="str">
        <x:v>Branch triggered when distinguish and calculate perimeter and area is not yet secure enough for the current unit.</x:v>
      </x:c>
      <x:c r="N22" s="27" t="str">
        <x:v>REC-GEO-02</x:v>
      </x:c>
      <x:c r="O22" s="27" t="str">
        <x:v>Connection</x:v>
      </x:c>
      <x:c r="P22" s="27" t="str">
        <x:v>Reflection, Rest</x:v>
      </x:c>
      <x:c r="Q22" s="27" t="str">
        <x:v>Fixed-Perimeter Shape Designer</x:v>
      </x:c>
      <x:c r="R22" s="27" t="str">
        <x:v>Geometry Studio</x:v>
      </x:c>
      <x:c r="S22" s="27" t="str">
        <x:v>Square grid</x:v>
      </x:c>
      <x:c r="T22" s="27" t="str">
        <x:v>Perimeter and area targeted practice</x:v>
      </x:c>
      <x:c r="U22" s="27" t="str">
        <x:v>Short reconnection evidence: distinguish and calculate perimeter and area</x:v>
      </x:c>
      <x:c r="V22" s="27" t="str">
        <x:v>Learner can distinguish and calculate perimeter and area sufficiently to return to Solids, Cross-Sections and Space.</x:v>
      </x:c>
      <x:c r="W22" s="27" t="str">
        <x:v>Arrive 5 / Reconnect 20 / Test 10 / Return link 10</x:v>
      </x:c>
      <x:c r="X22" s="27" t="str">
        <x:v>NC KS3; 4MA1 4.2, 4.10; FS L2</x:v>
      </x:c>
      <x:c r="Y22" s="27" t="str">
        <x:v>Low-Moderate; targeted prerequisite repair</x:v>
      </x:c>
      <x:c r="Z22" s="27" t="str">
        <x:v>Live, Asynchronous, Independent</x:v>
      </x:c>
      <x:c r="AA22" s="27" t="str">
        <x:v>Architecture mapped</x:v>
      </x:c>
      <x:c r="AB22" s="27" t="str">
        <x:v>Not 'catch-up'. A targeted route from Year 7 learning that reconnects the learner to NEO-MATH-Y9-02.</x:v>
      </x:c>
    </x:row>
    <x:row r="23" ht="44" customHeight="1">
      <x:c r="A23" s="27" t="str">
        <x:v>NEO-MATH-Y9-020</x:v>
      </x:c>
      <x:c r="B23" s="27" t="n">
        <x:v>20</x:v>
      </x:c>
      <x:c r="C23" s="27" t="str">
        <x:v>NEO-MATH-Y9-02</x:v>
      </x:c>
      <x:c r="D23" s="27" t="n">
        <x:v>2</x:v>
      </x:c>
      <x:c r="E23" s="27" t="str">
        <x:v>Solids, Cross-Sections and Space</x:v>
      </x:c>
      <x:c r="F23" s="27" t="str">
        <x:v>Spatial Reasoning</x:v>
      </x:c>
      <x:c r="G23" s="27" t="n">
        <x:v>3</x:v>
      </x:c>
      <x:c r="H23" s="27" t="str">
        <x:v>Core</x:v>
      </x:c>
      <x:c r="I23" s="27" t="str">
        <x:v>Represent it: Calculate volume</x:v>
      </x:c>
      <x:c r="J23" s="27" t="str">
        <x:v>How can I show calculate volume in more than one way?</x:v>
      </x:c>
      <x:c r="K23" s="27" t="str">
        <x:v>calculate volume</x:v>
      </x:c>
      <x:c r="L23" s="27" t="str">
        <x:v>calculate volume</x:v>
      </x:c>
      <x:c r="M23" s="27" t="str">
        <x:v>calculate surface area</x:v>
      </x:c>
      <x:c r="N23" s="27" t="str"/>
      <x:c r="O23" s="27" t="str">
        <x:v>Movement</x:v>
      </x:c>
      <x:c r="P23" s="27" t="str">
        <x:v>Creativity, Reflection</x:v>
      </x:c>
      <x:c r="Q23" s="27" t="str">
        <x:v>3D Slice and Net Explorer</x:v>
      </x:c>
      <x:c r="R23" s="27" t="str">
        <x:v>Geometry Studio</x:v>
      </x:c>
      <x:c r="S23" s="27" t="str">
        <x:v>Square grid</x:v>
      </x:c>
      <x:c r="T23" s="27" t="str">
        <x:v>Solids, Cross-Sections and Space – calculate volume</x:v>
      </x:c>
      <x:c r="U23" s="27" t="str">
        <x:v>Annotated representation of calculate volume</x:v>
      </x:c>
      <x:c r="V23" s="27" t="str">
        <x:v>Learner can calculate volume and give a reason or check.</x:v>
      </x:c>
      <x:c r="W23" s="27" t="str">
        <x:v>Connect 5 / Explore 20 / Create or Apply 12 / Reflect 8</x:v>
      </x:c>
      <x:c r="X23" s="27" t="str">
        <x:v>NC KS3; 4MA1 4.2, 4.10; FS L2</x:v>
      </x:c>
      <x:c r="Y23" s="27" t="str">
        <x:v>Moderate-High spatial</x:v>
      </x:c>
      <x:c r="Z23" s="27" t="str">
        <x:v>Live, Asynchronous, Independent</x:v>
      </x:c>
      <x:c r="AA23" s="27" t="str">
        <x:v>Architecture mapped</x:v>
      </x:c>
      <x:c r="AB23" s="27" t="str">
        <x:v>Part of the canonical Y9 route. May pause or branch to a Reconnection lesson before returning.</x:v>
      </x:c>
    </x:row>
    <x:row r="24" ht="44" customHeight="1">
      <x:c r="A24" s="27" t="str">
        <x:v>NEO-MATH-Y9-021</x:v>
      </x:c>
      <x:c r="B24" s="27" t="n">
        <x:v>21</x:v>
      </x:c>
      <x:c r="C24" s="27" t="str">
        <x:v>NEO-MATH-Y9-02</x:v>
      </x:c>
      <x:c r="D24" s="27" t="n">
        <x:v>2</x:v>
      </x:c>
      <x:c r="E24" s="27" t="str">
        <x:v>Solids, Cross-Sections and Space</x:v>
      </x:c>
      <x:c r="F24" s="27" t="str">
        <x:v>Spatial Reasoning</x:v>
      </x:c>
      <x:c r="G24" s="27" t="n">
        <x:v>4</x:v>
      </x:c>
      <x:c r="H24" s="27" t="str">
        <x:v>Core</x:v>
      </x:c>
      <x:c r="I24" s="27" t="str">
        <x:v>Try one change: Interpret cross-sections</x:v>
      </x:c>
      <x:c r="J24" s="27" t="str">
        <x:v>What changes when I adjust one part of interpret cross-sections?</x:v>
      </x:c>
      <x:c r="K24" s="27" t="str">
        <x:v>interpret cross-sections</x:v>
      </x:c>
      <x:c r="L24" s="27" t="str">
        <x:v>interpret cross-sections</x:v>
      </x:c>
      <x:c r="M24" s="27" t="str">
        <x:v>calculate volume</x:v>
      </x:c>
      <x:c r="N24" s="27" t="str"/>
      <x:c r="O24" s="27" t="str">
        <x:v>Movement</x:v>
      </x:c>
      <x:c r="P24" s="27" t="str">
        <x:v>Creativity, Reflection</x:v>
      </x:c>
      <x:c r="Q24" s="27" t="str">
        <x:v>3D Slice and Net Explorer</x:v>
      </x:c>
      <x:c r="R24" s="27" t="str">
        <x:v>Geometry Studio</x:v>
      </x:c>
      <x:c r="S24" s="27" t="str">
        <x:v>Square grid</x:v>
      </x:c>
      <x:c r="T24" s="27" t="str">
        <x:v>Solids, Cross-Sections and Space – interpret cross-sections</x:v>
      </x:c>
      <x:c r="U24" s="27" t="str">
        <x:v>Annotated representation of interpret cross-sections</x:v>
      </x:c>
      <x:c r="V24" s="27" t="str">
        <x:v>Learner can interpret cross-sections and give a reason or check.</x:v>
      </x:c>
      <x:c r="W24" s="27" t="str">
        <x:v>Connect 5 / Explore 20 / Create or Apply 12 / Reflect 8</x:v>
      </x:c>
      <x:c r="X24" s="27" t="str">
        <x:v>NC KS3; 4MA1 4.2, 4.10; FS L2</x:v>
      </x:c>
      <x:c r="Y24" s="27" t="str">
        <x:v>Moderate-High spatial</x:v>
      </x:c>
      <x:c r="Z24" s="27" t="str">
        <x:v>Live, Asynchronous, Independent</x:v>
      </x:c>
      <x:c r="AA24" s="27" t="str">
        <x:v>Architecture mapped</x:v>
      </x:c>
      <x:c r="AB24" s="27" t="str">
        <x:v>Part of the canonical Y9 route. May pause or branch to a Reconnection lesson before returning.</x:v>
      </x:c>
    </x:row>
    <x:row r="25" ht="44" customHeight="1">
      <x:c r="A25" s="27" t="str">
        <x:v>NEO-MATH-Y9-022</x:v>
      </x:c>
      <x:c r="B25" s="27" t="n">
        <x:v>22</x:v>
      </x:c>
      <x:c r="C25" s="27" t="str">
        <x:v>NEO-MATH-Y9-02</x:v>
      </x:c>
      <x:c r="D25" s="27" t="n">
        <x:v>2</x:v>
      </x:c>
      <x:c r="E25" s="27" t="str">
        <x:v>Solids, Cross-Sections and Space</x:v>
      </x:c>
      <x:c r="F25" s="27" t="str">
        <x:v>Spatial Reasoning</x:v>
      </x:c>
      <x:c r="G25" s="27" t="n">
        <x:v>5</x:v>
      </x:c>
      <x:c r="H25" s="27" t="str">
        <x:v>Core</x:v>
      </x:c>
      <x:c r="I25" s="27" t="str">
        <x:v>Connect ideas: Connect nets, solids and measures</x:v>
      </x:c>
      <x:c r="J25" s="27" t="str">
        <x:v>How does connect nets, solids and measures connect to the earlier relationship?</x:v>
      </x:c>
      <x:c r="K25" s="27" t="str">
        <x:v>connect nets, solids and measures</x:v>
      </x:c>
      <x:c r="L25" s="27" t="str">
        <x:v>connect nets, solids and measures</x:v>
      </x:c>
      <x:c r="M25" s="27" t="str">
        <x:v>interpret cross-sections</x:v>
      </x:c>
      <x:c r="N25" s="27" t="str"/>
      <x:c r="O25" s="27" t="str">
        <x:v>Movement</x:v>
      </x:c>
      <x:c r="P25" s="27" t="str">
        <x:v>Creativity, Reflection</x:v>
      </x:c>
      <x:c r="Q25" s="27" t="str">
        <x:v>3D Slice and Net Explorer</x:v>
      </x:c>
      <x:c r="R25" s="27" t="str">
        <x:v>Geometry Studio</x:v>
      </x:c>
      <x:c r="S25" s="27" t="str">
        <x:v>Square grid</x:v>
      </x:c>
      <x:c r="T25" s="27" t="str">
        <x:v>Solids, Cross-Sections and Space – connect nets, solids and measures</x:v>
      </x:c>
      <x:c r="U25" s="27" t="str">
        <x:v>Annotated representation of connect nets, solids and measures</x:v>
      </x:c>
      <x:c r="V25" s="27" t="str">
        <x:v>Learner can connect nets, solids and measures and give a reason or check.</x:v>
      </x:c>
      <x:c r="W25" s="27" t="str">
        <x:v>Connect 8 / Explore 20 / Notice 10 / Reflect 7</x:v>
      </x:c>
      <x:c r="X25" s="27" t="str">
        <x:v>NC KS3; 4MA1 4.2, 4.10; FS L2</x:v>
      </x:c>
      <x:c r="Y25" s="27" t="str">
        <x:v>Moderate-High spatial</x:v>
      </x:c>
      <x:c r="Z25" s="27" t="str">
        <x:v>Live, Asynchronous, Independent</x:v>
      </x:c>
      <x:c r="AA25" s="27" t="str">
        <x:v>Architecture mapped</x:v>
      </x:c>
      <x:c r="AB25" s="27" t="str">
        <x:v>Part of the canonical Y9 route. May pause or branch to a Reconnection lesson before returning.</x:v>
      </x:c>
    </x:row>
    <x:row r="26" ht="44" customHeight="1">
      <x:c r="A26" s="27" t="str">
        <x:v>NEO-MATH-Y9-023</x:v>
      </x:c>
      <x:c r="B26" s="27" t="n">
        <x:v>23</x:v>
      </x:c>
      <x:c r="C26" s="27" t="str">
        <x:v>NEO-MATH-Y9-02</x:v>
      </x:c>
      <x:c r="D26" s="27" t="n">
        <x:v>2</x:v>
      </x:c>
      <x:c r="E26" s="27" t="str">
        <x:v>Solids, Cross-Sections and Space</x:v>
      </x:c>
      <x:c r="F26" s="27" t="str">
        <x:v>Spatial Reasoning</x:v>
      </x:c>
      <x:c r="G26" s="27" t="n">
        <x:v>7</x:v>
      </x:c>
      <x:c r="H26" s="27" t="str">
        <x:v>Reconnection</x:v>
      </x:c>
      <x:c r="I26" s="27" t="str">
        <x:v>Reconnection: Volume and units</x:v>
      </x:c>
      <x:c r="J26" s="27" t="str">
        <x:v>How does a 2D measure become a 3D measure?</x:v>
      </x:c>
      <x:c r="K26" s="27" t="str">
        <x:v>calculate prism volume and convert units</x:v>
      </x:c>
      <x:c r="L26" s="27" t="str">
        <x:v>calculate prism volume and convert units</x:v>
      </x:c>
      <x:c r="M26" s="27" t="str">
        <x:v>Branch triggered when calculate prism volume and convert units is not yet secure enough for the current unit.</x:v>
      </x:c>
      <x:c r="N26" s="27" t="str">
        <x:v>REC-GEO-05</x:v>
      </x:c>
      <x:c r="O26" s="27" t="str">
        <x:v>Connection</x:v>
      </x:c>
      <x:c r="P26" s="27" t="str">
        <x:v>Reflection, Rest</x:v>
      </x:c>
      <x:c r="Q26" s="27" t="str">
        <x:v>Prism Builder</x:v>
      </x:c>
      <x:c r="R26" s="27" t="str">
        <x:v>Geometry Studio</x:v>
      </x:c>
      <x:c r="S26" s="27" t="str">
        <x:v>Square grid</x:v>
      </x:c>
      <x:c r="T26" s="27" t="str">
        <x:v>Volume and units targeted practice</x:v>
      </x:c>
      <x:c r="U26" s="27" t="str">
        <x:v>Short reconnection evidence: calculate prism volume and convert units</x:v>
      </x:c>
      <x:c r="V26" s="27" t="str">
        <x:v>Learner can calculate prism volume and convert units sufficiently to return to Solids, Cross-Sections and Space.</x:v>
      </x:c>
      <x:c r="W26" s="27" t="str">
        <x:v>Arrive 5 / Reconnect 20 / Test 10 / Return link 10</x:v>
      </x:c>
      <x:c r="X26" s="27" t="str">
        <x:v>NC KS3; 4MA1 4.2, 4.10; FS L2</x:v>
      </x:c>
      <x:c r="Y26" s="27" t="str">
        <x:v>Low-Moderate; targeted prerequisite repair</x:v>
      </x:c>
      <x:c r="Z26" s="27" t="str">
        <x:v>Live, Asynchronous, Independent</x:v>
      </x:c>
      <x:c r="AA26" s="27" t="str">
        <x:v>Architecture mapped</x:v>
      </x:c>
      <x:c r="AB26" s="27" t="str">
        <x:v>Not 'catch-up'. A targeted route from Year 8 learning that reconnects the learner to NEO-MATH-Y9-02.</x:v>
      </x:c>
    </x:row>
    <x:row r="27" ht="44" customHeight="1">
      <x:c r="A27" s="27" t="str">
        <x:v>NEO-MATH-Y9-024</x:v>
      </x:c>
      <x:c r="B27" s="27" t="n">
        <x:v>24</x:v>
      </x:c>
      <x:c r="C27" s="27" t="str">
        <x:v>NEO-MATH-Y9-02</x:v>
      </x:c>
      <x:c r="D27" s="27" t="n">
        <x:v>2</x:v>
      </x:c>
      <x:c r="E27" s="27" t="str">
        <x:v>Solids, Cross-Sections and Space</x:v>
      </x:c>
      <x:c r="F27" s="27" t="str">
        <x:v>Spatial Reasoning</x:v>
      </x:c>
      <x:c r="G27" s="27" t="n">
        <x:v>6</x:v>
      </x:c>
      <x:c r="H27" s="27" t="str">
        <x:v>Core</x:v>
      </x:c>
      <x:c r="I27" s="27" t="str">
        <x:v>Repair a misconception: Analyse 2D and 3D properties</x:v>
      </x:c>
      <x:c r="J27" s="27" t="str">
        <x:v>What tempting mistake can analyse 2D and 3D properties create?</x:v>
      </x:c>
      <x:c r="K27" s="27" t="str">
        <x:v>analyse 2D and 3D properties</x:v>
      </x:c>
      <x:c r="L27" s="27" t="str">
        <x:v>analyse 2D and 3D properties</x:v>
      </x:c>
      <x:c r="M27" s="27" t="str">
        <x:v>connect nets, solids and measures</x:v>
      </x:c>
      <x:c r="N27" s="27" t="str"/>
      <x:c r="O27" s="27" t="str">
        <x:v>Movement</x:v>
      </x:c>
      <x:c r="P27" s="27" t="str">
        <x:v>Creativity, Reflection</x:v>
      </x:c>
      <x:c r="Q27" s="27" t="str">
        <x:v>3D Slice and Net Explorer</x:v>
      </x:c>
      <x:c r="R27" s="27" t="str">
        <x:v>Geometry Studio</x:v>
      </x:c>
      <x:c r="S27" s="27" t="str">
        <x:v>Square grid</x:v>
      </x:c>
      <x:c r="T27" s="27" t="str">
        <x:v>Solids, Cross-Sections and Space – analyse 2D and 3D properties</x:v>
      </x:c>
      <x:c r="U27" s="27" t="str">
        <x:v>Corrected misconception note: analyse 2D and 3D properties</x:v>
      </x:c>
      <x:c r="V27" s="27" t="str">
        <x:v>Learner can analyse 2D and 3D properties and give a reason or check.</x:v>
      </x:c>
      <x:c r="W27" s="27" t="str">
        <x:v>Connect 5 / Explore 20 / Create or Apply 12 / Reflect 8</x:v>
      </x:c>
      <x:c r="X27" s="27" t="str">
        <x:v>NC KS3; 4MA1 4.2, 4.10; FS L2</x:v>
      </x:c>
      <x:c r="Y27" s="27" t="str">
        <x:v>Moderate-High spatial</x:v>
      </x:c>
      <x:c r="Z27" s="27" t="str">
        <x:v>Live, Asynchronous, Independent</x:v>
      </x:c>
      <x:c r="AA27" s="27" t="str">
        <x:v>Architecture mapped</x:v>
      </x:c>
      <x:c r="AB27" s="27" t="str">
        <x:v>Part of the canonical Y9 route. May pause or branch to a Reconnection lesson before returning.</x:v>
      </x:c>
    </x:row>
    <x:row r="28" ht="44" customHeight="1">
      <x:c r="A28" s="27" t="str">
        <x:v>NEO-MATH-Y9-025</x:v>
      </x:c>
      <x:c r="B28" s="27" t="n">
        <x:v>25</x:v>
      </x:c>
      <x:c r="C28" s="27" t="str">
        <x:v>NEO-MATH-Y9-02</x:v>
      </x:c>
      <x:c r="D28" s="27" t="n">
        <x:v>2</x:v>
      </x:c>
      <x:c r="E28" s="27" t="str">
        <x:v>Solids, Cross-Sections and Space</x:v>
      </x:c>
      <x:c r="F28" s="27" t="str">
        <x:v>Spatial Reasoning</x:v>
      </x:c>
      <x:c r="G28" s="27" t="n">
        <x:v>7</x:v>
      </x:c>
      <x:c r="H28" s="27" t="str">
        <x:v>Core</x:v>
      </x:c>
      <x:c r="I28" s="27" t="str">
        <x:v>Apply in context: Calculate surface area</x:v>
      </x:c>
      <x:c r="J28" s="27" t="str">
        <x:v>Where might calculate surface area help with a real decision?</x:v>
      </x:c>
      <x:c r="K28" s="27" t="str">
        <x:v>calculate surface area</x:v>
      </x:c>
      <x:c r="L28" s="27" t="str">
        <x:v>calculate surface area</x:v>
      </x:c>
      <x:c r="M28" s="27" t="str">
        <x:v>analyse 2D and 3D properties</x:v>
      </x:c>
      <x:c r="N28" s="27" t="str"/>
      <x:c r="O28" s="27" t="str">
        <x:v>Movement</x:v>
      </x:c>
      <x:c r="P28" s="27" t="str">
        <x:v>Creativity, Reflection</x:v>
      </x:c>
      <x:c r="Q28" s="27" t="str">
        <x:v>3D Slice and Net Explorer</x:v>
      </x:c>
      <x:c r="R28" s="27" t="str">
        <x:v>Geometry Studio</x:v>
      </x:c>
      <x:c r="S28" s="27" t="str">
        <x:v>Square grid</x:v>
      </x:c>
      <x:c r="T28" s="27" t="str">
        <x:v>Solids, Cross-Sections and Space – calculate surface area</x:v>
      </x:c>
      <x:c r="U28" s="27" t="str">
        <x:v>Short contextual application of calculate surface area</x:v>
      </x:c>
      <x:c r="V28" s="27" t="str">
        <x:v>Learner can calculate surface area and give a reason or check.</x:v>
      </x:c>
      <x:c r="W28" s="27" t="str">
        <x:v>Connect 5 / Explore 20 / Create or Apply 12 / Reflect 8</x:v>
      </x:c>
      <x:c r="X28" s="27" t="str">
        <x:v>NC KS3; 4MA1 4.2, 4.10; FS L2</x:v>
      </x:c>
      <x:c r="Y28" s="27" t="str">
        <x:v>Moderate-High spatial</x:v>
      </x:c>
      <x:c r="Z28" s="27" t="str">
        <x:v>Live, Asynchronous, Independent</x:v>
      </x:c>
      <x:c r="AA28" s="27" t="str">
        <x:v>Architecture mapped</x:v>
      </x:c>
      <x:c r="AB28" s="27" t="str">
        <x:v>Part of the canonical Y9 route. May pause or branch to a Reconnection lesson before returning.</x:v>
      </x:c>
    </x:row>
    <x:row r="29" ht="44" customHeight="1">
      <x:c r="A29" s="27" t="str">
        <x:v>NEO-MATH-Y9-026</x:v>
      </x:c>
      <x:c r="B29" s="27" t="n">
        <x:v>26</x:v>
      </x:c>
      <x:c r="C29" s="27" t="str">
        <x:v>NEO-MATH-Y9-02</x:v>
      </x:c>
      <x:c r="D29" s="27" t="n">
        <x:v>2</x:v>
      </x:c>
      <x:c r="E29" s="27" t="str">
        <x:v>Solids, Cross-Sections and Space</x:v>
      </x:c>
      <x:c r="F29" s="27" t="str">
        <x:v>Spatial Reasoning</x:v>
      </x:c>
      <x:c r="G29" s="27" t="n">
        <x:v>8</x:v>
      </x:c>
      <x:c r="H29" s="27" t="str">
        <x:v>Core</x:v>
      </x:c>
      <x:c r="I29" s="27" t="str">
        <x:v>Model and test: Calculate volume</x:v>
      </x:c>
      <x:c r="J29" s="27" t="str">
        <x:v>Can I build a model using calculate volume and test it?</x:v>
      </x:c>
      <x:c r="K29" s="27" t="str">
        <x:v>calculate volume</x:v>
      </x:c>
      <x:c r="L29" s="27" t="str">
        <x:v>calculate volume</x:v>
      </x:c>
      <x:c r="M29" s="27" t="str">
        <x:v>calculate surface area</x:v>
      </x:c>
      <x:c r="N29" s="27" t="str"/>
      <x:c r="O29" s="27" t="str">
        <x:v>Movement</x:v>
      </x:c>
      <x:c r="P29" s="27" t="str">
        <x:v>Creativity, Reflection</x:v>
      </x:c>
      <x:c r="Q29" s="27" t="str">
        <x:v>3D Slice and Net Explorer</x:v>
      </x:c>
      <x:c r="R29" s="27" t="str">
        <x:v>Geometry Studio</x:v>
      </x:c>
      <x:c r="S29" s="27" t="str">
        <x:v>Square grid</x:v>
      </x:c>
      <x:c r="T29" s="27" t="str">
        <x:v>Solids, Cross-Sections and Space – calculate volume</x:v>
      </x:c>
      <x:c r="U29" s="27" t="str">
        <x:v>Tested model using calculate volume</x:v>
      </x:c>
      <x:c r="V29" s="27" t="str">
        <x:v>Learner can calculate volume and give a reason or check.</x:v>
      </x:c>
      <x:c r="W29" s="27" t="str">
        <x:v>Connect 5 / Explore 20 / Create or Apply 12 / Reflect 8</x:v>
      </x:c>
      <x:c r="X29" s="27" t="str">
        <x:v>NC KS3; 4MA1 4.2, 4.10; FS L2</x:v>
      </x:c>
      <x:c r="Y29" s="27" t="str">
        <x:v>Moderate-High spatial</x:v>
      </x:c>
      <x:c r="Z29" s="27" t="str">
        <x:v>Live, Asynchronous, Independent</x:v>
      </x:c>
      <x:c r="AA29" s="27" t="str">
        <x:v>Architecture mapped</x:v>
      </x:c>
      <x:c r="AB29" s="27" t="str">
        <x:v>Part of the canonical Y9 route. May pause or branch to a Reconnection lesson before returning.</x:v>
      </x:c>
    </x:row>
    <x:row r="30" ht="44" customHeight="1">
      <x:c r="A30" s="27" t="str">
        <x:v>NEO-MATH-Y9-027</x:v>
      </x:c>
      <x:c r="B30" s="27" t="n">
        <x:v>27</x:v>
      </x:c>
      <x:c r="C30" s="27" t="str">
        <x:v>NEO-MATH-Y9-02</x:v>
      </x:c>
      <x:c r="D30" s="27" t="n">
        <x:v>2</x:v>
      </x:c>
      <x:c r="E30" s="27" t="str">
        <x:v>Solids, Cross-Sections and Space</x:v>
      </x:c>
      <x:c r="F30" s="27" t="str">
        <x:v>Spatial Reasoning</x:v>
      </x:c>
      <x:c r="G30" s="27" t="n">
        <x:v>9</x:v>
      </x:c>
      <x:c r="H30" s="27" t="str">
        <x:v>Core</x:v>
      </x:c>
      <x:c r="I30" s="27" t="str">
        <x:v>Compare strategies: Interpret cross-sections</x:v>
      </x:c>
      <x:c r="J30" s="27" t="str">
        <x:v>Which route through interpret cross-sections is clearest or most efficient?</x:v>
      </x:c>
      <x:c r="K30" s="27" t="str">
        <x:v>interpret cross-sections</x:v>
      </x:c>
      <x:c r="L30" s="27" t="str">
        <x:v>interpret cross-sections</x:v>
      </x:c>
      <x:c r="M30" s="27" t="str">
        <x:v>calculate volume</x:v>
      </x:c>
      <x:c r="N30" s="27" t="str"/>
      <x:c r="O30" s="27" t="str">
        <x:v>Movement</x:v>
      </x:c>
      <x:c r="P30" s="27" t="str">
        <x:v>Creativity, Reflection</x:v>
      </x:c>
      <x:c r="Q30" s="27" t="str">
        <x:v>3D Slice and Net Explorer</x:v>
      </x:c>
      <x:c r="R30" s="27" t="str">
        <x:v>Geometry Studio</x:v>
      </x:c>
      <x:c r="S30" s="27" t="str">
        <x:v>Square grid</x:v>
      </x:c>
      <x:c r="T30" s="27" t="str">
        <x:v>Solids, Cross-Sections and Space – interpret cross-sections</x:v>
      </x:c>
      <x:c r="U30" s="27" t="str">
        <x:v>Two-route comparison for interpret cross-sections</x:v>
      </x:c>
      <x:c r="V30" s="27" t="str">
        <x:v>Learner can interpret cross-sections and give a reason or check.</x:v>
      </x:c>
      <x:c r="W30" s="27" t="str">
        <x:v>Connect 5 / Explore 20 / Create or Apply 12 / Reflect 8</x:v>
      </x:c>
      <x:c r="X30" s="27" t="str">
        <x:v>NC KS3; 4MA1 4.2, 4.10; FS L2</x:v>
      </x:c>
      <x:c r="Y30" s="27" t="str">
        <x:v>Moderate-High spatial</x:v>
      </x:c>
      <x:c r="Z30" s="27" t="str">
        <x:v>Live, Asynchronous, Independent</x:v>
      </x:c>
      <x:c r="AA30" s="27" t="str">
        <x:v>Architecture mapped</x:v>
      </x:c>
      <x:c r="AB30" s="27" t="str">
        <x:v>Part of the canonical Y9 route. May pause or branch to a Reconnection lesson before returning.</x:v>
      </x:c>
    </x:row>
    <x:row r="31" ht="44" customHeight="1">
      <x:c r="A31" s="27" t="str">
        <x:v>NEO-MATH-Y9-028</x:v>
      </x:c>
      <x:c r="B31" s="27" t="n">
        <x:v>28</x:v>
      </x:c>
      <x:c r="C31" s="27" t="str">
        <x:v>NEO-MATH-Y9-02</x:v>
      </x:c>
      <x:c r="D31" s="27" t="n">
        <x:v>2</x:v>
      </x:c>
      <x:c r="E31" s="27" t="str">
        <x:v>Solids, Cross-Sections and Space</x:v>
      </x:c>
      <x:c r="F31" s="27" t="str">
        <x:v>Spatial Reasoning</x:v>
      </x:c>
      <x:c r="G31" s="27" t="n">
        <x:v>10</x:v>
      </x:c>
      <x:c r="H31" s="27" t="str">
        <x:v>Core</x:v>
      </x:c>
      <x:c r="I31" s="27" t="str">
        <x:v>Practice with choice: Connect nets, solids and measures</x:v>
      </x:c>
      <x:c r="J31" s="27" t="str">
        <x:v>Can I use connect nets, solids and measures without being told the method?</x:v>
      </x:c>
      <x:c r="K31" s="27" t="str">
        <x:v>connect nets, solids and measures</x:v>
      </x:c>
      <x:c r="L31" s="27" t="str">
        <x:v>connect nets, solids and measures</x:v>
      </x:c>
      <x:c r="M31" s="27" t="str">
        <x:v>interpret cross-sections</x:v>
      </x:c>
      <x:c r="N31" s="27" t="str"/>
      <x:c r="O31" s="27" t="str">
        <x:v>Movement</x:v>
      </x:c>
      <x:c r="P31" s="27" t="str">
        <x:v>Creativity, Reflection</x:v>
      </x:c>
      <x:c r="Q31" s="27" t="str">
        <x:v>3D Slice and Net Explorer</x:v>
      </x:c>
      <x:c r="R31" s="27" t="str">
        <x:v>Geometry Studio</x:v>
      </x:c>
      <x:c r="S31" s="27" t="str">
        <x:v>Square grid</x:v>
      </x:c>
      <x:c r="T31" s="27" t="str">
        <x:v>Solids, Cross-Sections and Space – connect nets, solids and measures</x:v>
      </x:c>
      <x:c r="U31" s="27" t="str">
        <x:v>Practice Companion evidence for connect nets, solids and measures</x:v>
      </x:c>
      <x:c r="V31" s="27" t="str">
        <x:v>Learner can connect nets, solids and measures and give a reason or check.</x:v>
      </x:c>
      <x:c r="W31" s="27" t="str">
        <x:v>Reconnect 5 / Practice 25 / Check 10 / Reflect 5</x:v>
      </x:c>
      <x:c r="X31" s="27" t="str">
        <x:v>NC KS3; 4MA1 4.2, 4.10; FS L2</x:v>
      </x:c>
      <x:c r="Y31" s="27" t="str">
        <x:v>Moderate-High spatial</x:v>
      </x:c>
      <x:c r="Z31" s="27" t="str">
        <x:v>Live, Asynchronous, Independent</x:v>
      </x:c>
      <x:c r="AA31" s="27" t="str">
        <x:v>Architecture mapped</x:v>
      </x:c>
      <x:c r="AB31" s="27" t="str">
        <x:v>Part of the canonical Y9 route. May pause or branch to a Reconnection lesson before returning.</x:v>
      </x:c>
    </x:row>
    <x:row r="32" ht="44" customHeight="1">
      <x:c r="A32" s="27" t="str">
        <x:v>NEO-MATH-Y9-029</x:v>
      </x:c>
      <x:c r="B32" s="27" t="n">
        <x:v>29</x:v>
      </x:c>
      <x:c r="C32" s="27" t="str">
        <x:v>NEO-MATH-Y9-02</x:v>
      </x:c>
      <x:c r="D32" s="27" t="n">
        <x:v>2</x:v>
      </x:c>
      <x:c r="E32" s="27" t="str">
        <x:v>Solids, Cross-Sections and Space</x:v>
      </x:c>
      <x:c r="F32" s="27" t="str">
        <x:v>Spatial Reasoning</x:v>
      </x:c>
      <x:c r="G32" s="27" t="n">
        <x:v>11</x:v>
      </x:c>
      <x:c r="H32" s="27" t="str">
        <x:v>Core</x:v>
      </x:c>
      <x:c r="I32" s="27" t="str">
        <x:v>Mastery checkpoint: Analyse 2D and 3D properties</x:v>
      </x:c>
      <x:c r="J32" s="27" t="str">
        <x:v>What can I now explain, apply and check about analyse 2D and 3D properties?</x:v>
      </x:c>
      <x:c r="K32" s="27" t="str">
        <x:v>analyse 2D and 3D properties</x:v>
      </x:c>
      <x:c r="L32" s="27" t="str">
        <x:v>analyse 2D and 3D properties</x:v>
      </x:c>
      <x:c r="M32" s="27" t="str">
        <x:v>connect nets, solids and measures</x:v>
      </x:c>
      <x:c r="N32" s="27" t="str"/>
      <x:c r="O32" s="27" t="str">
        <x:v>Movement</x:v>
      </x:c>
      <x:c r="P32" s="27" t="str">
        <x:v>Creativity, Reflection</x:v>
      </x:c>
      <x:c r="Q32" s="27" t="str">
        <x:v>3D Slice and Net Explorer</x:v>
      </x:c>
      <x:c r="R32" s="27" t="str">
        <x:v>Geometry Studio</x:v>
      </x:c>
      <x:c r="S32" s="27" t="str">
        <x:v>Square grid</x:v>
      </x:c>
      <x:c r="T32" s="27" t="str">
        <x:v>Solids, Cross-Sections and Space – analyse 2D and 3D properties</x:v>
      </x:c>
      <x:c r="U32" s="27" t="str">
        <x:v>Shape Passport / Packaging Redesign</x:v>
      </x:c>
      <x:c r="V32" s="27" t="str">
        <x:v>Learner can analyse 2D and 3D properties and give a reason or check.</x:v>
      </x:c>
      <x:c r="W32" s="27" t="str">
        <x:v>Settle 5 / Choose evidence 25 / Mastery check 10 / Reflect 5</x:v>
      </x:c>
      <x:c r="X32" s="27" t="str">
        <x:v>NC KS3; 4MA1 4.2, 4.10; FS L2</x:v>
      </x:c>
      <x:c r="Y32" s="27" t="str">
        <x:v>Moderate-High spatial</x:v>
      </x:c>
      <x:c r="Z32" s="27" t="str">
        <x:v>Live, Asynchronous, Independent</x:v>
      </x:c>
      <x:c r="AA32" s="27" t="str">
        <x:v>Architecture mapped</x:v>
      </x:c>
      <x:c r="AB32" s="27" t="str">
        <x:v>Part of the canonical Y9 route. May pause or branch to a Reconnection lesson before returning.</x:v>
      </x:c>
    </x:row>
    <x:row r="33" ht="44" customHeight="1">
      <x:c r="A33" s="27" t="str">
        <x:v>NEO-MATH-Y9-030</x:v>
      </x:c>
      <x:c r="B33" s="27" t="n">
        <x:v>30</x:v>
      </x:c>
      <x:c r="C33" s="27" t="str">
        <x:v>NEO-MATH-Y9-02</x:v>
      </x:c>
      <x:c r="D33" s="27" t="n">
        <x:v>2</x:v>
      </x:c>
      <x:c r="E33" s="27" t="str">
        <x:v>Solids, Cross-Sections and Space</x:v>
      </x:c>
      <x:c r="F33" s="27" t="str">
        <x:v>Spatial Reasoning</x:v>
      </x:c>
      <x:c r="G33" s="27" t="n">
        <x:v>14</x:v>
      </x:c>
      <x:c r="H33" s="27" t="str">
        <x:v>Consolidation / Mastery</x:v>
      </x:c>
      <x:c r="I33" s="27" t="str">
        <x:v>Pause, connect and strengthen: Solids, Cross-Sections and Space</x:v>
      </x:c>
      <x:c r="J33" s="27" t="str">
        <x:v>Which connection in this unit is now stronger—and which one needs another route?</x:v>
      </x:c>
      <x:c r="K33" s="27" t="str">
        <x:v>review, connect and select evidence across the unit</x:v>
      </x:c>
      <x:c r="L33" s="27" t="str">
        <x:v>unit-level synthesis and self-regulated mathematical learning</x:v>
      </x:c>
      <x:c r="M33" s="27" t="str">
        <x:v>completion of selected core sessions or equivalent evidence</x:v>
      </x:c>
      <x:c r="N33" s="27" t="str">
        <x:v>learner-specific; choose from linked Reconnection Bank</x:v>
      </x:c>
      <x:c r="O33" s="27" t="str">
        <x:v>Reflection</x:v>
      </x:c>
      <x:c r="P33" s="27" t="str">
        <x:v>Rest, Connection</x:v>
      </x:c>
      <x:c r="Q33" s="27" t="str">
        <x:v>Mastery Pathway Review</x:v>
      </x:c>
      <x:c r="R33" s="27" t="str">
        <x:v>Navigation Tool</x:v>
      </x:c>
      <x:c r="S33" s="27" t="str">
        <x:v>Blank</x:v>
      </x:c>
      <x:c r="T33" s="27" t="str">
        <x:v>learner-selected questions from the unit</x:v>
      </x:c>
      <x:c r="U33" s="27" t="str">
        <x:v>Mastery reflection plus one selected piece of unit evidence</x:v>
      </x:c>
      <x:c r="V33" s="27" t="str">
        <x:v>Learner identifies current Emerging / Developing / Secure / Mastering evidence and a useful next step.</x:v>
      </x:c>
      <x:c r="W33" s="27" t="str">
        <x:v>Settle 5 / Review 10 / Strengthen 15 / Evidence 10 / Next step 5</x:v>
      </x:c>
      <x:c r="X33" s="27" t="str">
        <x:v>NC KS3; 4MA1 4.2, 4.10; FS L2</x:v>
      </x:c>
      <x:c r="Y33" s="27" t="str">
        <x:v>Low-Moderate; learner choice and reduced visual field</x:v>
      </x:c>
      <x:c r="Z33" s="27" t="str">
        <x:v>Live, Asynchronous, Independent</x:v>
      </x:c>
      <x:c r="AA33" s="27" t="str">
        <x:v>Architecture mapped</x:v>
      </x:c>
      <x:c r="AB33" s="27" t="str">
        <x:v>Designed breathing space. May become a return session after absence, a Practice Companion session, or a portfolio checkpoint.</x:v>
      </x:c>
    </x:row>
    <x:row r="34" ht="44" customHeight="1">
      <x:c r="A34" s="27" t="str">
        <x:v>NEO-MATH-Y9-031</x:v>
      </x:c>
      <x:c r="B34" s="27" t="n">
        <x:v>31</x:v>
      </x:c>
      <x:c r="C34" s="27" t="str">
        <x:v>NEO-MATH-Y9-03</x:v>
      </x:c>
      <x:c r="D34" s="27" t="n">
        <x:v>3</x:v>
      </x:c>
      <x:c r="E34" s="27" t="str">
        <x:v>Quadratics: When Change Itself Changes</x:v>
      </x:c>
      <x:c r="F34" s="27" t="str">
        <x:v>Structure &amp; Generalisation</x:v>
      </x:c>
      <x:c r="G34" s="27" t="n">
        <x:v>1</x:v>
      </x:c>
      <x:c r="H34" s="27" t="str">
        <x:v>Core</x:v>
      </x:c>
      <x:c r="I34" s="27" t="str">
        <x:v>Connect &amp; notice: Recognise quadratic patterns</x:v>
      </x:c>
      <x:c r="J34" s="27" t="str">
        <x:v>What do I already notice about recognise quadratic patterns?</x:v>
      </x:c>
      <x:c r="K34" s="27" t="str">
        <x:v>recognise quadratic patterns</x:v>
      </x:c>
      <x:c r="L34" s="27" t="str">
        <x:v>recognise quadratic patterns</x:v>
      </x:c>
      <x:c r="M34" s="27" t="str">
        <x:v>learner entry knowledge and representation confidence</x:v>
      </x:c>
      <x:c r="N34" s="27" t="str"/>
      <x:c r="O34" s="27" t="str">
        <x:v>Movement</x:v>
      </x:c>
      <x:c r="P34" s="27" t="str">
        <x:v>Connection, Creativity</x:v>
      </x:c>
      <x:c r="Q34" s="27" t="str">
        <x:v>Quadratic Shape Shifter</x:v>
      </x:c>
      <x:c r="R34" s="27" t="str">
        <x:v>Structure Lab</x:v>
      </x:c>
      <x:c r="S34" s="27" t="str">
        <x:v>Coordinate grid</x:v>
      </x:c>
      <x:c r="T34" s="27" t="str">
        <x:v>Quadratics: When Change Itself Changes – recognise quadratic patterns</x:v>
      </x:c>
      <x:c r="U34" s="27" t="str">
        <x:v>Scratchpad prediction or notice about recognise quadratic patterns</x:v>
      </x:c>
      <x:c r="V34" s="27" t="str">
        <x:v>Learner can recognise quadratic patterns and give a reason or check.</x:v>
      </x:c>
      <x:c r="W34" s="27" t="str">
        <x:v>Connect 8 / Explore 20 / Notice 10 / Reflect 7</x:v>
      </x:c>
      <x:c r="X34" s="27" t="str">
        <x:v>NC KS3; 4MA1 2.2, 2.7, 3.3</x:v>
      </x:c>
      <x:c r="Y34" s="27" t="str">
        <x:v>High visual/algebra</x:v>
      </x:c>
      <x:c r="Z34" s="27" t="str">
        <x:v>Live, Asynchronous, Independent</x:v>
      </x:c>
      <x:c r="AA34" s="27" t="str">
        <x:v>Architecture mapped</x:v>
      </x:c>
      <x:c r="AB34" s="27" t="str">
        <x:v>Part of the canonical Y9 route. May pause or branch to a Reconnection lesson before returning.</x:v>
      </x:c>
    </x:row>
    <x:row r="35" ht="44" customHeight="1">
      <x:c r="A35" s="27" t="str">
        <x:v>NEO-MATH-Y9-032</x:v>
      </x:c>
      <x:c r="B35" s="27" t="n">
        <x:v>32</x:v>
      </x:c>
      <x:c r="C35" s="27" t="str">
        <x:v>NEO-MATH-Y9-03</x:v>
      </x:c>
      <x:c r="D35" s="27" t="n">
        <x:v>3</x:v>
      </x:c>
      <x:c r="E35" s="27" t="str">
        <x:v>Quadratics: When Change Itself Changes</x:v>
      </x:c>
      <x:c r="F35" s="27" t="str">
        <x:v>Structure &amp; Generalisation</x:v>
      </x:c>
      <x:c r="G35" s="27" t="n">
        <x:v>2</x:v>
      </x:c>
      <x:c r="H35" s="27" t="str">
        <x:v>Core</x:v>
      </x:c>
      <x:c r="I35" s="27" t="str">
        <x:v>Build the idea: Use second differences</x:v>
      </x:c>
      <x:c r="J35" s="27" t="str">
        <x:v>What does use second differences mean before I use a procedure?</x:v>
      </x:c>
      <x:c r="K35" s="27" t="str">
        <x:v>use second differences</x:v>
      </x:c>
      <x:c r="L35" s="27" t="str">
        <x:v>use second differences</x:v>
      </x:c>
      <x:c r="M35" s="27" t="str">
        <x:v>recognise quadratic patterns</x:v>
      </x:c>
      <x:c r="N35" s="27" t="str"/>
      <x:c r="O35" s="27" t="str">
        <x:v>Movement</x:v>
      </x:c>
      <x:c r="P35" s="27" t="str">
        <x:v>Connection, Creativity</x:v>
      </x:c>
      <x:c r="Q35" s="27" t="str">
        <x:v>Quadratic Shape Shifter</x:v>
      </x:c>
      <x:c r="R35" s="27" t="str">
        <x:v>Structure Lab</x:v>
      </x:c>
      <x:c r="S35" s="27" t="str">
        <x:v>Coordinate grid</x:v>
      </x:c>
      <x:c r="T35" s="27" t="str">
        <x:v>Quadratics: When Change Itself Changes – use second differences</x:v>
      </x:c>
      <x:c r="U35" s="27" t="str">
        <x:v>Annotated representation of use second differences</x:v>
      </x:c>
      <x:c r="V35" s="27" t="str">
        <x:v>Learner can use second differences and give a reason or check.</x:v>
      </x:c>
      <x:c r="W35" s="27" t="str">
        <x:v>Connect 5 / Explore 20 / Create or Apply 12 / Reflect 8</x:v>
      </x:c>
      <x:c r="X35" s="27" t="str">
        <x:v>NC KS3; 4MA1 2.2, 2.7, 3.3</x:v>
      </x:c>
      <x:c r="Y35" s="27" t="str">
        <x:v>High visual/algebra</x:v>
      </x:c>
      <x:c r="Z35" s="27" t="str">
        <x:v>Live, Asynchronous, Independent</x:v>
      </x:c>
      <x:c r="AA35" s="27" t="str">
        <x:v>Architecture mapped</x:v>
      </x:c>
      <x:c r="AB35" s="27" t="str">
        <x:v>Part of the canonical Y9 route. May pause or branch to a Reconnection lesson before returning.</x:v>
      </x:c>
    </x:row>
    <x:row r="36" ht="44" customHeight="1">
      <x:c r="A36" s="27" t="str">
        <x:v>NEO-MATH-Y9-033</x:v>
      </x:c>
      <x:c r="B36" s="27" t="n">
        <x:v>33</x:v>
      </x:c>
      <x:c r="C36" s="27" t="str">
        <x:v>NEO-MATH-Y9-03</x:v>
      </x:c>
      <x:c r="D36" s="27" t="n">
        <x:v>3</x:v>
      </x:c>
      <x:c r="E36" s="27" t="str">
        <x:v>Quadratics: When Change Itself Changes</x:v>
      </x:c>
      <x:c r="F36" s="27" t="str">
        <x:v>Structure &amp; Generalisation</x:v>
      </x:c>
      <x:c r="G36" s="27" t="n">
        <x:v>3</x:v>
      </x:c>
      <x:c r="H36" s="27" t="str">
        <x:v>Reconnection</x:v>
      </x:c>
      <x:c r="I36" s="27" t="str">
        <x:v>Reconnection: Collecting like terms</x:v>
      </x:c>
      <x:c r="J36" s="27" t="str">
        <x:v>Which algebraic terms really belong together?</x:v>
      </x:c>
      <x:c r="K36" s="27" t="str">
        <x:v>simplify by collecting like terms</x:v>
      </x:c>
      <x:c r="L36" s="27" t="str">
        <x:v>simplify by collecting like terms</x:v>
      </x:c>
      <x:c r="M36" s="27" t="str">
        <x:v>Branch triggered when simplify by collecting like terms is not yet secure enough for the current unit.</x:v>
      </x:c>
      <x:c r="N36" s="27" t="str">
        <x:v>REC-ALG-02</x:v>
      </x:c>
      <x:c r="O36" s="27" t="str">
        <x:v>Connection</x:v>
      </x:c>
      <x:c r="P36" s="27" t="str">
        <x:v>Reflection, Rest</x:v>
      </x:c>
      <x:c r="Q36" s="27" t="str">
        <x:v>Expression Equivalence Lab</x:v>
      </x:c>
      <x:c r="R36" s="27" t="str">
        <x:v>Structure Lab</x:v>
      </x:c>
      <x:c r="S36" s="27" t="str">
        <x:v>Blank</x:v>
      </x:c>
      <x:c r="T36" s="27" t="str">
        <x:v>Collecting like terms targeted practice</x:v>
      </x:c>
      <x:c r="U36" s="27" t="str">
        <x:v>Short reconnection evidence: simplify by collecting like terms</x:v>
      </x:c>
      <x:c r="V36" s="27" t="str">
        <x:v>Learner can simplify by collecting like terms sufficiently to return to Quadratics: When Change Itself Changes.</x:v>
      </x:c>
      <x:c r="W36" s="27" t="str">
        <x:v>Arrive 5 / Reconnect 20 / Test 10 / Return link 10</x:v>
      </x:c>
      <x:c r="X36" s="27" t="str">
        <x:v>NC KS3; 4MA1 2.2, 2.7, 3.3</x:v>
      </x:c>
      <x:c r="Y36" s="27" t="str">
        <x:v>Low-Moderate; targeted prerequisite repair</x:v>
      </x:c>
      <x:c r="Z36" s="27" t="str">
        <x:v>Live, Asynchronous, Independent</x:v>
      </x:c>
      <x:c r="AA36" s="27" t="str">
        <x:v>Architecture mapped</x:v>
      </x:c>
      <x:c r="AB36" s="27" t="str">
        <x:v>Not 'catch-up'. A targeted route from Year 8 learning that reconnects the learner to NEO-MATH-Y9-03.</x:v>
      </x:c>
    </x:row>
    <x:row r="37" ht="44" customHeight="1">
      <x:c r="A37" s="27" t="str">
        <x:v>NEO-MATH-Y9-034</x:v>
      </x:c>
      <x:c r="B37" s="27" t="n">
        <x:v>34</x:v>
      </x:c>
      <x:c r="C37" s="27" t="str">
        <x:v>NEO-MATH-Y9-03</x:v>
      </x:c>
      <x:c r="D37" s="27" t="n">
        <x:v>3</x:v>
      </x:c>
      <x:c r="E37" s="27" t="str">
        <x:v>Quadratics: When Change Itself Changes</x:v>
      </x:c>
      <x:c r="F37" s="27" t="str">
        <x:v>Structure &amp; Generalisation</x:v>
      </x:c>
      <x:c r="G37" s="27" t="n">
        <x:v>3</x:v>
      </x:c>
      <x:c r="H37" s="27" t="str">
        <x:v>Core</x:v>
      </x:c>
      <x:c r="I37" s="27" t="str">
        <x:v>Represent it: Expand simple quadratics</x:v>
      </x:c>
      <x:c r="J37" s="27" t="str">
        <x:v>How can I show expand simple quadratics in more than one way?</x:v>
      </x:c>
      <x:c r="K37" s="27" t="str">
        <x:v>expand simple quadratics</x:v>
      </x:c>
      <x:c r="L37" s="27" t="str">
        <x:v>expand simple quadratics</x:v>
      </x:c>
      <x:c r="M37" s="27" t="str">
        <x:v>use second differences</x:v>
      </x:c>
      <x:c r="N37" s="27" t="str"/>
      <x:c r="O37" s="27" t="str">
        <x:v>Movement</x:v>
      </x:c>
      <x:c r="P37" s="27" t="str">
        <x:v>Connection, Creativity</x:v>
      </x:c>
      <x:c r="Q37" s="27" t="str">
        <x:v>Quadratic Shape Shifter</x:v>
      </x:c>
      <x:c r="R37" s="27" t="str">
        <x:v>Structure Lab</x:v>
      </x:c>
      <x:c r="S37" s="27" t="str">
        <x:v>Coordinate grid</x:v>
      </x:c>
      <x:c r="T37" s="27" t="str">
        <x:v>Quadratics: When Change Itself Changes – expand simple quadratics</x:v>
      </x:c>
      <x:c r="U37" s="27" t="str">
        <x:v>Annotated representation of expand simple quadratics</x:v>
      </x:c>
      <x:c r="V37" s="27" t="str">
        <x:v>Learner can expand simple quadratics and give a reason or check.</x:v>
      </x:c>
      <x:c r="W37" s="27" t="str">
        <x:v>Connect 5 / Explore 20 / Create or Apply 12 / Reflect 8</x:v>
      </x:c>
      <x:c r="X37" s="27" t="str">
        <x:v>NC KS3; 4MA1 2.2, 2.7, 3.3</x:v>
      </x:c>
      <x:c r="Y37" s="27" t="str">
        <x:v>High visual/algebra</x:v>
      </x:c>
      <x:c r="Z37" s="27" t="str">
        <x:v>Live, Asynchronous, Independent</x:v>
      </x:c>
      <x:c r="AA37" s="27" t="str">
        <x:v>Architecture mapped</x:v>
      </x:c>
      <x:c r="AB37" s="27" t="str">
        <x:v>Part of the canonical Y9 route. May pause or branch to a Reconnection lesson before returning.</x:v>
      </x:c>
    </x:row>
    <x:row r="38" ht="44" customHeight="1">
      <x:c r="A38" s="27" t="str">
        <x:v>NEO-MATH-Y9-035</x:v>
      </x:c>
      <x:c r="B38" s="27" t="n">
        <x:v>35</x:v>
      </x:c>
      <x:c r="C38" s="27" t="str">
        <x:v>NEO-MATH-Y9-03</x:v>
      </x:c>
      <x:c r="D38" s="27" t="n">
        <x:v>3</x:v>
      </x:c>
      <x:c r="E38" s="27" t="str">
        <x:v>Quadratics: When Change Itself Changes</x:v>
      </x:c>
      <x:c r="F38" s="27" t="str">
        <x:v>Structure &amp; Generalisation</x:v>
      </x:c>
      <x:c r="G38" s="27" t="n">
        <x:v>4</x:v>
      </x:c>
      <x:c r="H38" s="27" t="str">
        <x:v>Core</x:v>
      </x:c>
      <x:c r="I38" s="27" t="str">
        <x:v>Try one change: Factorise simple quadratics</x:v>
      </x:c>
      <x:c r="J38" s="27" t="str">
        <x:v>What changes when I adjust one part of factorise simple quadratics?</x:v>
      </x:c>
      <x:c r="K38" s="27" t="str">
        <x:v>factorise simple quadratics</x:v>
      </x:c>
      <x:c r="L38" s="27" t="str">
        <x:v>factorise simple quadratics</x:v>
      </x:c>
      <x:c r="M38" s="27" t="str">
        <x:v>expand simple quadratics</x:v>
      </x:c>
      <x:c r="N38" s="27" t="str"/>
      <x:c r="O38" s="27" t="str">
        <x:v>Movement</x:v>
      </x:c>
      <x:c r="P38" s="27" t="str">
        <x:v>Connection, Creativity</x:v>
      </x:c>
      <x:c r="Q38" s="27" t="str">
        <x:v>Quadratic Shape Shifter</x:v>
      </x:c>
      <x:c r="R38" s="27" t="str">
        <x:v>Structure Lab</x:v>
      </x:c>
      <x:c r="S38" s="27" t="str">
        <x:v>Coordinate grid</x:v>
      </x:c>
      <x:c r="T38" s="27" t="str">
        <x:v>Quadratics: When Change Itself Changes – factorise simple quadratics</x:v>
      </x:c>
      <x:c r="U38" s="27" t="str">
        <x:v>Annotated representation of factorise simple quadratics</x:v>
      </x:c>
      <x:c r="V38" s="27" t="str">
        <x:v>Learner can factorise simple quadratics and give a reason or check.</x:v>
      </x:c>
      <x:c r="W38" s="27" t="str">
        <x:v>Connect 5 / Explore 20 / Create or Apply 12 / Reflect 8</x:v>
      </x:c>
      <x:c r="X38" s="27" t="str">
        <x:v>NC KS3; 4MA1 2.2, 2.7, 3.3</x:v>
      </x:c>
      <x:c r="Y38" s="27" t="str">
        <x:v>High visual/algebra</x:v>
      </x:c>
      <x:c r="Z38" s="27" t="str">
        <x:v>Live, Asynchronous, Independent</x:v>
      </x:c>
      <x:c r="AA38" s="27" t="str">
        <x:v>Architecture mapped</x:v>
      </x:c>
      <x:c r="AB38" s="27" t="str">
        <x:v>Part of the canonical Y9 route. May pause or branch to a Reconnection lesson before returning.</x:v>
      </x:c>
    </x:row>
    <x:row r="39" ht="44" customHeight="1">
      <x:c r="A39" s="27" t="str">
        <x:v>NEO-MATH-Y9-036</x:v>
      </x:c>
      <x:c r="B39" s="27" t="n">
        <x:v>36</x:v>
      </x:c>
      <x:c r="C39" s="27" t="str">
        <x:v>NEO-MATH-Y9-03</x:v>
      </x:c>
      <x:c r="D39" s="27" t="n">
        <x:v>3</x:v>
      </x:c>
      <x:c r="E39" s="27" t="str">
        <x:v>Quadratics: When Change Itself Changes</x:v>
      </x:c>
      <x:c r="F39" s="27" t="str">
        <x:v>Structure &amp; Generalisation</x:v>
      </x:c>
      <x:c r="G39" s="27" t="n">
        <x:v>5</x:v>
      </x:c>
      <x:c r="H39" s="27" t="str">
        <x:v>Core</x:v>
      </x:c>
      <x:c r="I39" s="27" t="str">
        <x:v>Connect ideas: Connect quadratic rules and graphs</x:v>
      </x:c>
      <x:c r="J39" s="27" t="str">
        <x:v>How does connect quadratic rules and graphs connect to the earlier relationship?</x:v>
      </x:c>
      <x:c r="K39" s="27" t="str">
        <x:v>connect quadratic rules and graphs</x:v>
      </x:c>
      <x:c r="L39" s="27" t="str">
        <x:v>connect quadratic rules and graphs</x:v>
      </x:c>
      <x:c r="M39" s="27" t="str">
        <x:v>factorise simple quadratics</x:v>
      </x:c>
      <x:c r="N39" s="27" t="str"/>
      <x:c r="O39" s="27" t="str">
        <x:v>Movement</x:v>
      </x:c>
      <x:c r="P39" s="27" t="str">
        <x:v>Connection, Creativity</x:v>
      </x:c>
      <x:c r="Q39" s="27" t="str">
        <x:v>Quadratic Shape Shifter</x:v>
      </x:c>
      <x:c r="R39" s="27" t="str">
        <x:v>Structure Lab</x:v>
      </x:c>
      <x:c r="S39" s="27" t="str">
        <x:v>Coordinate grid</x:v>
      </x:c>
      <x:c r="T39" s="27" t="str">
        <x:v>Quadratics: When Change Itself Changes – connect quadratic rules and graphs</x:v>
      </x:c>
      <x:c r="U39" s="27" t="str">
        <x:v>Annotated representation of connect quadratic rules and graphs</x:v>
      </x:c>
      <x:c r="V39" s="27" t="str">
        <x:v>Learner can connect quadratic rules and graphs and give a reason or check.</x:v>
      </x:c>
      <x:c r="W39" s="27" t="str">
        <x:v>Connect 8 / Explore 20 / Notice 10 / Reflect 7</x:v>
      </x:c>
      <x:c r="X39" s="27" t="str">
        <x:v>NC KS3; 4MA1 2.2, 2.7, 3.3</x:v>
      </x:c>
      <x:c r="Y39" s="27" t="str">
        <x:v>High visual/algebra</x:v>
      </x:c>
      <x:c r="Z39" s="27" t="str">
        <x:v>Live, Asynchronous, Independent</x:v>
      </x:c>
      <x:c r="AA39" s="27" t="str">
        <x:v>Architecture mapped</x:v>
      </x:c>
      <x:c r="AB39" s="27" t="str">
        <x:v>Part of the canonical Y9 route. May pause or branch to a Reconnection lesson before returning.</x:v>
      </x:c>
    </x:row>
    <x:row r="40" ht="44" customHeight="1">
      <x:c r="A40" s="27" t="str">
        <x:v>NEO-MATH-Y9-037</x:v>
      </x:c>
      <x:c r="B40" s="27" t="n">
        <x:v>37</x:v>
      </x:c>
      <x:c r="C40" s="27" t="str">
        <x:v>NEO-MATH-Y9-03</x:v>
      </x:c>
      <x:c r="D40" s="27" t="n">
        <x:v>3</x:v>
      </x:c>
      <x:c r="E40" s="27" t="str">
        <x:v>Quadratics: When Change Itself Changes</x:v>
      </x:c>
      <x:c r="F40" s="27" t="str">
        <x:v>Structure &amp; Generalisation</x:v>
      </x:c>
      <x:c r="G40" s="27" t="n">
        <x:v>7</x:v>
      </x:c>
      <x:c r="H40" s="27" t="str">
        <x:v>Reconnection</x:v>
      </x:c>
      <x:c r="I40" s="27" t="str">
        <x:v>Reconnection: Expanding brackets</x:v>
      </x:c>
      <x:c r="J40" s="27" t="str">
        <x:v>What changes when a bracket opens?</x:v>
      </x:c>
      <x:c r="K40" s="27" t="str">
        <x:v>expand single brackets</x:v>
      </x:c>
      <x:c r="L40" s="27" t="str">
        <x:v>expand single brackets</x:v>
      </x:c>
      <x:c r="M40" s="27" t="str">
        <x:v>Branch triggered when expand single brackets is not yet secure enough for the current unit.</x:v>
      </x:c>
      <x:c r="N40" s="27" t="str">
        <x:v>REC-ALG-04</x:v>
      </x:c>
      <x:c r="O40" s="27" t="str">
        <x:v>Connection</x:v>
      </x:c>
      <x:c r="P40" s="27" t="str">
        <x:v>Reflection, Rest</x:v>
      </x:c>
      <x:c r="Q40" s="27" t="str">
        <x:v>Bracket Area Model</x:v>
      </x:c>
      <x:c r="R40" s="27" t="str">
        <x:v>Structure Lab</x:v>
      </x:c>
      <x:c r="S40" s="27" t="str">
        <x:v>Square grid</x:v>
      </x:c>
      <x:c r="T40" s="27" t="str">
        <x:v>Expanding brackets targeted practice</x:v>
      </x:c>
      <x:c r="U40" s="27" t="str">
        <x:v>Short reconnection evidence: expand single brackets</x:v>
      </x:c>
      <x:c r="V40" s="27" t="str">
        <x:v>Learner can expand single brackets sufficiently to return to Quadratics: When Change Itself Changes.</x:v>
      </x:c>
      <x:c r="W40" s="27" t="str">
        <x:v>Arrive 5 / Reconnect 20 / Test 10 / Return link 10</x:v>
      </x:c>
      <x:c r="X40" s="27" t="str">
        <x:v>NC KS3; 4MA1 2.2, 2.7, 3.3</x:v>
      </x:c>
      <x:c r="Y40" s="27" t="str">
        <x:v>Low-Moderate; targeted prerequisite repair</x:v>
      </x:c>
      <x:c r="Z40" s="27" t="str">
        <x:v>Live, Asynchronous, Independent</x:v>
      </x:c>
      <x:c r="AA40" s="27" t="str">
        <x:v>Architecture mapped</x:v>
      </x:c>
      <x:c r="AB40" s="27" t="str">
        <x:v>Not 'catch-up'. A targeted route from Year 8 learning that reconnects the learner to NEO-MATH-Y9-03.</x:v>
      </x:c>
    </x:row>
    <x:row r="41" ht="44" customHeight="1">
      <x:c r="A41" s="27" t="str">
        <x:v>NEO-MATH-Y9-038</x:v>
      </x:c>
      <x:c r="B41" s="27" t="n">
        <x:v>38</x:v>
      </x:c>
      <x:c r="C41" s="27" t="str">
        <x:v>NEO-MATH-Y9-03</x:v>
      </x:c>
      <x:c r="D41" s="27" t="n">
        <x:v>3</x:v>
      </x:c>
      <x:c r="E41" s="27" t="str">
        <x:v>Quadratics: When Change Itself Changes</x:v>
      </x:c>
      <x:c r="F41" s="27" t="str">
        <x:v>Structure &amp; Generalisation</x:v>
      </x:c>
      <x:c r="G41" s="27" t="n">
        <x:v>6</x:v>
      </x:c>
      <x:c r="H41" s="27" t="str">
        <x:v>Core</x:v>
      </x:c>
      <x:c r="I41" s="27" t="str">
        <x:v>Repair a misconception: Recognise quadratic patterns</x:v>
      </x:c>
      <x:c r="J41" s="27" t="str">
        <x:v>What tempting mistake can recognise quadratic patterns create?</x:v>
      </x:c>
      <x:c r="K41" s="27" t="str">
        <x:v>recognise quadratic patterns</x:v>
      </x:c>
      <x:c r="L41" s="27" t="str">
        <x:v>recognise quadratic patterns</x:v>
      </x:c>
      <x:c r="M41" s="27" t="str">
        <x:v>connect quadratic rules and graphs</x:v>
      </x:c>
      <x:c r="N41" s="27" t="str"/>
      <x:c r="O41" s="27" t="str">
        <x:v>Movement</x:v>
      </x:c>
      <x:c r="P41" s="27" t="str">
        <x:v>Connection, Creativity</x:v>
      </x:c>
      <x:c r="Q41" s="27" t="str">
        <x:v>Quadratic Shape Shifter</x:v>
      </x:c>
      <x:c r="R41" s="27" t="str">
        <x:v>Structure Lab</x:v>
      </x:c>
      <x:c r="S41" s="27" t="str">
        <x:v>Coordinate grid</x:v>
      </x:c>
      <x:c r="T41" s="27" t="str">
        <x:v>Quadratics: When Change Itself Changes – recognise quadratic patterns</x:v>
      </x:c>
      <x:c r="U41" s="27" t="str">
        <x:v>Corrected misconception note: recognise quadratic patterns</x:v>
      </x:c>
      <x:c r="V41" s="27" t="str">
        <x:v>Learner can recognise quadratic patterns and give a reason or check.</x:v>
      </x:c>
      <x:c r="W41" s="27" t="str">
        <x:v>Connect 5 / Explore 20 / Create or Apply 12 / Reflect 8</x:v>
      </x:c>
      <x:c r="X41" s="27" t="str">
        <x:v>NC KS3; 4MA1 2.2, 2.7, 3.3</x:v>
      </x:c>
      <x:c r="Y41" s="27" t="str">
        <x:v>High visual/algebra</x:v>
      </x:c>
      <x:c r="Z41" s="27" t="str">
        <x:v>Live, Asynchronous, Independent</x:v>
      </x:c>
      <x:c r="AA41" s="27" t="str">
        <x:v>Architecture mapped</x:v>
      </x:c>
      <x:c r="AB41" s="27" t="str">
        <x:v>Part of the canonical Y9 route. May pause or branch to a Reconnection lesson before returning.</x:v>
      </x:c>
    </x:row>
    <x:row r="42" ht="44" customHeight="1">
      <x:c r="A42" s="27" t="str">
        <x:v>NEO-MATH-Y9-039</x:v>
      </x:c>
      <x:c r="B42" s="27" t="n">
        <x:v>39</x:v>
      </x:c>
      <x:c r="C42" s="27" t="str">
        <x:v>NEO-MATH-Y9-03</x:v>
      </x:c>
      <x:c r="D42" s="27" t="n">
        <x:v>3</x:v>
      </x:c>
      <x:c r="E42" s="27" t="str">
        <x:v>Quadratics: When Change Itself Changes</x:v>
      </x:c>
      <x:c r="F42" s="27" t="str">
        <x:v>Structure &amp; Generalisation</x:v>
      </x:c>
      <x:c r="G42" s="27" t="n">
        <x:v>7</x:v>
      </x:c>
      <x:c r="H42" s="27" t="str">
        <x:v>Core</x:v>
      </x:c>
      <x:c r="I42" s="27" t="str">
        <x:v>Apply in context: Use second differences</x:v>
      </x:c>
      <x:c r="J42" s="27" t="str">
        <x:v>Where might use second differences help with a real decision?</x:v>
      </x:c>
      <x:c r="K42" s="27" t="str">
        <x:v>use second differences</x:v>
      </x:c>
      <x:c r="L42" s="27" t="str">
        <x:v>use second differences</x:v>
      </x:c>
      <x:c r="M42" s="27" t="str">
        <x:v>recognise quadratic patterns</x:v>
      </x:c>
      <x:c r="N42" s="27" t="str"/>
      <x:c r="O42" s="27" t="str">
        <x:v>Movement</x:v>
      </x:c>
      <x:c r="P42" s="27" t="str">
        <x:v>Connection, Creativity</x:v>
      </x:c>
      <x:c r="Q42" s="27" t="str">
        <x:v>Quadratic Shape Shifter</x:v>
      </x:c>
      <x:c r="R42" s="27" t="str">
        <x:v>Structure Lab</x:v>
      </x:c>
      <x:c r="S42" s="27" t="str">
        <x:v>Coordinate grid</x:v>
      </x:c>
      <x:c r="T42" s="27" t="str">
        <x:v>Quadratics: When Change Itself Changes – use second differences</x:v>
      </x:c>
      <x:c r="U42" s="27" t="str">
        <x:v>Short contextual application of use second differences</x:v>
      </x:c>
      <x:c r="V42" s="27" t="str">
        <x:v>Learner can use second differences and give a reason or check.</x:v>
      </x:c>
      <x:c r="W42" s="27" t="str">
        <x:v>Connect 5 / Explore 20 / Create or Apply 12 / Reflect 8</x:v>
      </x:c>
      <x:c r="X42" s="27" t="str">
        <x:v>NC KS3; 4MA1 2.2, 2.7, 3.3</x:v>
      </x:c>
      <x:c r="Y42" s="27" t="str">
        <x:v>High visual/algebra</x:v>
      </x:c>
      <x:c r="Z42" s="27" t="str">
        <x:v>Live, Asynchronous, Independent</x:v>
      </x:c>
      <x:c r="AA42" s="27" t="str">
        <x:v>Architecture mapped</x:v>
      </x:c>
      <x:c r="AB42" s="27" t="str">
        <x:v>Part of the canonical Y9 route. May pause or branch to a Reconnection lesson before returning.</x:v>
      </x:c>
    </x:row>
    <x:row r="43" ht="44" customHeight="1">
      <x:c r="A43" s="27" t="str">
        <x:v>NEO-MATH-Y9-040</x:v>
      </x:c>
      <x:c r="B43" s="27" t="n">
        <x:v>40</x:v>
      </x:c>
      <x:c r="C43" s="27" t="str">
        <x:v>NEO-MATH-Y9-03</x:v>
      </x:c>
      <x:c r="D43" s="27" t="n">
        <x:v>3</x:v>
      </x:c>
      <x:c r="E43" s="27" t="str">
        <x:v>Quadratics: When Change Itself Changes</x:v>
      </x:c>
      <x:c r="F43" s="27" t="str">
        <x:v>Structure &amp; Generalisation</x:v>
      </x:c>
      <x:c r="G43" s="27" t="n">
        <x:v>8</x:v>
      </x:c>
      <x:c r="H43" s="27" t="str">
        <x:v>Core</x:v>
      </x:c>
      <x:c r="I43" s="27" t="str">
        <x:v>Model and test: Expand simple quadratics</x:v>
      </x:c>
      <x:c r="J43" s="27" t="str">
        <x:v>Can I build a model using expand simple quadratics and test it?</x:v>
      </x:c>
      <x:c r="K43" s="27" t="str">
        <x:v>expand simple quadratics</x:v>
      </x:c>
      <x:c r="L43" s="27" t="str">
        <x:v>expand simple quadratics</x:v>
      </x:c>
      <x:c r="M43" s="27" t="str">
        <x:v>use second differences</x:v>
      </x:c>
      <x:c r="N43" s="27" t="str"/>
      <x:c r="O43" s="27" t="str">
        <x:v>Movement</x:v>
      </x:c>
      <x:c r="P43" s="27" t="str">
        <x:v>Connection, Creativity</x:v>
      </x:c>
      <x:c r="Q43" s="27" t="str">
        <x:v>Quadratic Shape Shifter</x:v>
      </x:c>
      <x:c r="R43" s="27" t="str">
        <x:v>Structure Lab</x:v>
      </x:c>
      <x:c r="S43" s="27" t="str">
        <x:v>Coordinate grid</x:v>
      </x:c>
      <x:c r="T43" s="27" t="str">
        <x:v>Quadratics: When Change Itself Changes – expand simple quadratics</x:v>
      </x:c>
      <x:c r="U43" s="27" t="str">
        <x:v>Tested model using expand simple quadratics</x:v>
      </x:c>
      <x:c r="V43" s="27" t="str">
        <x:v>Learner can expand simple quadratics and give a reason or check.</x:v>
      </x:c>
      <x:c r="W43" s="27" t="str">
        <x:v>Connect 5 / Explore 20 / Create or Apply 12 / Reflect 8</x:v>
      </x:c>
      <x:c r="X43" s="27" t="str">
        <x:v>NC KS3; 4MA1 2.2, 2.7, 3.3</x:v>
      </x:c>
      <x:c r="Y43" s="27" t="str">
        <x:v>High visual/algebra</x:v>
      </x:c>
      <x:c r="Z43" s="27" t="str">
        <x:v>Live, Asynchronous, Independent</x:v>
      </x:c>
      <x:c r="AA43" s="27" t="str">
        <x:v>Architecture mapped</x:v>
      </x:c>
      <x:c r="AB43" s="27" t="str">
        <x:v>Part of the canonical Y9 route. May pause or branch to a Reconnection lesson before returning.</x:v>
      </x:c>
    </x:row>
    <x:row r="44" ht="44" customHeight="1">
      <x:c r="A44" s="27" t="str">
        <x:v>NEO-MATH-Y9-041</x:v>
      </x:c>
      <x:c r="B44" s="27" t="n">
        <x:v>41</x:v>
      </x:c>
      <x:c r="C44" s="27" t="str">
        <x:v>NEO-MATH-Y9-03</x:v>
      </x:c>
      <x:c r="D44" s="27" t="n">
        <x:v>3</x:v>
      </x:c>
      <x:c r="E44" s="27" t="str">
        <x:v>Quadratics: When Change Itself Changes</x:v>
      </x:c>
      <x:c r="F44" s="27" t="str">
        <x:v>Change &amp; Functions</x:v>
      </x:c>
      <x:c r="G44" s="27" t="n">
        <x:v>11</x:v>
      </x:c>
      <x:c r="H44" s="27" t="str">
        <x:v>Reconnection</x:v>
      </x:c>
      <x:c r="I44" s="27" t="str">
        <x:v>Reconnection: Linear table to graph</x:v>
      </x:c>
      <x:c r="J44" s="27" t="str">
        <x:v>Can a table predict a line?</x:v>
      </x:c>
      <x:c r="K44" s="27" t="str">
        <x:v>generate coordinates from a linear rule</x:v>
      </x:c>
      <x:c r="L44" s="27" t="str">
        <x:v>generate coordinates from a linear rule</x:v>
      </x:c>
      <x:c r="M44" s="27" t="str">
        <x:v>Branch triggered when generate coordinates from a linear rule is not yet secure enough for the current unit.</x:v>
      </x:c>
      <x:c r="N44" s="27" t="str">
        <x:v>REC-ALG-08</x:v>
      </x:c>
      <x:c r="O44" s="27" t="str">
        <x:v>Connection</x:v>
      </x:c>
      <x:c r="P44" s="27" t="str">
        <x:v>Reflection, Rest</x:v>
      </x:c>
      <x:c r="Q44" s="27" t="str">
        <x:v>Table-to-Line Builder</x:v>
      </x:c>
      <x:c r="R44" s="27" t="str">
        <x:v>Dynamic Graph Lab</x:v>
      </x:c>
      <x:c r="S44" s="27" t="str">
        <x:v>Coordinate grid</x:v>
      </x:c>
      <x:c r="T44" s="27" t="str">
        <x:v>Linear table to graph targeted practice</x:v>
      </x:c>
      <x:c r="U44" s="27" t="str">
        <x:v>Short reconnection evidence: generate coordinates from a linear rule</x:v>
      </x:c>
      <x:c r="V44" s="27" t="str">
        <x:v>Learner can generate coordinates from a linear rule sufficiently to return to Quadratics: When Change Itself Changes.</x:v>
      </x:c>
      <x:c r="W44" s="27" t="str">
        <x:v>Arrive 5 / Reconnect 20 / Test 10 / Return link 10</x:v>
      </x:c>
      <x:c r="X44" s="27" t="str">
        <x:v>NC KS3; 4MA1 2.2, 2.7, 3.3</x:v>
      </x:c>
      <x:c r="Y44" s="27" t="str">
        <x:v>Low-Moderate; targeted prerequisite repair</x:v>
      </x:c>
      <x:c r="Z44" s="27" t="str">
        <x:v>Live, Asynchronous, Independent</x:v>
      </x:c>
      <x:c r="AA44" s="27" t="str">
        <x:v>Architecture mapped</x:v>
      </x:c>
      <x:c r="AB44" s="27" t="str">
        <x:v>Not 'catch-up'. A targeted route from Year 8 learning that reconnects the learner to NEO-MATH-Y9-03.</x:v>
      </x:c>
    </x:row>
    <x:row r="45" ht="44" customHeight="1">
      <x:c r="A45" s="27" t="str">
        <x:v>NEO-MATH-Y9-042</x:v>
      </x:c>
      <x:c r="B45" s="27" t="n">
        <x:v>42</x:v>
      </x:c>
      <x:c r="C45" s="27" t="str">
        <x:v>NEO-MATH-Y9-03</x:v>
      </x:c>
      <x:c r="D45" s="27" t="n">
        <x:v>3</x:v>
      </x:c>
      <x:c r="E45" s="27" t="str">
        <x:v>Quadratics: When Change Itself Changes</x:v>
      </x:c>
      <x:c r="F45" s="27" t="str">
        <x:v>Structure &amp; Generalisation</x:v>
      </x:c>
      <x:c r="G45" s="27" t="n">
        <x:v>9</x:v>
      </x:c>
      <x:c r="H45" s="27" t="str">
        <x:v>Core</x:v>
      </x:c>
      <x:c r="I45" s="27" t="str">
        <x:v>Compare strategies: Factorise simple quadratics</x:v>
      </x:c>
      <x:c r="J45" s="27" t="str">
        <x:v>Which route through factorise simple quadratics is clearest or most efficient?</x:v>
      </x:c>
      <x:c r="K45" s="27" t="str">
        <x:v>factorise simple quadratics</x:v>
      </x:c>
      <x:c r="L45" s="27" t="str">
        <x:v>factorise simple quadratics</x:v>
      </x:c>
      <x:c r="M45" s="27" t="str">
        <x:v>expand simple quadratics</x:v>
      </x:c>
      <x:c r="N45" s="27" t="str"/>
      <x:c r="O45" s="27" t="str">
        <x:v>Movement</x:v>
      </x:c>
      <x:c r="P45" s="27" t="str">
        <x:v>Connection, Creativity</x:v>
      </x:c>
      <x:c r="Q45" s="27" t="str">
        <x:v>Quadratic Shape Shifter</x:v>
      </x:c>
      <x:c r="R45" s="27" t="str">
        <x:v>Structure Lab</x:v>
      </x:c>
      <x:c r="S45" s="27" t="str">
        <x:v>Coordinate grid</x:v>
      </x:c>
      <x:c r="T45" s="27" t="str">
        <x:v>Quadratics: When Change Itself Changes – factorise simple quadratics</x:v>
      </x:c>
      <x:c r="U45" s="27" t="str">
        <x:v>Two-route comparison for factorise simple quadratics</x:v>
      </x:c>
      <x:c r="V45" s="27" t="str">
        <x:v>Learner can factorise simple quadratics and give a reason or check.</x:v>
      </x:c>
      <x:c r="W45" s="27" t="str">
        <x:v>Connect 5 / Explore 20 / Create or Apply 12 / Reflect 8</x:v>
      </x:c>
      <x:c r="X45" s="27" t="str">
        <x:v>NC KS3; 4MA1 2.2, 2.7, 3.3</x:v>
      </x:c>
      <x:c r="Y45" s="27" t="str">
        <x:v>High visual/algebra</x:v>
      </x:c>
      <x:c r="Z45" s="27" t="str">
        <x:v>Live, Asynchronous, Independent</x:v>
      </x:c>
      <x:c r="AA45" s="27" t="str">
        <x:v>Architecture mapped</x:v>
      </x:c>
      <x:c r="AB45" s="27" t="str">
        <x:v>Part of the canonical Y9 route. May pause or branch to a Reconnection lesson before returning.</x:v>
      </x:c>
    </x:row>
    <x:row r="46" ht="44" customHeight="1">
      <x:c r="A46" s="27" t="str">
        <x:v>NEO-MATH-Y9-043</x:v>
      </x:c>
      <x:c r="B46" s="27" t="n">
        <x:v>43</x:v>
      </x:c>
      <x:c r="C46" s="27" t="str">
        <x:v>NEO-MATH-Y9-03</x:v>
      </x:c>
      <x:c r="D46" s="27" t="n">
        <x:v>3</x:v>
      </x:c>
      <x:c r="E46" s="27" t="str">
        <x:v>Quadratics: When Change Itself Changes</x:v>
      </x:c>
      <x:c r="F46" s="27" t="str">
        <x:v>Structure &amp; Generalisation</x:v>
      </x:c>
      <x:c r="G46" s="27" t="n">
        <x:v>10</x:v>
      </x:c>
      <x:c r="H46" s="27" t="str">
        <x:v>Core</x:v>
      </x:c>
      <x:c r="I46" s="27" t="str">
        <x:v>Practice with choice: Connect quadratic rules and graphs</x:v>
      </x:c>
      <x:c r="J46" s="27" t="str">
        <x:v>Can I use connect quadratic rules and graphs without being told the method?</x:v>
      </x:c>
      <x:c r="K46" s="27" t="str">
        <x:v>connect quadratic rules and graphs</x:v>
      </x:c>
      <x:c r="L46" s="27" t="str">
        <x:v>connect quadratic rules and graphs</x:v>
      </x:c>
      <x:c r="M46" s="27" t="str">
        <x:v>factorise simple quadratics</x:v>
      </x:c>
      <x:c r="N46" s="27" t="str"/>
      <x:c r="O46" s="27" t="str">
        <x:v>Movement</x:v>
      </x:c>
      <x:c r="P46" s="27" t="str">
        <x:v>Connection, Creativity</x:v>
      </x:c>
      <x:c r="Q46" s="27" t="str">
        <x:v>Quadratic Shape Shifter</x:v>
      </x:c>
      <x:c r="R46" s="27" t="str">
        <x:v>Structure Lab</x:v>
      </x:c>
      <x:c r="S46" s="27" t="str">
        <x:v>Coordinate grid</x:v>
      </x:c>
      <x:c r="T46" s="27" t="str">
        <x:v>Quadratics: When Change Itself Changes – connect quadratic rules and graphs</x:v>
      </x:c>
      <x:c r="U46" s="27" t="str">
        <x:v>Practice Companion evidence for connect quadratic rules and graphs</x:v>
      </x:c>
      <x:c r="V46" s="27" t="str">
        <x:v>Learner can connect quadratic rules and graphs and give a reason or check.</x:v>
      </x:c>
      <x:c r="W46" s="27" t="str">
        <x:v>Reconnect 5 / Practice 25 / Check 10 / Reflect 5</x:v>
      </x:c>
      <x:c r="X46" s="27" t="str">
        <x:v>NC KS3; 4MA1 2.2, 2.7, 3.3</x:v>
      </x:c>
      <x:c r="Y46" s="27" t="str">
        <x:v>High visual/algebra</x:v>
      </x:c>
      <x:c r="Z46" s="27" t="str">
        <x:v>Live, Asynchronous, Independent</x:v>
      </x:c>
      <x:c r="AA46" s="27" t="str">
        <x:v>Architecture mapped</x:v>
      </x:c>
      <x:c r="AB46" s="27" t="str">
        <x:v>Part of the canonical Y9 route. May pause or branch to a Reconnection lesson before returning.</x:v>
      </x:c>
    </x:row>
    <x:row r="47" ht="44" customHeight="1">
      <x:c r="A47" s="27" t="str">
        <x:v>NEO-MATH-Y9-044</x:v>
      </x:c>
      <x:c r="B47" s="27" t="n">
        <x:v>44</x:v>
      </x:c>
      <x:c r="C47" s="27" t="str">
        <x:v>NEO-MATH-Y9-03</x:v>
      </x:c>
      <x:c r="D47" s="27" t="n">
        <x:v>3</x:v>
      </x:c>
      <x:c r="E47" s="27" t="str">
        <x:v>Quadratics: When Change Itself Changes</x:v>
      </x:c>
      <x:c r="F47" s="27" t="str">
        <x:v>Structure &amp; Generalisation</x:v>
      </x:c>
      <x:c r="G47" s="27" t="n">
        <x:v>11</x:v>
      </x:c>
      <x:c r="H47" s="27" t="str">
        <x:v>Core</x:v>
      </x:c>
      <x:c r="I47" s="27" t="str">
        <x:v>Mastery checkpoint: Recognise quadratic patterns</x:v>
      </x:c>
      <x:c r="J47" s="27" t="str">
        <x:v>What can I now explain, apply and check about recognise quadratic patterns?</x:v>
      </x:c>
      <x:c r="K47" s="27" t="str">
        <x:v>recognise quadratic patterns</x:v>
      </x:c>
      <x:c r="L47" s="27" t="str">
        <x:v>recognise quadratic patterns</x:v>
      </x:c>
      <x:c r="M47" s="27" t="str">
        <x:v>connect quadratic rules and graphs</x:v>
      </x:c>
      <x:c r="N47" s="27" t="str"/>
      <x:c r="O47" s="27" t="str">
        <x:v>Movement</x:v>
      </x:c>
      <x:c r="P47" s="27" t="str">
        <x:v>Connection, Creativity</x:v>
      </x:c>
      <x:c r="Q47" s="27" t="str">
        <x:v>Quadratic Shape Shifter</x:v>
      </x:c>
      <x:c r="R47" s="27" t="str">
        <x:v>Structure Lab</x:v>
      </x:c>
      <x:c r="S47" s="27" t="str">
        <x:v>Coordinate grid</x:v>
      </x:c>
      <x:c r="T47" s="27" t="str">
        <x:v>Quadratics: When Change Itself Changes – recognise quadratic patterns</x:v>
      </x:c>
      <x:c r="U47" s="27" t="str">
        <x:v>Quadratic Graph Story</x:v>
      </x:c>
      <x:c r="V47" s="27" t="str">
        <x:v>Learner can recognise quadratic patterns and give a reason or check.</x:v>
      </x:c>
      <x:c r="W47" s="27" t="str">
        <x:v>Settle 5 / Choose evidence 25 / Mastery check 10 / Reflect 5</x:v>
      </x:c>
      <x:c r="X47" s="27" t="str">
        <x:v>NC KS3; 4MA1 2.2, 2.7, 3.3</x:v>
      </x:c>
      <x:c r="Y47" s="27" t="str">
        <x:v>High visual/algebra</x:v>
      </x:c>
      <x:c r="Z47" s="27" t="str">
        <x:v>Live, Asynchronous, Independent</x:v>
      </x:c>
      <x:c r="AA47" s="27" t="str">
        <x:v>Architecture mapped</x:v>
      </x:c>
      <x:c r="AB47" s="27" t="str">
        <x:v>Part of the canonical Y9 route. May pause or branch to a Reconnection lesson before returning.</x:v>
      </x:c>
    </x:row>
    <x:row r="48" ht="44" customHeight="1">
      <x:c r="A48" s="27" t="str">
        <x:v>NEO-MATH-Y9-045</x:v>
      </x:c>
      <x:c r="B48" s="27" t="n">
        <x:v>45</x:v>
      </x:c>
      <x:c r="C48" s="27" t="str">
        <x:v>NEO-MATH-Y9-03</x:v>
      </x:c>
      <x:c r="D48" s="27" t="n">
        <x:v>3</x:v>
      </x:c>
      <x:c r="E48" s="27" t="str">
        <x:v>Quadratics: When Change Itself Changes</x:v>
      </x:c>
      <x:c r="F48" s="27" t="str">
        <x:v>Structure &amp; Generalisation</x:v>
      </x:c>
      <x:c r="G48" s="27" t="n">
        <x:v>15</x:v>
      </x:c>
      <x:c r="H48" s="27" t="str">
        <x:v>Consolidation / Mastery</x:v>
      </x:c>
      <x:c r="I48" s="27" t="str">
        <x:v>Pause, connect and strengthen: Quadratics: When Change Itself Changes</x:v>
      </x:c>
      <x:c r="J48" s="27" t="str">
        <x:v>Which connection in this unit is now stronger—and which one needs another route?</x:v>
      </x:c>
      <x:c r="K48" s="27" t="str">
        <x:v>review, connect and select evidence across the unit</x:v>
      </x:c>
      <x:c r="L48" s="27" t="str">
        <x:v>unit-level synthesis and self-regulated mathematical learning</x:v>
      </x:c>
      <x:c r="M48" s="27" t="str">
        <x:v>completion of selected core sessions or equivalent evidence</x:v>
      </x:c>
      <x:c r="N48" s="27" t="str">
        <x:v>learner-specific; choose from linked Reconnection Bank</x:v>
      </x:c>
      <x:c r="O48" s="27" t="str">
        <x:v>Reflection</x:v>
      </x:c>
      <x:c r="P48" s="27" t="str">
        <x:v>Rest, Connection</x:v>
      </x:c>
      <x:c r="Q48" s="27" t="str">
        <x:v>Mastery Pathway Review</x:v>
      </x:c>
      <x:c r="R48" s="27" t="str">
        <x:v>Navigation Tool</x:v>
      </x:c>
      <x:c r="S48" s="27" t="str">
        <x:v>Blank</x:v>
      </x:c>
      <x:c r="T48" s="27" t="str">
        <x:v>learner-selected questions from the unit</x:v>
      </x:c>
      <x:c r="U48" s="27" t="str">
        <x:v>Mastery reflection plus one selected piece of unit evidence</x:v>
      </x:c>
      <x:c r="V48" s="27" t="str">
        <x:v>Learner identifies current Emerging / Developing / Secure / Mastering evidence and a useful next step.</x:v>
      </x:c>
      <x:c r="W48" s="27" t="str">
        <x:v>Settle 5 / Review 10 / Strengthen 15 / Evidence 10 / Next step 5</x:v>
      </x:c>
      <x:c r="X48" s="27" t="str">
        <x:v>NC KS3; 4MA1 2.2, 2.7, 3.3</x:v>
      </x:c>
      <x:c r="Y48" s="27" t="str">
        <x:v>Low-Moderate; learner choice and reduced visual field</x:v>
      </x:c>
      <x:c r="Z48" s="27" t="str">
        <x:v>Live, Asynchronous, Independent</x:v>
      </x:c>
      <x:c r="AA48" s="27" t="str">
        <x:v>Architecture mapped</x:v>
      </x:c>
      <x:c r="AB48" s="27" t="str">
        <x:v>Designed breathing space. May become a return session after absence, a Practice Companion session, or a portfolio checkpoint.</x:v>
      </x:c>
    </x:row>
    <x:row r="49" ht="44" customHeight="1">
      <x:c r="A49" s="27" t="str">
        <x:v>NEO-MATH-Y9-046</x:v>
      </x:c>
      <x:c r="B49" s="27" t="n">
        <x:v>46</x:v>
      </x:c>
      <x:c r="C49" s="27" t="str">
        <x:v>NEO-MATH-Y9-03</x:v>
      </x:c>
      <x:c r="D49" s="27" t="n">
        <x:v>3</x:v>
      </x:c>
      <x:c r="E49" s="27" t="str">
        <x:v>Quadratics: When Change Itself Changes</x:v>
      </x:c>
      <x:c r="F49" s="27" t="str">
        <x:v>Structure &amp; Generalisation</x:v>
      </x:c>
      <x:c r="G49" s="27" t="n">
        <x:v>16</x:v>
      </x:c>
      <x:c r="H49" s="27" t="str">
        <x:v>Extension / Portfolio</x:v>
      </x:c>
      <x:c r="I49" s="27" t="str">
        <x:v>Open inquiry: Quadratic Graph Story</x:v>
      </x:c>
      <x:c r="J49" s="27" t="str">
        <x:v>How far can I take connect quadratic rules and graphs when I choose the model or context?</x:v>
      </x:c>
      <x:c r="K49" s="27" t="str">
        <x:v>generalise and apply connect quadratic rules and graphs in a learner-selected or unfamiliar context</x:v>
      </x:c>
      <x:c r="L49" s="27" t="str">
        <x:v>connect quadratic rules and graphs</x:v>
      </x:c>
      <x:c r="M49" s="27" t="str">
        <x:v>Secure evidence in at least one central unit relationship</x:v>
      </x:c>
      <x:c r="N49" s="27" t="str"/>
      <x:c r="O49" s="27" t="str">
        <x:v>Creativity</x:v>
      </x:c>
      <x:c r="P49" s="27" t="str">
        <x:v>Movement, Reflection</x:v>
      </x:c>
      <x:c r="Q49" s="27" t="str">
        <x:v>Quadratic Shape Shifter</x:v>
      </x:c>
      <x:c r="R49" s="27" t="str">
        <x:v>Structure Lab</x:v>
      </x:c>
      <x:c r="S49" s="27" t="str">
        <x:v>Coordinate grid</x:v>
      </x:c>
      <x:c r="T49" s="27" t="str">
        <x:v>optional stretch / unfamiliar-context questions</x:v>
      </x:c>
      <x:c r="U49" s="27" t="str">
        <x:v>Quadratic Graph Story</x:v>
      </x:c>
      <x:c r="V49" s="27" t="str">
        <x:v>Learner generalises connect quadratic rules and graphs, tests assumptions and communicates a defensible conclusion.</x:v>
      </x:c>
      <x:c r="W49" s="27" t="str">
        <x:v>Choose 5 / Conjecture 10 / Build or test 20 / Reflect 10</x:v>
      </x:c>
      <x:c r="X49" s="27" t="str">
        <x:v>NC KS3; 4MA1 2.2, 2.7, 3.3</x:v>
      </x:c>
      <x:c r="Y49" s="27" t="str">
        <x:v>High visual/algebra</x:v>
      </x:c>
      <x:c r="Z49" s="27" t="str">
        <x:v>Live, Asynchronous, Independent</x:v>
      </x:c>
      <x:c r="AA49" s="27" t="str">
        <x:v>Architecture mapped</x:v>
      </x:c>
      <x:c r="AB49" s="27" t="str">
        <x:v>High-ceiling optional route. Can replace repeated practice where Secure evidence is already present.</x:v>
      </x:c>
    </x:row>
    <x:row r="50" ht="44" customHeight="1">
      <x:c r="A50" s="27" t="str">
        <x:v>NEO-MATH-Y9-047</x:v>
      </x:c>
      <x:c r="B50" s="27" t="n">
        <x:v>47</x:v>
      </x:c>
      <x:c r="C50" s="27" t="str">
        <x:v>NEO-MATH-Y9-04</x:v>
      </x:c>
      <x:c r="D50" s="27" t="n">
        <x:v>4</x:v>
      </x:c>
      <x:c r="E50" s="27" t="str">
        <x:v>Precision, Loci and Safe Routes</x:v>
      </x:c>
      <x:c r="F50" s="27" t="str">
        <x:v>Spatial Reasoning</x:v>
      </x:c>
      <x:c r="G50" s="27" t="n">
        <x:v>1</x:v>
      </x:c>
      <x:c r="H50" s="27" t="str">
        <x:v>Core</x:v>
      </x:c>
      <x:c r="I50" s="27" t="str">
        <x:v>Connect &amp; notice: Use ruler and compass constructions</x:v>
      </x:c>
      <x:c r="J50" s="27" t="str">
        <x:v>What do I already notice about use ruler and compass constructions?</x:v>
      </x:c>
      <x:c r="K50" s="27" t="str">
        <x:v>use ruler and compass constructions</x:v>
      </x:c>
      <x:c r="L50" s="27" t="str">
        <x:v>use ruler and compass constructions</x:v>
      </x:c>
      <x:c r="M50" s="27" t="str">
        <x:v>learner entry knowledge and representation confidence</x:v>
      </x:c>
      <x:c r="N50" s="27" t="str"/>
      <x:c r="O50" s="27" t="str">
        <x:v>Movement</x:v>
      </x:c>
      <x:c r="P50" s="27" t="str">
        <x:v>Reflection, Connection</x:v>
      </x:c>
      <x:c r="Q50" s="27" t="str">
        <x:v>Locus and Safe-Route Planner</x:v>
      </x:c>
      <x:c r="R50" s="27" t="str">
        <x:v>Geometry Studio</x:v>
      </x:c>
      <x:c r="S50" s="27" t="str">
        <x:v>Square grid</x:v>
      </x:c>
      <x:c r="T50" s="27" t="str">
        <x:v>Precision, Loci and Safe Routes – use ruler and compass constructions</x:v>
      </x:c>
      <x:c r="U50" s="27" t="str">
        <x:v>Scratchpad prediction or notice about use ruler and compass constructions</x:v>
      </x:c>
      <x:c r="V50" s="27" t="str">
        <x:v>Learner can use ruler and compass constructions and give a reason or check.</x:v>
      </x:c>
      <x:c r="W50" s="27" t="str">
        <x:v>Connect 8 / Explore 20 / Notice 10 / Reflect 7</x:v>
      </x:c>
      <x:c r="X50" s="27" t="str">
        <x:v>NC KS3; 4MA1 4.4-4.5, 4.11; FS</x:v>
      </x:c>
      <x:c r="Y50" s="27" t="str">
        <x:v>Moderate</x:v>
      </x:c>
      <x:c r="Z50" s="27" t="str">
        <x:v>Live, Asynchronous, Independent</x:v>
      </x:c>
      <x:c r="AA50" s="27" t="str">
        <x:v>Architecture mapped</x:v>
      </x:c>
      <x:c r="AB50" s="27" t="str">
        <x:v>Part of the canonical Y9 route. May pause or branch to a Reconnection lesson before returning.</x:v>
      </x:c>
    </x:row>
    <x:row r="51" ht="44" customHeight="1">
      <x:c r="A51" s="27" t="str">
        <x:v>NEO-MATH-Y9-048</x:v>
      </x:c>
      <x:c r="B51" s="27" t="n">
        <x:v>48</x:v>
      </x:c>
      <x:c r="C51" s="27" t="str">
        <x:v>NEO-MATH-Y9-04</x:v>
      </x:c>
      <x:c r="D51" s="27" t="n">
        <x:v>4</x:v>
      </x:c>
      <x:c r="E51" s="27" t="str">
        <x:v>Precision, Loci and Safe Routes</x:v>
      </x:c>
      <x:c r="F51" s="27" t="str">
        <x:v>Spatial Reasoning</x:v>
      </x:c>
      <x:c r="G51" s="27" t="n">
        <x:v>2</x:v>
      </x:c>
      <x:c r="H51" s="27" t="str">
        <x:v>Core</x:v>
      </x:c>
      <x:c r="I51" s="27" t="str">
        <x:v>Build the idea: Construct bisectors</x:v>
      </x:c>
      <x:c r="J51" s="27" t="str">
        <x:v>What does construct bisectors mean before I use a procedure?</x:v>
      </x:c>
      <x:c r="K51" s="27" t="str">
        <x:v>construct bisectors</x:v>
      </x:c>
      <x:c r="L51" s="27" t="str">
        <x:v>construct bisectors</x:v>
      </x:c>
      <x:c r="M51" s="27" t="str">
        <x:v>use ruler and compass constructions</x:v>
      </x:c>
      <x:c r="N51" s="27" t="str"/>
      <x:c r="O51" s="27" t="str">
        <x:v>Movement</x:v>
      </x:c>
      <x:c r="P51" s="27" t="str">
        <x:v>Reflection, Connection</x:v>
      </x:c>
      <x:c r="Q51" s="27" t="str">
        <x:v>Locus and Safe-Route Planner</x:v>
      </x:c>
      <x:c r="R51" s="27" t="str">
        <x:v>Geometry Studio</x:v>
      </x:c>
      <x:c r="S51" s="27" t="str">
        <x:v>Square grid</x:v>
      </x:c>
      <x:c r="T51" s="27" t="str">
        <x:v>Precision, Loci and Safe Routes – construct bisectors</x:v>
      </x:c>
      <x:c r="U51" s="27" t="str">
        <x:v>Annotated representation of construct bisectors</x:v>
      </x:c>
      <x:c r="V51" s="27" t="str">
        <x:v>Learner can construct bisectors and give a reason or check.</x:v>
      </x:c>
      <x:c r="W51" s="27" t="str">
        <x:v>Connect 5 / Explore 20 / Create or Apply 12 / Reflect 8</x:v>
      </x:c>
      <x:c r="X51" s="27" t="str">
        <x:v>NC KS3; 4MA1 4.4-4.5, 4.11; FS</x:v>
      </x:c>
      <x:c r="Y51" s="27" t="str">
        <x:v>Moderate</x:v>
      </x:c>
      <x:c r="Z51" s="27" t="str">
        <x:v>Live, Asynchronous, Independent</x:v>
      </x:c>
      <x:c r="AA51" s="27" t="str">
        <x:v>Architecture mapped</x:v>
      </x:c>
      <x:c r="AB51" s="27" t="str">
        <x:v>Part of the canonical Y9 route. May pause or branch to a Reconnection lesson before returning.</x:v>
      </x:c>
    </x:row>
    <x:row r="52" ht="44" customHeight="1">
      <x:c r="A52" s="27" t="str">
        <x:v>NEO-MATH-Y9-049</x:v>
      </x:c>
      <x:c r="B52" s="27" t="n">
        <x:v>49</x:v>
      </x:c>
      <x:c r="C52" s="27" t="str">
        <x:v>NEO-MATH-Y9-04</x:v>
      </x:c>
      <x:c r="D52" s="27" t="n">
        <x:v>4</x:v>
      </x:c>
      <x:c r="E52" s="27" t="str">
        <x:v>Precision, Loci and Safe Routes</x:v>
      </x:c>
      <x:c r="F52" s="27" t="str">
        <x:v>Spatial Reasoning</x:v>
      </x:c>
      <x:c r="G52" s="27" t="n">
        <x:v>3</x:v>
      </x:c>
      <x:c r="H52" s="27" t="str">
        <x:v>Reconnection</x:v>
      </x:c>
      <x:c r="I52" s="27" t="str">
        <x:v>Reconnection: Angle facts</x:v>
      </x:c>
      <x:c r="J52" s="27" t="str">
        <x:v>Which angle facts can unlock the diagram?</x:v>
      </x:c>
      <x:c r="K52" s="27" t="str">
        <x:v>use angle facts around points, lines and triangles</x:v>
      </x:c>
      <x:c r="L52" s="27" t="str">
        <x:v>use angle facts around points, lines and triangles</x:v>
      </x:c>
      <x:c r="M52" s="27" t="str">
        <x:v>Branch triggered when use angle facts around points, lines and triangles is not yet secure enough for the current unit.</x:v>
      </x:c>
      <x:c r="N52" s="27" t="str">
        <x:v>REC-GEO-01</x:v>
      </x:c>
      <x:c r="O52" s="27" t="str">
        <x:v>Connection</x:v>
      </x:c>
      <x:c r="P52" s="27" t="str">
        <x:v>Reflection, Rest</x:v>
      </x:c>
      <x:c r="Q52" s="27" t="str">
        <x:v>Angle Constraint Explorer</x:v>
      </x:c>
      <x:c r="R52" s="27" t="str">
        <x:v>Geometry Studio</x:v>
      </x:c>
      <x:c r="S52" s="27" t="str">
        <x:v>Square grid</x:v>
      </x:c>
      <x:c r="T52" s="27" t="str">
        <x:v>Angle facts targeted practice</x:v>
      </x:c>
      <x:c r="U52" s="27" t="str">
        <x:v>Short reconnection evidence: use angle facts around points, lines and triangles</x:v>
      </x:c>
      <x:c r="V52" s="27" t="str">
        <x:v>Learner can use angle facts around points, lines and triangles sufficiently to return to Precision, Loci and Safe Routes.</x:v>
      </x:c>
      <x:c r="W52" s="27" t="str">
        <x:v>Arrive 5 / Reconnect 20 / Test 10 / Return link 10</x:v>
      </x:c>
      <x:c r="X52" s="27" t="str">
        <x:v>NC KS3; 4MA1 4.4-4.5, 4.11; FS</x:v>
      </x:c>
      <x:c r="Y52" s="27" t="str">
        <x:v>Low-Moderate; targeted prerequisite repair</x:v>
      </x:c>
      <x:c r="Z52" s="27" t="str">
        <x:v>Live, Asynchronous, Independent</x:v>
      </x:c>
      <x:c r="AA52" s="27" t="str">
        <x:v>Architecture mapped</x:v>
      </x:c>
      <x:c r="AB52" s="27" t="str">
        <x:v>Not 'catch-up'. A targeted route from Year 7 learning that reconnects the learner to NEO-MATH-Y9-04.</x:v>
      </x:c>
    </x:row>
    <x:row r="53" ht="44" customHeight="1">
      <x:c r="A53" s="27" t="str">
        <x:v>NEO-MATH-Y9-050</x:v>
      </x:c>
      <x:c r="B53" s="27" t="n">
        <x:v>50</x:v>
      </x:c>
      <x:c r="C53" s="27" t="str">
        <x:v>NEO-MATH-Y9-04</x:v>
      </x:c>
      <x:c r="D53" s="27" t="n">
        <x:v>4</x:v>
      </x:c>
      <x:c r="E53" s="27" t="str">
        <x:v>Precision, Loci and Safe Routes</x:v>
      </x:c>
      <x:c r="F53" s="27" t="str">
        <x:v>Spatial Reasoning</x:v>
      </x:c>
      <x:c r="G53" s="27" t="n">
        <x:v>3</x:v>
      </x:c>
      <x:c r="H53" s="27" t="str">
        <x:v>Core</x:v>
      </x:c>
      <x:c r="I53" s="27" t="str">
        <x:v>Represent it: Describe loci</x:v>
      </x:c>
      <x:c r="J53" s="27" t="str">
        <x:v>How can I show describe loci in more than one way?</x:v>
      </x:c>
      <x:c r="K53" s="27" t="str">
        <x:v>describe loci</x:v>
      </x:c>
      <x:c r="L53" s="27" t="str">
        <x:v>describe loci</x:v>
      </x:c>
      <x:c r="M53" s="27" t="str">
        <x:v>construct bisectors</x:v>
      </x:c>
      <x:c r="N53" s="27" t="str"/>
      <x:c r="O53" s="27" t="str">
        <x:v>Movement</x:v>
      </x:c>
      <x:c r="P53" s="27" t="str">
        <x:v>Reflection, Connection</x:v>
      </x:c>
      <x:c r="Q53" s="27" t="str">
        <x:v>Locus and Safe-Route Planner</x:v>
      </x:c>
      <x:c r="R53" s="27" t="str">
        <x:v>Geometry Studio</x:v>
      </x:c>
      <x:c r="S53" s="27" t="str">
        <x:v>Square grid</x:v>
      </x:c>
      <x:c r="T53" s="27" t="str">
        <x:v>Precision, Loci and Safe Routes – describe loci</x:v>
      </x:c>
      <x:c r="U53" s="27" t="str">
        <x:v>Annotated representation of describe loci</x:v>
      </x:c>
      <x:c r="V53" s="27" t="str">
        <x:v>Learner can describe loci and give a reason or check.</x:v>
      </x:c>
      <x:c r="W53" s="27" t="str">
        <x:v>Connect 5 / Explore 20 / Create or Apply 12 / Reflect 8</x:v>
      </x:c>
      <x:c r="X53" s="27" t="str">
        <x:v>NC KS3; 4MA1 4.4-4.5, 4.11; FS</x:v>
      </x:c>
      <x:c r="Y53" s="27" t="str">
        <x:v>Moderate</x:v>
      </x:c>
      <x:c r="Z53" s="27" t="str">
        <x:v>Live, Asynchronous, Independent</x:v>
      </x:c>
      <x:c r="AA53" s="27" t="str">
        <x:v>Architecture mapped</x:v>
      </x:c>
      <x:c r="AB53" s="27" t="str">
        <x:v>Part of the canonical Y9 route. May pause or branch to a Reconnection lesson before returning.</x:v>
      </x:c>
    </x:row>
    <x:row r="54" ht="44" customHeight="1">
      <x:c r="A54" s="27" t="str">
        <x:v>NEO-MATH-Y9-051</x:v>
      </x:c>
      <x:c r="B54" s="27" t="n">
        <x:v>51</x:v>
      </x:c>
      <x:c r="C54" s="27" t="str">
        <x:v>NEO-MATH-Y9-04</x:v>
      </x:c>
      <x:c r="D54" s="27" t="n">
        <x:v>4</x:v>
      </x:c>
      <x:c r="E54" s="27" t="str">
        <x:v>Precision, Loci and Safe Routes</x:v>
      </x:c>
      <x:c r="F54" s="27" t="str">
        <x:v>Spatial Reasoning</x:v>
      </x:c>
      <x:c r="G54" s="27" t="n">
        <x:v>4</x:v>
      </x:c>
      <x:c r="H54" s="27" t="str">
        <x:v>Core</x:v>
      </x:c>
      <x:c r="I54" s="27" t="str">
        <x:v>Try one change: Use bearings</x:v>
      </x:c>
      <x:c r="J54" s="27" t="str">
        <x:v>What changes when I adjust one part of use bearings?</x:v>
      </x:c>
      <x:c r="K54" s="27" t="str">
        <x:v>use bearings</x:v>
      </x:c>
      <x:c r="L54" s="27" t="str">
        <x:v>use bearings</x:v>
      </x:c>
      <x:c r="M54" s="27" t="str">
        <x:v>describe loci</x:v>
      </x:c>
      <x:c r="N54" s="27" t="str"/>
      <x:c r="O54" s="27" t="str">
        <x:v>Movement</x:v>
      </x:c>
      <x:c r="P54" s="27" t="str">
        <x:v>Reflection, Connection</x:v>
      </x:c>
      <x:c r="Q54" s="27" t="str">
        <x:v>Locus and Safe-Route Planner</x:v>
      </x:c>
      <x:c r="R54" s="27" t="str">
        <x:v>Geometry Studio</x:v>
      </x:c>
      <x:c r="S54" s="27" t="str">
        <x:v>Square grid</x:v>
      </x:c>
      <x:c r="T54" s="27" t="str">
        <x:v>Precision, Loci and Safe Routes – use bearings</x:v>
      </x:c>
      <x:c r="U54" s="27" t="str">
        <x:v>Annotated representation of use bearings</x:v>
      </x:c>
      <x:c r="V54" s="27" t="str">
        <x:v>Learner can use bearings and give a reason or check.</x:v>
      </x:c>
      <x:c r="W54" s="27" t="str">
        <x:v>Connect 5 / Explore 20 / Create or Apply 12 / Reflect 8</x:v>
      </x:c>
      <x:c r="X54" s="27" t="str">
        <x:v>NC KS3; 4MA1 4.4-4.5, 4.11; FS</x:v>
      </x:c>
      <x:c r="Y54" s="27" t="str">
        <x:v>Moderate</x:v>
      </x:c>
      <x:c r="Z54" s="27" t="str">
        <x:v>Live, Asynchronous, Independent</x:v>
      </x:c>
      <x:c r="AA54" s="27" t="str">
        <x:v>Architecture mapped</x:v>
      </x:c>
      <x:c r="AB54" s="27" t="str">
        <x:v>Part of the canonical Y9 route. May pause or branch to a Reconnection lesson before returning.</x:v>
      </x:c>
    </x:row>
    <x:row r="55" ht="44" customHeight="1">
      <x:c r="A55" s="27" t="str">
        <x:v>NEO-MATH-Y9-052</x:v>
      </x:c>
      <x:c r="B55" s="27" t="n">
        <x:v>52</x:v>
      </x:c>
      <x:c r="C55" s="27" t="str">
        <x:v>NEO-MATH-Y9-04</x:v>
      </x:c>
      <x:c r="D55" s="27" t="n">
        <x:v>4</x:v>
      </x:c>
      <x:c r="E55" s="27" t="str">
        <x:v>Precision, Loci and Safe Routes</x:v>
      </x:c>
      <x:c r="F55" s="27" t="str">
        <x:v>Spatial Reasoning</x:v>
      </x:c>
      <x:c r="G55" s="27" t="n">
        <x:v>5</x:v>
      </x:c>
      <x:c r="H55" s="27" t="str">
        <x:v>Core</x:v>
      </x:c>
      <x:c r="I55" s="27" t="str">
        <x:v>Connect ideas: Apply scale to route planning</x:v>
      </x:c>
      <x:c r="J55" s="27" t="str">
        <x:v>How does apply scale to route planning connect to the earlier relationship?</x:v>
      </x:c>
      <x:c r="K55" s="27" t="str">
        <x:v>apply scale to route planning</x:v>
      </x:c>
      <x:c r="L55" s="27" t="str">
        <x:v>apply scale to route planning</x:v>
      </x:c>
      <x:c r="M55" s="27" t="str">
        <x:v>use bearings</x:v>
      </x:c>
      <x:c r="N55" s="27" t="str"/>
      <x:c r="O55" s="27" t="str">
        <x:v>Movement</x:v>
      </x:c>
      <x:c r="P55" s="27" t="str">
        <x:v>Reflection, Connection</x:v>
      </x:c>
      <x:c r="Q55" s="27" t="str">
        <x:v>Locus and Safe-Route Planner</x:v>
      </x:c>
      <x:c r="R55" s="27" t="str">
        <x:v>Geometry Studio</x:v>
      </x:c>
      <x:c r="S55" s="27" t="str">
        <x:v>Square grid</x:v>
      </x:c>
      <x:c r="T55" s="27" t="str">
        <x:v>Precision, Loci and Safe Routes – apply scale to route planning</x:v>
      </x:c>
      <x:c r="U55" s="27" t="str">
        <x:v>Annotated representation of apply scale to route planning</x:v>
      </x:c>
      <x:c r="V55" s="27" t="str">
        <x:v>Learner can apply scale to route planning and give a reason or check.</x:v>
      </x:c>
      <x:c r="W55" s="27" t="str">
        <x:v>Connect 8 / Explore 20 / Notice 10 / Reflect 7</x:v>
      </x:c>
      <x:c r="X55" s="27" t="str">
        <x:v>NC KS3; 4MA1 4.4-4.5, 4.11; FS</x:v>
      </x:c>
      <x:c r="Y55" s="27" t="str">
        <x:v>Moderate</x:v>
      </x:c>
      <x:c r="Z55" s="27" t="str">
        <x:v>Live, Asynchronous, Independent</x:v>
      </x:c>
      <x:c r="AA55" s="27" t="str">
        <x:v>Architecture mapped</x:v>
      </x:c>
      <x:c r="AB55" s="27" t="str">
        <x:v>Part of the canonical Y9 route. May pause or branch to a Reconnection lesson before returning.</x:v>
      </x:c>
    </x:row>
    <x:row r="56" ht="44" customHeight="1">
      <x:c r="A56" s="27" t="str">
        <x:v>NEO-MATH-Y9-053</x:v>
      </x:c>
      <x:c r="B56" s="27" t="n">
        <x:v>53</x:v>
      </x:c>
      <x:c r="C56" s="27" t="str">
        <x:v>NEO-MATH-Y9-04</x:v>
      </x:c>
      <x:c r="D56" s="27" t="n">
        <x:v>4</x:v>
      </x:c>
      <x:c r="E56" s="27" t="str">
        <x:v>Precision, Loci and Safe Routes</x:v>
      </x:c>
      <x:c r="F56" s="27" t="str">
        <x:v>Spatial Reasoning</x:v>
      </x:c>
      <x:c r="G56" s="27" t="n">
        <x:v>7</x:v>
      </x:c>
      <x:c r="H56" s="27" t="str">
        <x:v>Reconnection</x:v>
      </x:c>
      <x:c r="I56" s="27" t="str">
        <x:v>Reconnection: Parallel lines</x:v>
      </x:c>
      <x:c r="J56" s="27" t="str">
        <x:v>How can one angle reveal another?</x:v>
      </x:c>
      <x:c r="K56" s="27" t="str">
        <x:v>use alternate, corresponding and co-interior angle facts</x:v>
      </x:c>
      <x:c r="L56" s="27" t="str">
        <x:v>use alternate, corresponding and co-interior angle facts</x:v>
      </x:c>
      <x:c r="M56" s="27" t="str">
        <x:v>Branch triggered when use alternate, corresponding and co-interior angle facts is not yet secure enough for the current unit.</x:v>
      </x:c>
      <x:c r="N56" s="27" t="str">
        <x:v>REC-GEO-03</x:v>
      </x:c>
      <x:c r="O56" s="27" t="str">
        <x:v>Connection</x:v>
      </x:c>
      <x:c r="P56" s="27" t="str">
        <x:v>Reflection, Rest</x:v>
      </x:c>
      <x:c r="Q56" s="27" t="str">
        <x:v>Angle Chain Explorer</x:v>
      </x:c>
      <x:c r="R56" s="27" t="str">
        <x:v>Geometry Studio</x:v>
      </x:c>
      <x:c r="S56" s="27" t="str">
        <x:v>Square grid</x:v>
      </x:c>
      <x:c r="T56" s="27" t="str">
        <x:v>Parallel lines targeted practice</x:v>
      </x:c>
      <x:c r="U56" s="27" t="str">
        <x:v>Short reconnection evidence: use alternate, corresponding and co-interior angle facts</x:v>
      </x:c>
      <x:c r="V56" s="27" t="str">
        <x:v>Learner can use alternate, corresponding and co-interior angle facts sufficiently to return to Precision, Loci and Safe Routes.</x:v>
      </x:c>
      <x:c r="W56" s="27" t="str">
        <x:v>Arrive 5 / Reconnect 20 / Test 10 / Return link 10</x:v>
      </x:c>
      <x:c r="X56" s="27" t="str">
        <x:v>NC KS3; 4MA1 4.4-4.5, 4.11; FS</x:v>
      </x:c>
      <x:c r="Y56" s="27" t="str">
        <x:v>Low-Moderate; targeted prerequisite repair</x:v>
      </x:c>
      <x:c r="Z56" s="27" t="str">
        <x:v>Live, Asynchronous, Independent</x:v>
      </x:c>
      <x:c r="AA56" s="27" t="str">
        <x:v>Architecture mapped</x:v>
      </x:c>
      <x:c r="AB56" s="27" t="str">
        <x:v>Not 'catch-up'. A targeted route from Year 8 learning that reconnects the learner to NEO-MATH-Y9-04.</x:v>
      </x:c>
    </x:row>
    <x:row r="57" ht="44" customHeight="1">
      <x:c r="A57" s="27" t="str">
        <x:v>NEO-MATH-Y9-054</x:v>
      </x:c>
      <x:c r="B57" s="27" t="n">
        <x:v>54</x:v>
      </x:c>
      <x:c r="C57" s="27" t="str">
        <x:v>NEO-MATH-Y9-04</x:v>
      </x:c>
      <x:c r="D57" s="27" t="n">
        <x:v>4</x:v>
      </x:c>
      <x:c r="E57" s="27" t="str">
        <x:v>Precision, Loci and Safe Routes</x:v>
      </x:c>
      <x:c r="F57" s="27" t="str">
        <x:v>Spatial Reasoning</x:v>
      </x:c>
      <x:c r="G57" s="27" t="n">
        <x:v>6</x:v>
      </x:c>
      <x:c r="H57" s="27" t="str">
        <x:v>Core</x:v>
      </x:c>
      <x:c r="I57" s="27" t="str">
        <x:v>Repair a misconception: Use ruler and compass constructions</x:v>
      </x:c>
      <x:c r="J57" s="27" t="str">
        <x:v>What tempting mistake can use ruler and compass constructions create?</x:v>
      </x:c>
      <x:c r="K57" s="27" t="str">
        <x:v>use ruler and compass constructions</x:v>
      </x:c>
      <x:c r="L57" s="27" t="str">
        <x:v>use ruler and compass constructions</x:v>
      </x:c>
      <x:c r="M57" s="27" t="str">
        <x:v>apply scale to route planning</x:v>
      </x:c>
      <x:c r="N57" s="27" t="str"/>
      <x:c r="O57" s="27" t="str">
        <x:v>Movement</x:v>
      </x:c>
      <x:c r="P57" s="27" t="str">
        <x:v>Reflection, Connection</x:v>
      </x:c>
      <x:c r="Q57" s="27" t="str">
        <x:v>Locus and Safe-Route Planner</x:v>
      </x:c>
      <x:c r="R57" s="27" t="str">
        <x:v>Geometry Studio</x:v>
      </x:c>
      <x:c r="S57" s="27" t="str">
        <x:v>Square grid</x:v>
      </x:c>
      <x:c r="T57" s="27" t="str">
        <x:v>Precision, Loci and Safe Routes – use ruler and compass constructions</x:v>
      </x:c>
      <x:c r="U57" s="27" t="str">
        <x:v>Corrected misconception note: use ruler and compass constructions</x:v>
      </x:c>
      <x:c r="V57" s="27" t="str">
        <x:v>Learner can use ruler and compass constructions and give a reason or check.</x:v>
      </x:c>
      <x:c r="W57" s="27" t="str">
        <x:v>Connect 5 / Explore 20 / Create or Apply 12 / Reflect 8</x:v>
      </x:c>
      <x:c r="X57" s="27" t="str">
        <x:v>NC KS3; 4MA1 4.4-4.5, 4.11; FS</x:v>
      </x:c>
      <x:c r="Y57" s="27" t="str">
        <x:v>Moderate</x:v>
      </x:c>
      <x:c r="Z57" s="27" t="str">
        <x:v>Live, Asynchronous, Independent</x:v>
      </x:c>
      <x:c r="AA57" s="27" t="str">
        <x:v>Architecture mapped</x:v>
      </x:c>
      <x:c r="AB57" s="27" t="str">
        <x:v>Part of the canonical Y9 route. May pause or branch to a Reconnection lesson before returning.</x:v>
      </x:c>
    </x:row>
    <x:row r="58" ht="44" customHeight="1">
      <x:c r="A58" s="27" t="str">
        <x:v>NEO-MATH-Y9-055</x:v>
      </x:c>
      <x:c r="B58" s="27" t="n">
        <x:v>55</x:v>
      </x:c>
      <x:c r="C58" s="27" t="str">
        <x:v>NEO-MATH-Y9-04</x:v>
      </x:c>
      <x:c r="D58" s="27" t="n">
        <x:v>4</x:v>
      </x:c>
      <x:c r="E58" s="27" t="str">
        <x:v>Precision, Loci and Safe Routes</x:v>
      </x:c>
      <x:c r="F58" s="27" t="str">
        <x:v>Spatial Reasoning</x:v>
      </x:c>
      <x:c r="G58" s="27" t="n">
        <x:v>7</x:v>
      </x:c>
      <x:c r="H58" s="27" t="str">
        <x:v>Core</x:v>
      </x:c>
      <x:c r="I58" s="27" t="str">
        <x:v>Apply in context: Construct bisectors</x:v>
      </x:c>
      <x:c r="J58" s="27" t="str">
        <x:v>Where might construct bisectors help with a real decision?</x:v>
      </x:c>
      <x:c r="K58" s="27" t="str">
        <x:v>construct bisectors</x:v>
      </x:c>
      <x:c r="L58" s="27" t="str">
        <x:v>construct bisectors</x:v>
      </x:c>
      <x:c r="M58" s="27" t="str">
        <x:v>use ruler and compass constructions</x:v>
      </x:c>
      <x:c r="N58" s="27" t="str"/>
      <x:c r="O58" s="27" t="str">
        <x:v>Movement</x:v>
      </x:c>
      <x:c r="P58" s="27" t="str">
        <x:v>Reflection, Connection</x:v>
      </x:c>
      <x:c r="Q58" s="27" t="str">
        <x:v>Locus and Safe-Route Planner</x:v>
      </x:c>
      <x:c r="R58" s="27" t="str">
        <x:v>Geometry Studio</x:v>
      </x:c>
      <x:c r="S58" s="27" t="str">
        <x:v>Square grid</x:v>
      </x:c>
      <x:c r="T58" s="27" t="str">
        <x:v>Precision, Loci and Safe Routes – construct bisectors</x:v>
      </x:c>
      <x:c r="U58" s="27" t="str">
        <x:v>Short contextual application of construct bisectors</x:v>
      </x:c>
      <x:c r="V58" s="27" t="str">
        <x:v>Learner can construct bisectors and give a reason or check.</x:v>
      </x:c>
      <x:c r="W58" s="27" t="str">
        <x:v>Connect 5 / Explore 20 / Create or Apply 12 / Reflect 8</x:v>
      </x:c>
      <x:c r="X58" s="27" t="str">
        <x:v>NC KS3; 4MA1 4.4-4.5, 4.11; FS</x:v>
      </x:c>
      <x:c r="Y58" s="27" t="str">
        <x:v>Moderate</x:v>
      </x:c>
      <x:c r="Z58" s="27" t="str">
        <x:v>Live, Asynchronous, Independent</x:v>
      </x:c>
      <x:c r="AA58" s="27" t="str">
        <x:v>Architecture mapped</x:v>
      </x:c>
      <x:c r="AB58" s="27" t="str">
        <x:v>Part of the canonical Y9 route. May pause or branch to a Reconnection lesson before returning.</x:v>
      </x:c>
    </x:row>
    <x:row r="59" ht="44" customHeight="1">
      <x:c r="A59" s="27" t="str">
        <x:v>NEO-MATH-Y9-056</x:v>
      </x:c>
      <x:c r="B59" s="27" t="n">
        <x:v>56</x:v>
      </x:c>
      <x:c r="C59" s="27" t="str">
        <x:v>NEO-MATH-Y9-04</x:v>
      </x:c>
      <x:c r="D59" s="27" t="n">
        <x:v>4</x:v>
      </x:c>
      <x:c r="E59" s="27" t="str">
        <x:v>Precision, Loci and Safe Routes</x:v>
      </x:c>
      <x:c r="F59" s="27" t="str">
        <x:v>Spatial Reasoning</x:v>
      </x:c>
      <x:c r="G59" s="27" t="n">
        <x:v>8</x:v>
      </x:c>
      <x:c r="H59" s="27" t="str">
        <x:v>Core</x:v>
      </x:c>
      <x:c r="I59" s="27" t="str">
        <x:v>Model and test: Describe loci</x:v>
      </x:c>
      <x:c r="J59" s="27" t="str">
        <x:v>Can I build a model using describe loci and test it?</x:v>
      </x:c>
      <x:c r="K59" s="27" t="str">
        <x:v>describe loci</x:v>
      </x:c>
      <x:c r="L59" s="27" t="str">
        <x:v>describe loci</x:v>
      </x:c>
      <x:c r="M59" s="27" t="str">
        <x:v>construct bisectors</x:v>
      </x:c>
      <x:c r="N59" s="27" t="str"/>
      <x:c r="O59" s="27" t="str">
        <x:v>Movement</x:v>
      </x:c>
      <x:c r="P59" s="27" t="str">
        <x:v>Reflection, Connection</x:v>
      </x:c>
      <x:c r="Q59" s="27" t="str">
        <x:v>Locus and Safe-Route Planner</x:v>
      </x:c>
      <x:c r="R59" s="27" t="str">
        <x:v>Geometry Studio</x:v>
      </x:c>
      <x:c r="S59" s="27" t="str">
        <x:v>Square grid</x:v>
      </x:c>
      <x:c r="T59" s="27" t="str">
        <x:v>Precision, Loci and Safe Routes – describe loci</x:v>
      </x:c>
      <x:c r="U59" s="27" t="str">
        <x:v>Tested model using describe loci</x:v>
      </x:c>
      <x:c r="V59" s="27" t="str">
        <x:v>Learner can describe loci and give a reason or check.</x:v>
      </x:c>
      <x:c r="W59" s="27" t="str">
        <x:v>Connect 5 / Explore 20 / Create or Apply 12 / Reflect 8</x:v>
      </x:c>
      <x:c r="X59" s="27" t="str">
        <x:v>NC KS3; 4MA1 4.4-4.5, 4.11; FS</x:v>
      </x:c>
      <x:c r="Y59" s="27" t="str">
        <x:v>Moderate</x:v>
      </x:c>
      <x:c r="Z59" s="27" t="str">
        <x:v>Live, Asynchronous, Independent</x:v>
      </x:c>
      <x:c r="AA59" s="27" t="str">
        <x:v>Architecture mapped</x:v>
      </x:c>
      <x:c r="AB59" s="27" t="str">
        <x:v>Part of the canonical Y9 route. May pause or branch to a Reconnection lesson before returning.</x:v>
      </x:c>
    </x:row>
    <x:row r="60" ht="44" customHeight="1">
      <x:c r="A60" s="27" t="str">
        <x:v>NEO-MATH-Y9-057</x:v>
      </x:c>
      <x:c r="B60" s="27" t="n">
        <x:v>57</x:v>
      </x:c>
      <x:c r="C60" s="27" t="str">
        <x:v>NEO-MATH-Y9-04</x:v>
      </x:c>
      <x:c r="D60" s="27" t="n">
        <x:v>4</x:v>
      </x:c>
      <x:c r="E60" s="27" t="str">
        <x:v>Precision, Loci and Safe Routes</x:v>
      </x:c>
      <x:c r="F60" s="27" t="str">
        <x:v>Spatial Reasoning</x:v>
      </x:c>
      <x:c r="G60" s="27" t="n">
        <x:v>9</x:v>
      </x:c>
      <x:c r="H60" s="27" t="str">
        <x:v>Core</x:v>
      </x:c>
      <x:c r="I60" s="27" t="str">
        <x:v>Compare strategies: Use bearings</x:v>
      </x:c>
      <x:c r="J60" s="27" t="str">
        <x:v>Which route through use bearings is clearest or most efficient?</x:v>
      </x:c>
      <x:c r="K60" s="27" t="str">
        <x:v>use bearings</x:v>
      </x:c>
      <x:c r="L60" s="27" t="str">
        <x:v>use bearings</x:v>
      </x:c>
      <x:c r="M60" s="27" t="str">
        <x:v>describe loci</x:v>
      </x:c>
      <x:c r="N60" s="27" t="str"/>
      <x:c r="O60" s="27" t="str">
        <x:v>Movement</x:v>
      </x:c>
      <x:c r="P60" s="27" t="str">
        <x:v>Reflection, Connection</x:v>
      </x:c>
      <x:c r="Q60" s="27" t="str">
        <x:v>Locus and Safe-Route Planner</x:v>
      </x:c>
      <x:c r="R60" s="27" t="str">
        <x:v>Geometry Studio</x:v>
      </x:c>
      <x:c r="S60" s="27" t="str">
        <x:v>Square grid</x:v>
      </x:c>
      <x:c r="T60" s="27" t="str">
        <x:v>Precision, Loci and Safe Routes – use bearings</x:v>
      </x:c>
      <x:c r="U60" s="27" t="str">
        <x:v>Two-route comparison for use bearings</x:v>
      </x:c>
      <x:c r="V60" s="27" t="str">
        <x:v>Learner can use bearings and give a reason or check.</x:v>
      </x:c>
      <x:c r="W60" s="27" t="str">
        <x:v>Connect 5 / Explore 20 / Create or Apply 12 / Reflect 8</x:v>
      </x:c>
      <x:c r="X60" s="27" t="str">
        <x:v>NC KS3; 4MA1 4.4-4.5, 4.11; FS</x:v>
      </x:c>
      <x:c r="Y60" s="27" t="str">
        <x:v>Moderate</x:v>
      </x:c>
      <x:c r="Z60" s="27" t="str">
        <x:v>Live, Asynchronous, Independent</x:v>
      </x:c>
      <x:c r="AA60" s="27" t="str">
        <x:v>Architecture mapped</x:v>
      </x:c>
      <x:c r="AB60" s="27" t="str">
        <x:v>Part of the canonical Y9 route. May pause or branch to a Reconnection lesson before returning.</x:v>
      </x:c>
    </x:row>
    <x:row r="61" ht="44" customHeight="1">
      <x:c r="A61" s="27" t="str">
        <x:v>NEO-MATH-Y9-058</x:v>
      </x:c>
      <x:c r="B61" s="27" t="n">
        <x:v>58</x:v>
      </x:c>
      <x:c r="C61" s="27" t="str">
        <x:v>NEO-MATH-Y9-04</x:v>
      </x:c>
      <x:c r="D61" s="27" t="n">
        <x:v>4</x:v>
      </x:c>
      <x:c r="E61" s="27" t="str">
        <x:v>Precision, Loci and Safe Routes</x:v>
      </x:c>
      <x:c r="F61" s="27" t="str">
        <x:v>Spatial Reasoning</x:v>
      </x:c>
      <x:c r="G61" s="27" t="n">
        <x:v>10</x:v>
      </x:c>
      <x:c r="H61" s="27" t="str">
        <x:v>Core</x:v>
      </x:c>
      <x:c r="I61" s="27" t="str">
        <x:v>Practice with choice: Apply scale to route planning</x:v>
      </x:c>
      <x:c r="J61" s="27" t="str">
        <x:v>Can I use apply scale to route planning without being told the method?</x:v>
      </x:c>
      <x:c r="K61" s="27" t="str">
        <x:v>apply scale to route planning</x:v>
      </x:c>
      <x:c r="L61" s="27" t="str">
        <x:v>apply scale to route planning</x:v>
      </x:c>
      <x:c r="M61" s="27" t="str">
        <x:v>use bearings</x:v>
      </x:c>
      <x:c r="N61" s="27" t="str"/>
      <x:c r="O61" s="27" t="str">
        <x:v>Movement</x:v>
      </x:c>
      <x:c r="P61" s="27" t="str">
        <x:v>Reflection, Connection</x:v>
      </x:c>
      <x:c r="Q61" s="27" t="str">
        <x:v>Locus and Safe-Route Planner</x:v>
      </x:c>
      <x:c r="R61" s="27" t="str">
        <x:v>Geometry Studio</x:v>
      </x:c>
      <x:c r="S61" s="27" t="str">
        <x:v>Square grid</x:v>
      </x:c>
      <x:c r="T61" s="27" t="str">
        <x:v>Precision, Loci and Safe Routes – apply scale to route planning</x:v>
      </x:c>
      <x:c r="U61" s="27" t="str">
        <x:v>Practice Companion evidence for apply scale to route planning</x:v>
      </x:c>
      <x:c r="V61" s="27" t="str">
        <x:v>Learner can apply scale to route planning and give a reason or check.</x:v>
      </x:c>
      <x:c r="W61" s="27" t="str">
        <x:v>Reconnect 5 / Practice 25 / Check 10 / Reflect 5</x:v>
      </x:c>
      <x:c r="X61" s="27" t="str">
        <x:v>NC KS3; 4MA1 4.4-4.5, 4.11; FS</x:v>
      </x:c>
      <x:c r="Y61" s="27" t="str">
        <x:v>Moderate</x:v>
      </x:c>
      <x:c r="Z61" s="27" t="str">
        <x:v>Live, Asynchronous, Independent</x:v>
      </x:c>
      <x:c r="AA61" s="27" t="str">
        <x:v>Architecture mapped</x:v>
      </x:c>
      <x:c r="AB61" s="27" t="str">
        <x:v>Part of the canonical Y9 route. May pause or branch to a Reconnection lesson before returning.</x:v>
      </x:c>
    </x:row>
    <x:row r="62" ht="44" customHeight="1">
      <x:c r="A62" s="27" t="str">
        <x:v>NEO-MATH-Y9-059</x:v>
      </x:c>
      <x:c r="B62" s="27" t="n">
        <x:v>59</x:v>
      </x:c>
      <x:c r="C62" s="27" t="str">
        <x:v>NEO-MATH-Y9-04</x:v>
      </x:c>
      <x:c r="D62" s="27" t="n">
        <x:v>4</x:v>
      </x:c>
      <x:c r="E62" s="27" t="str">
        <x:v>Precision, Loci and Safe Routes</x:v>
      </x:c>
      <x:c r="F62" s="27" t="str">
        <x:v>Spatial Reasoning</x:v>
      </x:c>
      <x:c r="G62" s="27" t="n">
        <x:v>11</x:v>
      </x:c>
      <x:c r="H62" s="27" t="str">
        <x:v>Core</x:v>
      </x:c>
      <x:c r="I62" s="27" t="str">
        <x:v>Mastery checkpoint: Use ruler and compass constructions</x:v>
      </x:c>
      <x:c r="J62" s="27" t="str">
        <x:v>What can I now explain, apply and check about use ruler and compass constructions?</x:v>
      </x:c>
      <x:c r="K62" s="27" t="str">
        <x:v>use ruler and compass constructions</x:v>
      </x:c>
      <x:c r="L62" s="27" t="str">
        <x:v>use ruler and compass constructions</x:v>
      </x:c>
      <x:c r="M62" s="27" t="str">
        <x:v>apply scale to route planning</x:v>
      </x:c>
      <x:c r="N62" s="27" t="str"/>
      <x:c r="O62" s="27" t="str">
        <x:v>Movement</x:v>
      </x:c>
      <x:c r="P62" s="27" t="str">
        <x:v>Reflection, Connection</x:v>
      </x:c>
      <x:c r="Q62" s="27" t="str">
        <x:v>Locus and Safe-Route Planner</x:v>
      </x:c>
      <x:c r="R62" s="27" t="str">
        <x:v>Geometry Studio</x:v>
      </x:c>
      <x:c r="S62" s="27" t="str">
        <x:v>Square grid</x:v>
      </x:c>
      <x:c r="T62" s="27" t="str">
        <x:v>Precision, Loci and Safe Routes – use ruler and compass constructions</x:v>
      </x:c>
      <x:c r="U62" s="27" t="str">
        <x:v>Safe Route Map with Construction Notes</x:v>
      </x:c>
      <x:c r="V62" s="27" t="str">
        <x:v>Learner can use ruler and compass constructions and give a reason or check.</x:v>
      </x:c>
      <x:c r="W62" s="27" t="str">
        <x:v>Settle 5 / Choose evidence 25 / Mastery check 10 / Reflect 5</x:v>
      </x:c>
      <x:c r="X62" s="27" t="str">
        <x:v>NC KS3; 4MA1 4.4-4.5, 4.11; FS</x:v>
      </x:c>
      <x:c r="Y62" s="27" t="str">
        <x:v>Moderate</x:v>
      </x:c>
      <x:c r="Z62" s="27" t="str">
        <x:v>Live, Asynchronous, Independent</x:v>
      </x:c>
      <x:c r="AA62" s="27" t="str">
        <x:v>Architecture mapped</x:v>
      </x:c>
      <x:c r="AB62" s="27" t="str">
        <x:v>Part of the canonical Y9 route. May pause or branch to a Reconnection lesson before returning.</x:v>
      </x:c>
    </x:row>
    <x:row r="63" ht="44" customHeight="1">
      <x:c r="A63" s="27" t="str">
        <x:v>NEO-MATH-Y9-060</x:v>
      </x:c>
      <x:c r="B63" s="27" t="n">
        <x:v>60</x:v>
      </x:c>
      <x:c r="C63" s="27" t="str">
        <x:v>NEO-MATH-Y9-04</x:v>
      </x:c>
      <x:c r="D63" s="27" t="n">
        <x:v>4</x:v>
      </x:c>
      <x:c r="E63" s="27" t="str">
        <x:v>Precision, Loci and Safe Routes</x:v>
      </x:c>
      <x:c r="F63" s="27" t="str">
        <x:v>Spatial Reasoning</x:v>
      </x:c>
      <x:c r="G63" s="27" t="n">
        <x:v>14</x:v>
      </x:c>
      <x:c r="H63" s="27" t="str">
        <x:v>Consolidation / Mastery</x:v>
      </x:c>
      <x:c r="I63" s="27" t="str">
        <x:v>Pause, connect and strengthen: Precision, Loci and Safe Routes</x:v>
      </x:c>
      <x:c r="J63" s="27" t="str">
        <x:v>Which connection in this unit is now stronger—and which one needs another route?</x:v>
      </x:c>
      <x:c r="K63" s="27" t="str">
        <x:v>review, connect and select evidence across the unit</x:v>
      </x:c>
      <x:c r="L63" s="27" t="str">
        <x:v>unit-level synthesis and self-regulated mathematical learning</x:v>
      </x:c>
      <x:c r="M63" s="27" t="str">
        <x:v>completion of selected core sessions or equivalent evidence</x:v>
      </x:c>
      <x:c r="N63" s="27" t="str">
        <x:v>learner-specific; choose from linked Reconnection Bank</x:v>
      </x:c>
      <x:c r="O63" s="27" t="str">
        <x:v>Reflection</x:v>
      </x:c>
      <x:c r="P63" s="27" t="str">
        <x:v>Rest, Connection</x:v>
      </x:c>
      <x:c r="Q63" s="27" t="str">
        <x:v>Mastery Pathway Review</x:v>
      </x:c>
      <x:c r="R63" s="27" t="str">
        <x:v>Navigation Tool</x:v>
      </x:c>
      <x:c r="S63" s="27" t="str">
        <x:v>Blank</x:v>
      </x:c>
      <x:c r="T63" s="27" t="str">
        <x:v>learner-selected questions from the unit</x:v>
      </x:c>
      <x:c r="U63" s="27" t="str">
        <x:v>Mastery reflection plus one selected piece of unit evidence</x:v>
      </x:c>
      <x:c r="V63" s="27" t="str">
        <x:v>Learner identifies current Emerging / Developing / Secure / Mastering evidence and a useful next step.</x:v>
      </x:c>
      <x:c r="W63" s="27" t="str">
        <x:v>Settle 5 / Review 10 / Strengthen 15 / Evidence 10 / Next step 5</x:v>
      </x:c>
      <x:c r="X63" s="27" t="str">
        <x:v>NC KS3; 4MA1 4.4-4.5, 4.11; FS</x:v>
      </x:c>
      <x:c r="Y63" s="27" t="str">
        <x:v>Low-Moderate; learner choice and reduced visual field</x:v>
      </x:c>
      <x:c r="Z63" s="27" t="str">
        <x:v>Live, Asynchronous, Independent</x:v>
      </x:c>
      <x:c r="AA63" s="27" t="str">
        <x:v>Architecture mapped</x:v>
      </x:c>
      <x:c r="AB63" s="27" t="str">
        <x:v>Designed breathing space. May become a return session after absence, a Practice Companion session, or a portfolio checkpoint.</x:v>
      </x:c>
    </x:row>
    <x:row r="64" ht="44" customHeight="1">
      <x:c r="A64" s="27" t="str">
        <x:v>NEO-MATH-Y9-061</x:v>
      </x:c>
      <x:c r="B64" s="27" t="n">
        <x:v>61</x:v>
      </x:c>
      <x:c r="C64" s="27" t="str">
        <x:v>NEO-MATH-Y9-04</x:v>
      </x:c>
      <x:c r="D64" s="27" t="n">
        <x:v>4</x:v>
      </x:c>
      <x:c r="E64" s="27" t="str">
        <x:v>Precision, Loci and Safe Routes</x:v>
      </x:c>
      <x:c r="F64" s="27" t="str">
        <x:v>Spatial Reasoning</x:v>
      </x:c>
      <x:c r="G64" s="27" t="n">
        <x:v>15</x:v>
      </x:c>
      <x:c r="H64" s="27" t="str">
        <x:v>Extension / Portfolio</x:v>
      </x:c>
      <x:c r="I64" s="27" t="str">
        <x:v>Open inquiry: Safe Route Map with Construction Notes</x:v>
      </x:c>
      <x:c r="J64" s="27" t="str">
        <x:v>How far can I take apply scale to route planning when I choose the model or context?</x:v>
      </x:c>
      <x:c r="K64" s="27" t="str">
        <x:v>generalise and apply apply scale to route planning in a learner-selected or unfamiliar context</x:v>
      </x:c>
      <x:c r="L64" s="27" t="str">
        <x:v>apply scale to route planning</x:v>
      </x:c>
      <x:c r="M64" s="27" t="str">
        <x:v>Secure evidence in at least one central unit relationship</x:v>
      </x:c>
      <x:c r="N64" s="27" t="str"/>
      <x:c r="O64" s="27" t="str">
        <x:v>Creativity</x:v>
      </x:c>
      <x:c r="P64" s="27" t="str">
        <x:v>Movement, Reflection</x:v>
      </x:c>
      <x:c r="Q64" s="27" t="str">
        <x:v>Locus and Safe-Route Planner</x:v>
      </x:c>
      <x:c r="R64" s="27" t="str">
        <x:v>Geometry Studio</x:v>
      </x:c>
      <x:c r="S64" s="27" t="str">
        <x:v>Square grid</x:v>
      </x:c>
      <x:c r="T64" s="27" t="str">
        <x:v>optional stretch / unfamiliar-context questions</x:v>
      </x:c>
      <x:c r="U64" s="27" t="str">
        <x:v>Safe Route Map with Construction Notes</x:v>
      </x:c>
      <x:c r="V64" s="27" t="str">
        <x:v>Learner generalises apply scale to route planning, tests assumptions and communicates a defensible conclusion.</x:v>
      </x:c>
      <x:c r="W64" s="27" t="str">
        <x:v>Choose 5 / Conjecture 10 / Build or test 20 / Reflect 10</x:v>
      </x:c>
      <x:c r="X64" s="27" t="str">
        <x:v>NC KS3; 4MA1 4.4-4.5, 4.11; FS</x:v>
      </x:c>
      <x:c r="Y64" s="27" t="str">
        <x:v>Moderate</x:v>
      </x:c>
      <x:c r="Z64" s="27" t="str">
        <x:v>Live, Asynchronous, Independent</x:v>
      </x:c>
      <x:c r="AA64" s="27" t="str">
        <x:v>Architecture mapped</x:v>
      </x:c>
      <x:c r="AB64" s="27" t="str">
        <x:v>High-ceiling optional route. Can replace repeated practice where Secure evidence is already present.</x:v>
      </x:c>
    </x:row>
    <x:row r="65" ht="44" customHeight="1">
      <x:c r="A65" s="27" t="str">
        <x:v>NEO-MATH-Y9-062</x:v>
      </x:c>
      <x:c r="B65" s="27" t="n">
        <x:v>62</x:v>
      </x:c>
      <x:c r="C65" s="27" t="str">
        <x:v>NEO-MATH-Y9-05</x:v>
      </x:c>
      <x:c r="D65" s="27" t="n">
        <x:v>5</x:v>
      </x:c>
      <x:c r="E65" s="27" t="str">
        <x:v>Inequalities: Mathematics with Boundaries</x:v>
      </x:c>
      <x:c r="F65" s="27" t="str">
        <x:v>Structure &amp; Generalisation</x:v>
      </x:c>
      <x:c r="G65" s="27" t="n">
        <x:v>1</x:v>
      </x:c>
      <x:c r="H65" s="27" t="str">
        <x:v>Core</x:v>
      </x:c>
      <x:c r="I65" s="27" t="str">
        <x:v>Connect &amp; notice: Solve linear inequalities</x:v>
      </x:c>
      <x:c r="J65" s="27" t="str">
        <x:v>What do I already notice about solve linear inequalities?</x:v>
      </x:c>
      <x:c r="K65" s="27" t="str">
        <x:v>solve linear inequalities</x:v>
      </x:c>
      <x:c r="L65" s="27" t="str">
        <x:v>solve linear inequalities</x:v>
      </x:c>
      <x:c r="M65" s="27" t="str">
        <x:v>learner entry knowledge and representation confidence</x:v>
      </x:c>
      <x:c r="N65" s="27" t="str"/>
      <x:c r="O65" s="27" t="str">
        <x:v>Connection</x:v>
      </x:c>
      <x:c r="P65" s="27" t="str">
        <x:v>Reflection, Creativity</x:v>
      </x:c>
      <x:c r="Q65" s="27" t="str">
        <x:v>Inequality Region Painter</x:v>
      </x:c>
      <x:c r="R65" s="27" t="str">
        <x:v>Structure Lab</x:v>
      </x:c>
      <x:c r="S65" s="27" t="str">
        <x:v>Coordinate grid</x:v>
      </x:c>
      <x:c r="T65" s="27" t="str">
        <x:v>Inequalities: Mathematics with Boundaries – solve linear inequalities</x:v>
      </x:c>
      <x:c r="U65" s="27" t="str">
        <x:v>Scratchpad prediction or notice about solve linear inequalities</x:v>
      </x:c>
      <x:c r="V65" s="27" t="str">
        <x:v>Learner can solve linear inequalities and give a reason or check.</x:v>
      </x:c>
      <x:c r="W65" s="27" t="str">
        <x:v>Connect 8 / Explore 20 / Notice 10 / Reflect 7</x:v>
      </x:c>
      <x:c r="X65" s="27" t="str">
        <x:v>NC KS3; 4MA1 2.8</x:v>
      </x:c>
      <x:c r="Y65" s="27" t="str">
        <x:v>Moderate-High</x:v>
      </x:c>
      <x:c r="Z65" s="27" t="str">
        <x:v>Live, Asynchronous, Independent</x:v>
      </x:c>
      <x:c r="AA65" s="27" t="str">
        <x:v>Architecture mapped</x:v>
      </x:c>
      <x:c r="AB65" s="27" t="str">
        <x:v>Part of the canonical Y9 route. May pause or branch to a Reconnection lesson before returning.</x:v>
      </x:c>
    </x:row>
    <x:row r="66" ht="44" customHeight="1">
      <x:c r="A66" s="27" t="str">
        <x:v>NEO-MATH-Y9-063</x:v>
      </x:c>
      <x:c r="B66" s="27" t="n">
        <x:v>63</x:v>
      </x:c>
      <x:c r="C66" s="27" t="str">
        <x:v>NEO-MATH-Y9-05</x:v>
      </x:c>
      <x:c r="D66" s="27" t="n">
        <x:v>5</x:v>
      </x:c>
      <x:c r="E66" s="27" t="str">
        <x:v>Inequalities: Mathematics with Boundaries</x:v>
      </x:c>
      <x:c r="F66" s="27" t="str">
        <x:v>Structure &amp; Generalisation</x:v>
      </x:c>
      <x:c r="G66" s="27" t="n">
        <x:v>2</x:v>
      </x:c>
      <x:c r="H66" s="27" t="str">
        <x:v>Core</x:v>
      </x:c>
      <x:c r="I66" s="27" t="str">
        <x:v>Build the idea: Represent solution sets</x:v>
      </x:c>
      <x:c r="J66" s="27" t="str">
        <x:v>What does represent solution sets mean before I use a procedure?</x:v>
      </x:c>
      <x:c r="K66" s="27" t="str">
        <x:v>represent solution sets</x:v>
      </x:c>
      <x:c r="L66" s="27" t="str">
        <x:v>represent solution sets</x:v>
      </x:c>
      <x:c r="M66" s="27" t="str">
        <x:v>solve linear inequalities</x:v>
      </x:c>
      <x:c r="N66" s="27" t="str"/>
      <x:c r="O66" s="27" t="str">
        <x:v>Connection</x:v>
      </x:c>
      <x:c r="P66" s="27" t="str">
        <x:v>Reflection, Creativity</x:v>
      </x:c>
      <x:c r="Q66" s="27" t="str">
        <x:v>Inequality Region Painter</x:v>
      </x:c>
      <x:c r="R66" s="27" t="str">
        <x:v>Structure Lab</x:v>
      </x:c>
      <x:c r="S66" s="27" t="str">
        <x:v>Coordinate grid</x:v>
      </x:c>
      <x:c r="T66" s="27" t="str">
        <x:v>Inequalities: Mathematics with Boundaries – represent solution sets</x:v>
      </x:c>
      <x:c r="U66" s="27" t="str">
        <x:v>Annotated representation of represent solution sets</x:v>
      </x:c>
      <x:c r="V66" s="27" t="str">
        <x:v>Learner can represent solution sets and give a reason or check.</x:v>
      </x:c>
      <x:c r="W66" s="27" t="str">
        <x:v>Connect 5 / Explore 20 / Create or Apply 12 / Reflect 8</x:v>
      </x:c>
      <x:c r="X66" s="27" t="str">
        <x:v>NC KS3; 4MA1 2.8</x:v>
      </x:c>
      <x:c r="Y66" s="27" t="str">
        <x:v>Moderate-High</x:v>
      </x:c>
      <x:c r="Z66" s="27" t="str">
        <x:v>Live, Asynchronous, Independent</x:v>
      </x:c>
      <x:c r="AA66" s="27" t="str">
        <x:v>Architecture mapped</x:v>
      </x:c>
      <x:c r="AB66" s="27" t="str">
        <x:v>Part of the canonical Y9 route. May pause or branch to a Reconnection lesson before returning.</x:v>
      </x:c>
    </x:row>
    <x:row r="67" ht="44" customHeight="1">
      <x:c r="A67" s="27" t="str">
        <x:v>NEO-MATH-Y9-064</x:v>
      </x:c>
      <x:c r="B67" s="27" t="n">
        <x:v>64</x:v>
      </x:c>
      <x:c r="C67" s="27" t="str">
        <x:v>NEO-MATH-Y9-05</x:v>
      </x:c>
      <x:c r="D67" s="27" t="n">
        <x:v>5</x:v>
      </x:c>
      <x:c r="E67" s="27" t="str">
        <x:v>Inequalities: Mathematics with Boundaries</x:v>
      </x:c>
      <x:c r="F67" s="27" t="str">
        <x:v>Structure &amp; Generalisation</x:v>
      </x:c>
      <x:c r="G67" s="27" t="n">
        <x:v>3</x:v>
      </x:c>
      <x:c r="H67" s="27" t="str">
        <x:v>Reconnection</x:v>
      </x:c>
      <x:c r="I67" s="27" t="str">
        <x:v>Reconnection: One- and two-step equations</x:v>
      </x:c>
      <x:c r="J67" s="27" t="str">
        <x:v>What can I change without breaking equality?</x:v>
      </x:c>
      <x:c r="K67" s="27" t="str">
        <x:v>solve linear equations using inverse operations</x:v>
      </x:c>
      <x:c r="L67" s="27" t="str">
        <x:v>solve linear equations using inverse operations</x:v>
      </x:c>
      <x:c r="M67" s="27" t="str">
        <x:v>Branch triggered when solve linear equations using inverse operations is not yet secure enough for the current unit.</x:v>
      </x:c>
      <x:c r="N67" s="27" t="str">
        <x:v>REC-ALG-06</x:v>
      </x:c>
      <x:c r="O67" s="27" t="str">
        <x:v>Connection</x:v>
      </x:c>
      <x:c r="P67" s="27" t="str">
        <x:v>Reflection, Rest</x:v>
      </x:c>
      <x:c r="Q67" s="27" t="str">
        <x:v>Balance Equation Simulator</x:v>
      </x:c>
      <x:c r="R67" s="27" t="str">
        <x:v>Structure Lab</x:v>
      </x:c>
      <x:c r="S67" s="27" t="str">
        <x:v>Blank</x:v>
      </x:c>
      <x:c r="T67" s="27" t="str">
        <x:v>One- and two-step equations targeted practice</x:v>
      </x:c>
      <x:c r="U67" s="27" t="str">
        <x:v>Short reconnection evidence: solve linear equations using inverse operations</x:v>
      </x:c>
      <x:c r="V67" s="27" t="str">
        <x:v>Learner can solve linear equations using inverse operations sufficiently to return to Inequalities: Mathematics with Boundaries.</x:v>
      </x:c>
      <x:c r="W67" s="27" t="str">
        <x:v>Arrive 5 / Reconnect 20 / Test 10 / Return link 10</x:v>
      </x:c>
      <x:c r="X67" s="27" t="str">
        <x:v>NC KS3; 4MA1 2.8</x:v>
      </x:c>
      <x:c r="Y67" s="27" t="str">
        <x:v>Low-Moderate; targeted prerequisite repair</x:v>
      </x:c>
      <x:c r="Z67" s="27" t="str">
        <x:v>Live, Asynchronous, Independent</x:v>
      </x:c>
      <x:c r="AA67" s="27" t="str">
        <x:v>Architecture mapped</x:v>
      </x:c>
      <x:c r="AB67" s="27" t="str">
        <x:v>Not 'catch-up'. A targeted route from Year 8 learning that reconnects the learner to NEO-MATH-Y9-05.</x:v>
      </x:c>
    </x:row>
    <x:row r="68" ht="44" customHeight="1">
      <x:c r="A68" s="27" t="str">
        <x:v>NEO-MATH-Y9-065</x:v>
      </x:c>
      <x:c r="B68" s="27" t="n">
        <x:v>65</x:v>
      </x:c>
      <x:c r="C68" s="27" t="str">
        <x:v>NEO-MATH-Y9-05</x:v>
      </x:c>
      <x:c r="D68" s="27" t="n">
        <x:v>5</x:v>
      </x:c>
      <x:c r="E68" s="27" t="str">
        <x:v>Inequalities: Mathematics with Boundaries</x:v>
      </x:c>
      <x:c r="F68" s="27" t="str">
        <x:v>Structure &amp; Generalisation</x:v>
      </x:c>
      <x:c r="G68" s="27" t="n">
        <x:v>3</x:v>
      </x:c>
      <x:c r="H68" s="27" t="str">
        <x:v>Core</x:v>
      </x:c>
      <x:c r="I68" s="27" t="str">
        <x:v>Represent it: Use open and closed endpoints</x:v>
      </x:c>
      <x:c r="J68" s="27" t="str">
        <x:v>How can I show use open and closed endpoints in more than one way?</x:v>
      </x:c>
      <x:c r="K68" s="27" t="str">
        <x:v>use open and closed endpoints</x:v>
      </x:c>
      <x:c r="L68" s="27" t="str">
        <x:v>use open and closed endpoints</x:v>
      </x:c>
      <x:c r="M68" s="27" t="str">
        <x:v>represent solution sets</x:v>
      </x:c>
      <x:c r="N68" s="27" t="str"/>
      <x:c r="O68" s="27" t="str">
        <x:v>Connection</x:v>
      </x:c>
      <x:c r="P68" s="27" t="str">
        <x:v>Reflection, Creativity</x:v>
      </x:c>
      <x:c r="Q68" s="27" t="str">
        <x:v>Inequality Region Painter</x:v>
      </x:c>
      <x:c r="R68" s="27" t="str">
        <x:v>Structure Lab</x:v>
      </x:c>
      <x:c r="S68" s="27" t="str">
        <x:v>Coordinate grid</x:v>
      </x:c>
      <x:c r="T68" s="27" t="str">
        <x:v>Inequalities: Mathematics with Boundaries – use open and closed endpoints</x:v>
      </x:c>
      <x:c r="U68" s="27" t="str">
        <x:v>Annotated representation of use open and closed endpoints</x:v>
      </x:c>
      <x:c r="V68" s="27" t="str">
        <x:v>Learner can use open and closed endpoints and give a reason or check.</x:v>
      </x:c>
      <x:c r="W68" s="27" t="str">
        <x:v>Connect 5 / Explore 20 / Create or Apply 12 / Reflect 8</x:v>
      </x:c>
      <x:c r="X68" s="27" t="str">
        <x:v>NC KS3; 4MA1 2.8</x:v>
      </x:c>
      <x:c r="Y68" s="27" t="str">
        <x:v>Moderate-High</x:v>
      </x:c>
      <x:c r="Z68" s="27" t="str">
        <x:v>Live, Asynchronous, Independent</x:v>
      </x:c>
      <x:c r="AA68" s="27" t="str">
        <x:v>Architecture mapped</x:v>
      </x:c>
      <x:c r="AB68" s="27" t="str">
        <x:v>Part of the canonical Y9 route. May pause or branch to a Reconnection lesson before returning.</x:v>
      </x:c>
    </x:row>
    <x:row r="69" ht="44" customHeight="1">
      <x:c r="A69" s="27" t="str">
        <x:v>NEO-MATH-Y9-066</x:v>
      </x:c>
      <x:c r="B69" s="27" t="n">
        <x:v>66</x:v>
      </x:c>
      <x:c r="C69" s="27" t="str">
        <x:v>NEO-MATH-Y9-05</x:v>
      </x:c>
      <x:c r="D69" s="27" t="n">
        <x:v>5</x:v>
      </x:c>
      <x:c r="E69" s="27" t="str">
        <x:v>Inequalities: Mathematics with Boundaries</x:v>
      </x:c>
      <x:c r="F69" s="27" t="str">
        <x:v>Structure &amp; Generalisation</x:v>
      </x:c>
      <x:c r="G69" s="27" t="n">
        <x:v>4</x:v>
      </x:c>
      <x:c r="H69" s="27" t="str">
        <x:v>Core</x:v>
      </x:c>
      <x:c r="I69" s="27" t="str">
        <x:v>Try one change: Form inequalities</x:v>
      </x:c>
      <x:c r="J69" s="27" t="str">
        <x:v>What changes when I adjust one part of form inequalities?</x:v>
      </x:c>
      <x:c r="K69" s="27" t="str">
        <x:v>form inequalities</x:v>
      </x:c>
      <x:c r="L69" s="27" t="str">
        <x:v>form inequalities</x:v>
      </x:c>
      <x:c r="M69" s="27" t="str">
        <x:v>use open and closed endpoints</x:v>
      </x:c>
      <x:c r="N69" s="27" t="str"/>
      <x:c r="O69" s="27" t="str">
        <x:v>Connection</x:v>
      </x:c>
      <x:c r="P69" s="27" t="str">
        <x:v>Reflection, Creativity</x:v>
      </x:c>
      <x:c r="Q69" s="27" t="str">
        <x:v>Inequality Region Painter</x:v>
      </x:c>
      <x:c r="R69" s="27" t="str">
        <x:v>Structure Lab</x:v>
      </x:c>
      <x:c r="S69" s="27" t="str">
        <x:v>Coordinate grid</x:v>
      </x:c>
      <x:c r="T69" s="27" t="str">
        <x:v>Inequalities: Mathematics with Boundaries – form inequalities</x:v>
      </x:c>
      <x:c r="U69" s="27" t="str">
        <x:v>Annotated representation of form inequalities</x:v>
      </x:c>
      <x:c r="V69" s="27" t="str">
        <x:v>Learner can form inequalities and give a reason or check.</x:v>
      </x:c>
      <x:c r="W69" s="27" t="str">
        <x:v>Connect 5 / Explore 20 / Create or Apply 12 / Reflect 8</x:v>
      </x:c>
      <x:c r="X69" s="27" t="str">
        <x:v>NC KS3; 4MA1 2.8</x:v>
      </x:c>
      <x:c r="Y69" s="27" t="str">
        <x:v>Moderate-High</x:v>
      </x:c>
      <x:c r="Z69" s="27" t="str">
        <x:v>Live, Asynchronous, Independent</x:v>
      </x:c>
      <x:c r="AA69" s="27" t="str">
        <x:v>Architecture mapped</x:v>
      </x:c>
      <x:c r="AB69" s="27" t="str">
        <x:v>Part of the canonical Y9 route. May pause or branch to a Reconnection lesson before returning.</x:v>
      </x:c>
    </x:row>
    <x:row r="70" ht="44" customHeight="1">
      <x:c r="A70" s="27" t="str">
        <x:v>NEO-MATH-Y9-067</x:v>
      </x:c>
      <x:c r="B70" s="27" t="n">
        <x:v>67</x:v>
      </x:c>
      <x:c r="C70" s="27" t="str">
        <x:v>NEO-MATH-Y9-05</x:v>
      </x:c>
      <x:c r="D70" s="27" t="n">
        <x:v>5</x:v>
      </x:c>
      <x:c r="E70" s="27" t="str">
        <x:v>Inequalities: Mathematics with Boundaries</x:v>
      </x:c>
      <x:c r="F70" s="27" t="str">
        <x:v>Structure &amp; Generalisation</x:v>
      </x:c>
      <x:c r="G70" s="27" t="n">
        <x:v>5</x:v>
      </x:c>
      <x:c r="H70" s="27" t="str">
        <x:v>Core</x:v>
      </x:c>
      <x:c r="I70" s="27" t="str">
        <x:v>Connect ideas: Interpret regions and boundaries</x:v>
      </x:c>
      <x:c r="J70" s="27" t="str">
        <x:v>How does interpret regions and boundaries connect to the earlier relationship?</x:v>
      </x:c>
      <x:c r="K70" s="27" t="str">
        <x:v>interpret regions and boundaries</x:v>
      </x:c>
      <x:c r="L70" s="27" t="str">
        <x:v>interpret regions and boundaries</x:v>
      </x:c>
      <x:c r="M70" s="27" t="str">
        <x:v>form inequalities</x:v>
      </x:c>
      <x:c r="N70" s="27" t="str"/>
      <x:c r="O70" s="27" t="str">
        <x:v>Connection</x:v>
      </x:c>
      <x:c r="P70" s="27" t="str">
        <x:v>Reflection, Creativity</x:v>
      </x:c>
      <x:c r="Q70" s="27" t="str">
        <x:v>Inequality Region Painter</x:v>
      </x:c>
      <x:c r="R70" s="27" t="str">
        <x:v>Structure Lab</x:v>
      </x:c>
      <x:c r="S70" s="27" t="str">
        <x:v>Coordinate grid</x:v>
      </x:c>
      <x:c r="T70" s="27" t="str">
        <x:v>Inequalities: Mathematics with Boundaries – interpret regions and boundaries</x:v>
      </x:c>
      <x:c r="U70" s="27" t="str">
        <x:v>Annotated representation of interpret regions and boundaries</x:v>
      </x:c>
      <x:c r="V70" s="27" t="str">
        <x:v>Learner can interpret regions and boundaries and give a reason or check.</x:v>
      </x:c>
      <x:c r="W70" s="27" t="str">
        <x:v>Connect 8 / Explore 20 / Notice 10 / Reflect 7</x:v>
      </x:c>
      <x:c r="X70" s="27" t="str">
        <x:v>NC KS3; 4MA1 2.8</x:v>
      </x:c>
      <x:c r="Y70" s="27" t="str">
        <x:v>Moderate-High</x:v>
      </x:c>
      <x:c r="Z70" s="27" t="str">
        <x:v>Live, Asynchronous, Independent</x:v>
      </x:c>
      <x:c r="AA70" s="27" t="str">
        <x:v>Architecture mapped</x:v>
      </x:c>
      <x:c r="AB70" s="27" t="str">
        <x:v>Part of the canonical Y9 route. May pause or branch to a Reconnection lesson before returning.</x:v>
      </x:c>
    </x:row>
    <x:row r="71" ht="44" customHeight="1">
      <x:c r="A71" s="27" t="str">
        <x:v>NEO-MATH-Y9-068</x:v>
      </x:c>
      <x:c r="B71" s="27" t="n">
        <x:v>68</x:v>
      </x:c>
      <x:c r="C71" s="27" t="str">
        <x:v>NEO-MATH-Y9-05</x:v>
      </x:c>
      <x:c r="D71" s="27" t="n">
        <x:v>5</x:v>
      </x:c>
      <x:c r="E71" s="27" t="str">
        <x:v>Inequalities: Mathematics with Boundaries</x:v>
      </x:c>
      <x:c r="F71" s="27" t="str">
        <x:v>Change &amp; Functions</x:v>
      </x:c>
      <x:c r="G71" s="27" t="n">
        <x:v>7</x:v>
      </x:c>
      <x:c r="H71" s="27" t="str">
        <x:v>Reconnection</x:v>
      </x:c>
      <x:c r="I71" s="27" t="str">
        <x:v>Reconnection: Coordinates</x:v>
      </x:c>
      <x:c r="J71" s="27" t="str">
        <x:v>How does a pair of numbers locate one point?</x:v>
      </x:c>
      <x:c r="K71" s="27" t="str">
        <x:v>plot and read coordinates in four quadrants</x:v>
      </x:c>
      <x:c r="L71" s="27" t="str">
        <x:v>plot and read coordinates in four quadrants</x:v>
      </x:c>
      <x:c r="M71" s="27" t="str">
        <x:v>Branch triggered when plot and read coordinates in four quadrants is not yet secure enough for the current unit.</x:v>
      </x:c>
      <x:c r="N71" s="27" t="str">
        <x:v>REC-ALG-07</x:v>
      </x:c>
      <x:c r="O71" s="27" t="str">
        <x:v>Connection</x:v>
      </x:c>
      <x:c r="P71" s="27" t="str">
        <x:v>Reflection, Rest</x:v>
      </x:c>
      <x:c r="Q71" s="27" t="str">
        <x:v>Coordinate Move Studio</x:v>
      </x:c>
      <x:c r="R71" s="27" t="str">
        <x:v>Dynamic Graph Lab</x:v>
      </x:c>
      <x:c r="S71" s="27" t="str">
        <x:v>Coordinate grid</x:v>
      </x:c>
      <x:c r="T71" s="27" t="str">
        <x:v>Coordinates targeted practice</x:v>
      </x:c>
      <x:c r="U71" s="27" t="str">
        <x:v>Short reconnection evidence: plot and read coordinates in four quadrants</x:v>
      </x:c>
      <x:c r="V71" s="27" t="str">
        <x:v>Learner can plot and read coordinates in four quadrants sufficiently to return to Inequalities: Mathematics with Boundaries.</x:v>
      </x:c>
      <x:c r="W71" s="27" t="str">
        <x:v>Arrive 5 / Reconnect 20 / Test 10 / Return link 10</x:v>
      </x:c>
      <x:c r="X71" s="27" t="str">
        <x:v>NC KS3; 4MA1 2.8</x:v>
      </x:c>
      <x:c r="Y71" s="27" t="str">
        <x:v>Low-Moderate; targeted prerequisite repair</x:v>
      </x:c>
      <x:c r="Z71" s="27" t="str">
        <x:v>Live, Asynchronous, Independent</x:v>
      </x:c>
      <x:c r="AA71" s="27" t="str">
        <x:v>Architecture mapped</x:v>
      </x:c>
      <x:c r="AB71" s="27" t="str">
        <x:v>Not 'catch-up'. A targeted route from Year 8 learning that reconnects the learner to NEO-MATH-Y9-05.</x:v>
      </x:c>
    </x:row>
    <x:row r="72" ht="44" customHeight="1">
      <x:c r="A72" s="27" t="str">
        <x:v>NEO-MATH-Y9-069</x:v>
      </x:c>
      <x:c r="B72" s="27" t="n">
        <x:v>69</x:v>
      </x:c>
      <x:c r="C72" s="27" t="str">
        <x:v>NEO-MATH-Y9-05</x:v>
      </x:c>
      <x:c r="D72" s="27" t="n">
        <x:v>5</x:v>
      </x:c>
      <x:c r="E72" s="27" t="str">
        <x:v>Inequalities: Mathematics with Boundaries</x:v>
      </x:c>
      <x:c r="F72" s="27" t="str">
        <x:v>Structure &amp; Generalisation</x:v>
      </x:c>
      <x:c r="G72" s="27" t="n">
        <x:v>6</x:v>
      </x:c>
      <x:c r="H72" s="27" t="str">
        <x:v>Core</x:v>
      </x:c>
      <x:c r="I72" s="27" t="str">
        <x:v>Repair a misconception: Solve linear inequalities</x:v>
      </x:c>
      <x:c r="J72" s="27" t="str">
        <x:v>What tempting mistake can solve linear inequalities create?</x:v>
      </x:c>
      <x:c r="K72" s="27" t="str">
        <x:v>solve linear inequalities</x:v>
      </x:c>
      <x:c r="L72" s="27" t="str">
        <x:v>solve linear inequalities</x:v>
      </x:c>
      <x:c r="M72" s="27" t="str">
        <x:v>interpret regions and boundaries</x:v>
      </x:c>
      <x:c r="N72" s="27" t="str"/>
      <x:c r="O72" s="27" t="str">
        <x:v>Connection</x:v>
      </x:c>
      <x:c r="P72" s="27" t="str">
        <x:v>Reflection, Creativity</x:v>
      </x:c>
      <x:c r="Q72" s="27" t="str">
        <x:v>Inequality Region Painter</x:v>
      </x:c>
      <x:c r="R72" s="27" t="str">
        <x:v>Structure Lab</x:v>
      </x:c>
      <x:c r="S72" s="27" t="str">
        <x:v>Coordinate grid</x:v>
      </x:c>
      <x:c r="T72" s="27" t="str">
        <x:v>Inequalities: Mathematics with Boundaries – solve linear inequalities</x:v>
      </x:c>
      <x:c r="U72" s="27" t="str">
        <x:v>Corrected misconception note: solve linear inequalities</x:v>
      </x:c>
      <x:c r="V72" s="27" t="str">
        <x:v>Learner can solve linear inequalities and give a reason or check.</x:v>
      </x:c>
      <x:c r="W72" s="27" t="str">
        <x:v>Connect 5 / Explore 20 / Create or Apply 12 / Reflect 8</x:v>
      </x:c>
      <x:c r="X72" s="27" t="str">
        <x:v>NC KS3; 4MA1 2.8</x:v>
      </x:c>
      <x:c r="Y72" s="27" t="str">
        <x:v>Moderate-High</x:v>
      </x:c>
      <x:c r="Z72" s="27" t="str">
        <x:v>Live, Asynchronous, Independent</x:v>
      </x:c>
      <x:c r="AA72" s="27" t="str">
        <x:v>Architecture mapped</x:v>
      </x:c>
      <x:c r="AB72" s="27" t="str">
        <x:v>Part of the canonical Y9 route. May pause or branch to a Reconnection lesson before returning.</x:v>
      </x:c>
    </x:row>
    <x:row r="73" ht="44" customHeight="1">
      <x:c r="A73" s="27" t="str">
        <x:v>NEO-MATH-Y9-070</x:v>
      </x:c>
      <x:c r="B73" s="27" t="n">
        <x:v>70</x:v>
      </x:c>
      <x:c r="C73" s="27" t="str">
        <x:v>NEO-MATH-Y9-05</x:v>
      </x:c>
      <x:c r="D73" s="27" t="n">
        <x:v>5</x:v>
      </x:c>
      <x:c r="E73" s="27" t="str">
        <x:v>Inequalities: Mathematics with Boundaries</x:v>
      </x:c>
      <x:c r="F73" s="27" t="str">
        <x:v>Structure &amp; Generalisation</x:v>
      </x:c>
      <x:c r="G73" s="27" t="n">
        <x:v>7</x:v>
      </x:c>
      <x:c r="H73" s="27" t="str">
        <x:v>Core</x:v>
      </x:c>
      <x:c r="I73" s="27" t="str">
        <x:v>Apply in context: Represent solution sets</x:v>
      </x:c>
      <x:c r="J73" s="27" t="str">
        <x:v>Where might represent solution sets help with a real decision?</x:v>
      </x:c>
      <x:c r="K73" s="27" t="str">
        <x:v>represent solution sets</x:v>
      </x:c>
      <x:c r="L73" s="27" t="str">
        <x:v>represent solution sets</x:v>
      </x:c>
      <x:c r="M73" s="27" t="str">
        <x:v>solve linear inequalities</x:v>
      </x:c>
      <x:c r="N73" s="27" t="str"/>
      <x:c r="O73" s="27" t="str">
        <x:v>Connection</x:v>
      </x:c>
      <x:c r="P73" s="27" t="str">
        <x:v>Reflection, Creativity</x:v>
      </x:c>
      <x:c r="Q73" s="27" t="str">
        <x:v>Inequality Region Painter</x:v>
      </x:c>
      <x:c r="R73" s="27" t="str">
        <x:v>Structure Lab</x:v>
      </x:c>
      <x:c r="S73" s="27" t="str">
        <x:v>Coordinate grid</x:v>
      </x:c>
      <x:c r="T73" s="27" t="str">
        <x:v>Inequalities: Mathematics with Boundaries – represent solution sets</x:v>
      </x:c>
      <x:c r="U73" s="27" t="str">
        <x:v>Short contextual application of represent solution sets</x:v>
      </x:c>
      <x:c r="V73" s="27" t="str">
        <x:v>Learner can represent solution sets and give a reason or check.</x:v>
      </x:c>
      <x:c r="W73" s="27" t="str">
        <x:v>Connect 5 / Explore 20 / Create or Apply 12 / Reflect 8</x:v>
      </x:c>
      <x:c r="X73" s="27" t="str">
        <x:v>NC KS3; 4MA1 2.8</x:v>
      </x:c>
      <x:c r="Y73" s="27" t="str">
        <x:v>Moderate-High</x:v>
      </x:c>
      <x:c r="Z73" s="27" t="str">
        <x:v>Live, Asynchronous, Independent</x:v>
      </x:c>
      <x:c r="AA73" s="27" t="str">
        <x:v>Architecture mapped</x:v>
      </x:c>
      <x:c r="AB73" s="27" t="str">
        <x:v>Part of the canonical Y9 route. May pause or branch to a Reconnection lesson before returning.</x:v>
      </x:c>
    </x:row>
    <x:row r="74" ht="44" customHeight="1">
      <x:c r="A74" s="27" t="str">
        <x:v>NEO-MATH-Y9-071</x:v>
      </x:c>
      <x:c r="B74" s="27" t="n">
        <x:v>71</x:v>
      </x:c>
      <x:c r="C74" s="27" t="str">
        <x:v>NEO-MATH-Y9-05</x:v>
      </x:c>
      <x:c r="D74" s="27" t="n">
        <x:v>5</x:v>
      </x:c>
      <x:c r="E74" s="27" t="str">
        <x:v>Inequalities: Mathematics with Boundaries</x:v>
      </x:c>
      <x:c r="F74" s="27" t="str">
        <x:v>Structure &amp; Generalisation</x:v>
      </x:c>
      <x:c r="G74" s="27" t="n">
        <x:v>8</x:v>
      </x:c>
      <x:c r="H74" s="27" t="str">
        <x:v>Core</x:v>
      </x:c>
      <x:c r="I74" s="27" t="str">
        <x:v>Model and test: Use open and closed endpoints</x:v>
      </x:c>
      <x:c r="J74" s="27" t="str">
        <x:v>Can I build a model using use open and closed endpoints and test it?</x:v>
      </x:c>
      <x:c r="K74" s="27" t="str">
        <x:v>use open and closed endpoints</x:v>
      </x:c>
      <x:c r="L74" s="27" t="str">
        <x:v>use open and closed endpoints</x:v>
      </x:c>
      <x:c r="M74" s="27" t="str">
        <x:v>represent solution sets</x:v>
      </x:c>
      <x:c r="N74" s="27" t="str"/>
      <x:c r="O74" s="27" t="str">
        <x:v>Connection</x:v>
      </x:c>
      <x:c r="P74" s="27" t="str">
        <x:v>Reflection, Creativity</x:v>
      </x:c>
      <x:c r="Q74" s="27" t="str">
        <x:v>Inequality Region Painter</x:v>
      </x:c>
      <x:c r="R74" s="27" t="str">
        <x:v>Structure Lab</x:v>
      </x:c>
      <x:c r="S74" s="27" t="str">
        <x:v>Coordinate grid</x:v>
      </x:c>
      <x:c r="T74" s="27" t="str">
        <x:v>Inequalities: Mathematics with Boundaries – use open and closed endpoints</x:v>
      </x:c>
      <x:c r="U74" s="27" t="str">
        <x:v>Tested model using use open and closed endpoints</x:v>
      </x:c>
      <x:c r="V74" s="27" t="str">
        <x:v>Learner can use open and closed endpoints and give a reason or check.</x:v>
      </x:c>
      <x:c r="W74" s="27" t="str">
        <x:v>Connect 5 / Explore 20 / Create or Apply 12 / Reflect 8</x:v>
      </x:c>
      <x:c r="X74" s="27" t="str">
        <x:v>NC KS3; 4MA1 2.8</x:v>
      </x:c>
      <x:c r="Y74" s="27" t="str">
        <x:v>Moderate-High</x:v>
      </x:c>
      <x:c r="Z74" s="27" t="str">
        <x:v>Live, Asynchronous, Independent</x:v>
      </x:c>
      <x:c r="AA74" s="27" t="str">
        <x:v>Architecture mapped</x:v>
      </x:c>
      <x:c r="AB74" s="27" t="str">
        <x:v>Part of the canonical Y9 route. May pause or branch to a Reconnection lesson before returning.</x:v>
      </x:c>
    </x:row>
    <x:row r="75" ht="44" customHeight="1">
      <x:c r="A75" s="27" t="str">
        <x:v>NEO-MATH-Y9-072</x:v>
      </x:c>
      <x:c r="B75" s="27" t="n">
        <x:v>72</x:v>
      </x:c>
      <x:c r="C75" s="27" t="str">
        <x:v>NEO-MATH-Y9-05</x:v>
      </x:c>
      <x:c r="D75" s="27" t="n">
        <x:v>5</x:v>
      </x:c>
      <x:c r="E75" s="27" t="str">
        <x:v>Inequalities: Mathematics with Boundaries</x:v>
      </x:c>
      <x:c r="F75" s="27" t="str">
        <x:v>Structure &amp; Generalisation</x:v>
      </x:c>
      <x:c r="G75" s="27" t="n">
        <x:v>9</x:v>
      </x:c>
      <x:c r="H75" s="27" t="str">
        <x:v>Core</x:v>
      </x:c>
      <x:c r="I75" s="27" t="str">
        <x:v>Compare strategies: Form inequalities</x:v>
      </x:c>
      <x:c r="J75" s="27" t="str">
        <x:v>Which route through form inequalities is clearest or most efficient?</x:v>
      </x:c>
      <x:c r="K75" s="27" t="str">
        <x:v>form inequalities</x:v>
      </x:c>
      <x:c r="L75" s="27" t="str">
        <x:v>form inequalities</x:v>
      </x:c>
      <x:c r="M75" s="27" t="str">
        <x:v>use open and closed endpoints</x:v>
      </x:c>
      <x:c r="N75" s="27" t="str"/>
      <x:c r="O75" s="27" t="str">
        <x:v>Connection</x:v>
      </x:c>
      <x:c r="P75" s="27" t="str">
        <x:v>Reflection, Creativity</x:v>
      </x:c>
      <x:c r="Q75" s="27" t="str">
        <x:v>Inequality Region Painter</x:v>
      </x:c>
      <x:c r="R75" s="27" t="str">
        <x:v>Structure Lab</x:v>
      </x:c>
      <x:c r="S75" s="27" t="str">
        <x:v>Coordinate grid</x:v>
      </x:c>
      <x:c r="T75" s="27" t="str">
        <x:v>Inequalities: Mathematics with Boundaries – form inequalities</x:v>
      </x:c>
      <x:c r="U75" s="27" t="str">
        <x:v>Two-route comparison for form inequalities</x:v>
      </x:c>
      <x:c r="V75" s="27" t="str">
        <x:v>Learner can form inequalities and give a reason or check.</x:v>
      </x:c>
      <x:c r="W75" s="27" t="str">
        <x:v>Connect 5 / Explore 20 / Create or Apply 12 / Reflect 8</x:v>
      </x:c>
      <x:c r="X75" s="27" t="str">
        <x:v>NC KS3; 4MA1 2.8</x:v>
      </x:c>
      <x:c r="Y75" s="27" t="str">
        <x:v>Moderate-High</x:v>
      </x:c>
      <x:c r="Z75" s="27" t="str">
        <x:v>Live, Asynchronous, Independent</x:v>
      </x:c>
      <x:c r="AA75" s="27" t="str">
        <x:v>Architecture mapped</x:v>
      </x:c>
      <x:c r="AB75" s="27" t="str">
        <x:v>Part of the canonical Y9 route. May pause or branch to a Reconnection lesson before returning.</x:v>
      </x:c>
    </x:row>
    <x:row r="76" ht="44" customHeight="1">
      <x:c r="A76" s="27" t="str">
        <x:v>NEO-MATH-Y9-073</x:v>
      </x:c>
      <x:c r="B76" s="27" t="n">
        <x:v>73</x:v>
      </x:c>
      <x:c r="C76" s="27" t="str">
        <x:v>NEO-MATH-Y9-05</x:v>
      </x:c>
      <x:c r="D76" s="27" t="n">
        <x:v>5</x:v>
      </x:c>
      <x:c r="E76" s="27" t="str">
        <x:v>Inequalities: Mathematics with Boundaries</x:v>
      </x:c>
      <x:c r="F76" s="27" t="str">
        <x:v>Structure &amp; Generalisation</x:v>
      </x:c>
      <x:c r="G76" s="27" t="n">
        <x:v>10</x:v>
      </x:c>
      <x:c r="H76" s="27" t="str">
        <x:v>Core</x:v>
      </x:c>
      <x:c r="I76" s="27" t="str">
        <x:v>Practice with choice: Interpret regions and boundaries</x:v>
      </x:c>
      <x:c r="J76" s="27" t="str">
        <x:v>Can I use interpret regions and boundaries without being told the method?</x:v>
      </x:c>
      <x:c r="K76" s="27" t="str">
        <x:v>interpret regions and boundaries</x:v>
      </x:c>
      <x:c r="L76" s="27" t="str">
        <x:v>interpret regions and boundaries</x:v>
      </x:c>
      <x:c r="M76" s="27" t="str">
        <x:v>form inequalities</x:v>
      </x:c>
      <x:c r="N76" s="27" t="str"/>
      <x:c r="O76" s="27" t="str">
        <x:v>Connection</x:v>
      </x:c>
      <x:c r="P76" s="27" t="str">
        <x:v>Reflection, Creativity</x:v>
      </x:c>
      <x:c r="Q76" s="27" t="str">
        <x:v>Inequality Region Painter</x:v>
      </x:c>
      <x:c r="R76" s="27" t="str">
        <x:v>Structure Lab</x:v>
      </x:c>
      <x:c r="S76" s="27" t="str">
        <x:v>Coordinate grid</x:v>
      </x:c>
      <x:c r="T76" s="27" t="str">
        <x:v>Inequalities: Mathematics with Boundaries – interpret regions and boundaries</x:v>
      </x:c>
      <x:c r="U76" s="27" t="str">
        <x:v>Practice Companion evidence for interpret regions and boundaries</x:v>
      </x:c>
      <x:c r="V76" s="27" t="str">
        <x:v>Learner can interpret regions and boundaries and give a reason or check.</x:v>
      </x:c>
      <x:c r="W76" s="27" t="str">
        <x:v>Reconnect 5 / Practice 25 / Check 10 / Reflect 5</x:v>
      </x:c>
      <x:c r="X76" s="27" t="str">
        <x:v>NC KS3; 4MA1 2.8</x:v>
      </x:c>
      <x:c r="Y76" s="27" t="str">
        <x:v>Moderate-High</x:v>
      </x:c>
      <x:c r="Z76" s="27" t="str">
        <x:v>Live, Asynchronous, Independent</x:v>
      </x:c>
      <x:c r="AA76" s="27" t="str">
        <x:v>Architecture mapped</x:v>
      </x:c>
      <x:c r="AB76" s="27" t="str">
        <x:v>Part of the canonical Y9 route. May pause or branch to a Reconnection lesson before returning.</x:v>
      </x:c>
    </x:row>
    <x:row r="77" ht="44" customHeight="1">
      <x:c r="A77" s="27" t="str">
        <x:v>NEO-MATH-Y9-074</x:v>
      </x:c>
      <x:c r="B77" s="27" t="n">
        <x:v>74</x:v>
      </x:c>
      <x:c r="C77" s="27" t="str">
        <x:v>NEO-MATH-Y9-05</x:v>
      </x:c>
      <x:c r="D77" s="27" t="n">
        <x:v>5</x:v>
      </x:c>
      <x:c r="E77" s="27" t="str">
        <x:v>Inequalities: Mathematics with Boundaries</x:v>
      </x:c>
      <x:c r="F77" s="27" t="str">
        <x:v>Structure &amp; Generalisation</x:v>
      </x:c>
      <x:c r="G77" s="27" t="n">
        <x:v>11</x:v>
      </x:c>
      <x:c r="H77" s="27" t="str">
        <x:v>Core</x:v>
      </x:c>
      <x:c r="I77" s="27" t="str">
        <x:v>Mastery checkpoint: Solve linear inequalities</x:v>
      </x:c>
      <x:c r="J77" s="27" t="str">
        <x:v>What can I now explain, apply and check about solve linear inequalities?</x:v>
      </x:c>
      <x:c r="K77" s="27" t="str">
        <x:v>solve linear inequalities</x:v>
      </x:c>
      <x:c r="L77" s="27" t="str">
        <x:v>solve linear inequalities</x:v>
      </x:c>
      <x:c r="M77" s="27" t="str">
        <x:v>interpret regions and boundaries</x:v>
      </x:c>
      <x:c r="N77" s="27" t="str"/>
      <x:c r="O77" s="27" t="str">
        <x:v>Connection</x:v>
      </x:c>
      <x:c r="P77" s="27" t="str">
        <x:v>Reflection, Creativity</x:v>
      </x:c>
      <x:c r="Q77" s="27" t="str">
        <x:v>Inequality Region Painter</x:v>
      </x:c>
      <x:c r="R77" s="27" t="str">
        <x:v>Structure Lab</x:v>
      </x:c>
      <x:c r="S77" s="27" t="str">
        <x:v>Coordinate grid</x:v>
      </x:c>
      <x:c r="T77" s="27" t="str">
        <x:v>Inequalities: Mathematics with Boundaries – solve linear inequalities</x:v>
      </x:c>
      <x:c r="U77" s="27" t="str">
        <x:v>Constraints Design Brief</x:v>
      </x:c>
      <x:c r="V77" s="27" t="str">
        <x:v>Learner can solve linear inequalities and give a reason or check.</x:v>
      </x:c>
      <x:c r="W77" s="27" t="str">
        <x:v>Settle 5 / Choose evidence 25 / Mastery check 10 / Reflect 5</x:v>
      </x:c>
      <x:c r="X77" s="27" t="str">
        <x:v>NC KS3; 4MA1 2.8</x:v>
      </x:c>
      <x:c r="Y77" s="27" t="str">
        <x:v>Moderate-High</x:v>
      </x:c>
      <x:c r="Z77" s="27" t="str">
        <x:v>Live, Asynchronous, Independent</x:v>
      </x:c>
      <x:c r="AA77" s="27" t="str">
        <x:v>Architecture mapped</x:v>
      </x:c>
      <x:c r="AB77" s="27" t="str">
        <x:v>Part of the canonical Y9 route. May pause or branch to a Reconnection lesson before returning.</x:v>
      </x:c>
    </x:row>
    <x:row r="78" ht="44" customHeight="1">
      <x:c r="A78" s="27" t="str">
        <x:v>NEO-MATH-Y9-075</x:v>
      </x:c>
      <x:c r="B78" s="27" t="n">
        <x:v>75</x:v>
      </x:c>
      <x:c r="C78" s="27" t="str">
        <x:v>NEO-MATH-Y9-05</x:v>
      </x:c>
      <x:c r="D78" s="27" t="n">
        <x:v>5</x:v>
      </x:c>
      <x:c r="E78" s="27" t="str">
        <x:v>Inequalities: Mathematics with Boundaries</x:v>
      </x:c>
      <x:c r="F78" s="27" t="str">
        <x:v>Structure &amp; Generalisation</x:v>
      </x:c>
      <x:c r="G78" s="27" t="n">
        <x:v>14</x:v>
      </x:c>
      <x:c r="H78" s="27" t="str">
        <x:v>Consolidation / Mastery</x:v>
      </x:c>
      <x:c r="I78" s="27" t="str">
        <x:v>Pause, connect and strengthen: Inequalities: Mathematics with Boundaries</x:v>
      </x:c>
      <x:c r="J78" s="27" t="str">
        <x:v>Which connection in this unit is now stronger—and which one needs another route?</x:v>
      </x:c>
      <x:c r="K78" s="27" t="str">
        <x:v>review, connect and select evidence across the unit</x:v>
      </x:c>
      <x:c r="L78" s="27" t="str">
        <x:v>unit-level synthesis and self-regulated mathematical learning</x:v>
      </x:c>
      <x:c r="M78" s="27" t="str">
        <x:v>completion of selected core sessions or equivalent evidence</x:v>
      </x:c>
      <x:c r="N78" s="27" t="str">
        <x:v>learner-specific; choose from linked Reconnection Bank</x:v>
      </x:c>
      <x:c r="O78" s="27" t="str">
        <x:v>Reflection</x:v>
      </x:c>
      <x:c r="P78" s="27" t="str">
        <x:v>Rest, Connection</x:v>
      </x:c>
      <x:c r="Q78" s="27" t="str">
        <x:v>Mastery Pathway Review</x:v>
      </x:c>
      <x:c r="R78" s="27" t="str">
        <x:v>Navigation Tool</x:v>
      </x:c>
      <x:c r="S78" s="27" t="str">
        <x:v>Blank</x:v>
      </x:c>
      <x:c r="T78" s="27" t="str">
        <x:v>learner-selected questions from the unit</x:v>
      </x:c>
      <x:c r="U78" s="27" t="str">
        <x:v>Mastery reflection plus one selected piece of unit evidence</x:v>
      </x:c>
      <x:c r="V78" s="27" t="str">
        <x:v>Learner identifies current Emerging / Developing / Secure / Mastering evidence and a useful next step.</x:v>
      </x:c>
      <x:c r="W78" s="27" t="str">
        <x:v>Settle 5 / Review 10 / Strengthen 15 / Evidence 10 / Next step 5</x:v>
      </x:c>
      <x:c r="X78" s="27" t="str">
        <x:v>NC KS3; 4MA1 2.8</x:v>
      </x:c>
      <x:c r="Y78" s="27" t="str">
        <x:v>Low-Moderate; learner choice and reduced visual field</x:v>
      </x:c>
      <x:c r="Z78" s="27" t="str">
        <x:v>Live, Asynchronous, Independent</x:v>
      </x:c>
      <x:c r="AA78" s="27" t="str">
        <x:v>Architecture mapped</x:v>
      </x:c>
      <x:c r="AB78" s="27" t="str">
        <x:v>Designed breathing space. May become a return session after absence, a Practice Companion session, or a portfolio checkpoint.</x:v>
      </x:c>
    </x:row>
    <x:row r="79" ht="44" customHeight="1">
      <x:c r="A79" s="27" t="str">
        <x:v>NEO-MATH-Y9-076</x:v>
      </x:c>
      <x:c r="B79" s="27" t="n">
        <x:v>76</x:v>
      </x:c>
      <x:c r="C79" s="27" t="str">
        <x:v>NEO-MATH-Y9-05</x:v>
      </x:c>
      <x:c r="D79" s="27" t="n">
        <x:v>5</x:v>
      </x:c>
      <x:c r="E79" s="27" t="str">
        <x:v>Inequalities: Mathematics with Boundaries</x:v>
      </x:c>
      <x:c r="F79" s="27" t="str">
        <x:v>Structure &amp; Generalisation</x:v>
      </x:c>
      <x:c r="G79" s="27" t="n">
        <x:v>15</x:v>
      </x:c>
      <x:c r="H79" s="27" t="str">
        <x:v>Extension / Portfolio</x:v>
      </x:c>
      <x:c r="I79" s="27" t="str">
        <x:v>Open inquiry: Constraints Design Brief</x:v>
      </x:c>
      <x:c r="J79" s="27" t="str">
        <x:v>How far can I take interpret regions and boundaries when I choose the model or context?</x:v>
      </x:c>
      <x:c r="K79" s="27" t="str">
        <x:v>generalise and apply interpret regions and boundaries in a learner-selected or unfamiliar context</x:v>
      </x:c>
      <x:c r="L79" s="27" t="str">
        <x:v>interpret regions and boundaries</x:v>
      </x:c>
      <x:c r="M79" s="27" t="str">
        <x:v>Secure evidence in at least one central unit relationship</x:v>
      </x:c>
      <x:c r="N79" s="27" t="str"/>
      <x:c r="O79" s="27" t="str">
        <x:v>Creativity</x:v>
      </x:c>
      <x:c r="P79" s="27" t="str">
        <x:v>Connection, Reflection</x:v>
      </x:c>
      <x:c r="Q79" s="27" t="str">
        <x:v>Inequality Region Painter</x:v>
      </x:c>
      <x:c r="R79" s="27" t="str">
        <x:v>Structure Lab</x:v>
      </x:c>
      <x:c r="S79" s="27" t="str">
        <x:v>Coordinate grid</x:v>
      </x:c>
      <x:c r="T79" s="27" t="str">
        <x:v>optional stretch / unfamiliar-context questions</x:v>
      </x:c>
      <x:c r="U79" s="27" t="str">
        <x:v>Constraints Design Brief</x:v>
      </x:c>
      <x:c r="V79" s="27" t="str">
        <x:v>Learner generalises interpret regions and boundaries, tests assumptions and communicates a defensible conclusion.</x:v>
      </x:c>
      <x:c r="W79" s="27" t="str">
        <x:v>Choose 5 / Conjecture 10 / Build or test 20 / Reflect 10</x:v>
      </x:c>
      <x:c r="X79" s="27" t="str">
        <x:v>NC KS3; 4MA1 2.8</x:v>
      </x:c>
      <x:c r="Y79" s="27" t="str">
        <x:v>Moderate-High</x:v>
      </x:c>
      <x:c r="Z79" s="27" t="str">
        <x:v>Live, Asynchronous, Independent</x:v>
      </x:c>
      <x:c r="AA79" s="27" t="str">
        <x:v>Architecture mapped</x:v>
      </x:c>
      <x:c r="AB79" s="27" t="str">
        <x:v>High-ceiling optional route. Can replace repeated practice where Secure evidence is already present.</x:v>
      </x:c>
    </x:row>
    <x:row r="80" ht="44" customHeight="1">
      <x:c r="A80" s="27" t="str">
        <x:v>NEO-MATH-Y9-077</x:v>
      </x:c>
      <x:c r="B80" s="27" t="n">
        <x:v>77</x:v>
      </x:c>
      <x:c r="C80" s="27" t="str">
        <x:v>NEO-MATH-Y9-06</x:v>
      </x:c>
      <x:c r="D80" s="27" t="n">
        <x:v>6</x:v>
      </x:c>
      <x:c r="E80" s="27" t="str">
        <x:v>Formulae and Rearranging: Changing the Subject</x:v>
      </x:c>
      <x:c r="F80" s="27" t="str">
        <x:v>Structure &amp; Generalisation</x:v>
      </x:c>
      <x:c r="G80" s="27" t="n">
        <x:v>1</x:v>
      </x:c>
      <x:c r="H80" s="27" t="str">
        <x:v>Core</x:v>
      </x:c>
      <x:c r="I80" s="27" t="str">
        <x:v>Connect &amp; notice: Substitute into formulae</x:v>
      </x:c>
      <x:c r="J80" s="27" t="str">
        <x:v>What do I already notice about substitute into formulae?</x:v>
      </x:c>
      <x:c r="K80" s="27" t="str">
        <x:v>substitute into formulae</x:v>
      </x:c>
      <x:c r="L80" s="27" t="str">
        <x:v>substitute into formulae</x:v>
      </x:c>
      <x:c r="M80" s="27" t="str">
        <x:v>learner entry knowledge and representation confidence</x:v>
      </x:c>
      <x:c r="N80" s="27" t="str"/>
      <x:c r="O80" s="27" t="str">
        <x:v>Connection</x:v>
      </x:c>
      <x:c r="P80" s="27" t="str">
        <x:v>Reflection, Rest</x:v>
      </x:c>
      <x:c r="Q80" s="27" t="str">
        <x:v>Formula Balance and Subject Switcher</x:v>
      </x:c>
      <x:c r="R80" s="27" t="str">
        <x:v>Structure Lab</x:v>
      </x:c>
      <x:c r="S80" s="27" t="str">
        <x:v>Blank</x:v>
      </x:c>
      <x:c r="T80" s="27" t="str">
        <x:v>Formulae and Rearranging: Changing the Subject – substitute into formulae</x:v>
      </x:c>
      <x:c r="U80" s="27" t="str">
        <x:v>Scratchpad prediction or notice about substitute into formulae</x:v>
      </x:c>
      <x:c r="V80" s="27" t="str">
        <x:v>Learner can substitute into formulae and give a reason or check.</x:v>
      </x:c>
      <x:c r="W80" s="27" t="str">
        <x:v>Connect 8 / Explore 20 / Notice 10 / Reflect 7</x:v>
      </x:c>
      <x:c r="X80" s="27" t="str">
        <x:v>NC KS3; 4MA1 2.3</x:v>
      </x:c>
      <x:c r="Y80" s="27" t="str">
        <x:v>Moderate</x:v>
      </x:c>
      <x:c r="Z80" s="27" t="str">
        <x:v>Live, Asynchronous, Independent</x:v>
      </x:c>
      <x:c r="AA80" s="27" t="str">
        <x:v>Architecture mapped</x:v>
      </x:c>
      <x:c r="AB80" s="27" t="str">
        <x:v>Part of the canonical Y9 route. May pause or branch to a Reconnection lesson before returning.</x:v>
      </x:c>
    </x:row>
    <x:row r="81" ht="44" customHeight="1">
      <x:c r="A81" s="27" t="str">
        <x:v>NEO-MATH-Y9-078</x:v>
      </x:c>
      <x:c r="B81" s="27" t="n">
        <x:v>78</x:v>
      </x:c>
      <x:c r="C81" s="27" t="str">
        <x:v>NEO-MATH-Y9-06</x:v>
      </x:c>
      <x:c r="D81" s="27" t="n">
        <x:v>6</x:v>
      </x:c>
      <x:c r="E81" s="27" t="str">
        <x:v>Formulae and Rearranging: Changing the Subject</x:v>
      </x:c>
      <x:c r="F81" s="27" t="str">
        <x:v>Structure &amp; Generalisation</x:v>
      </x:c>
      <x:c r="G81" s="27" t="n">
        <x:v>2</x:v>
      </x:c>
      <x:c r="H81" s="27" t="str">
        <x:v>Core</x:v>
      </x:c>
      <x:c r="I81" s="27" t="str">
        <x:v>Build the idea: Rearrange simple formulae</x:v>
      </x:c>
      <x:c r="J81" s="27" t="str">
        <x:v>What does rearrange simple formulae mean before I use a procedure?</x:v>
      </x:c>
      <x:c r="K81" s="27" t="str">
        <x:v>rearrange simple formulae</x:v>
      </x:c>
      <x:c r="L81" s="27" t="str">
        <x:v>rearrange simple formulae</x:v>
      </x:c>
      <x:c r="M81" s="27" t="str">
        <x:v>substitute into formulae</x:v>
      </x:c>
      <x:c r="N81" s="27" t="str"/>
      <x:c r="O81" s="27" t="str">
        <x:v>Connection</x:v>
      </x:c>
      <x:c r="P81" s="27" t="str">
        <x:v>Reflection, Rest</x:v>
      </x:c>
      <x:c r="Q81" s="27" t="str">
        <x:v>Formula Balance and Subject Switcher</x:v>
      </x:c>
      <x:c r="R81" s="27" t="str">
        <x:v>Structure Lab</x:v>
      </x:c>
      <x:c r="S81" s="27" t="str">
        <x:v>Blank</x:v>
      </x:c>
      <x:c r="T81" s="27" t="str">
        <x:v>Formulae and Rearranging: Changing the Subject – rearrange simple formulae</x:v>
      </x:c>
      <x:c r="U81" s="27" t="str">
        <x:v>Annotated representation of rearrange simple formulae</x:v>
      </x:c>
      <x:c r="V81" s="27" t="str">
        <x:v>Learner can rearrange simple formulae and give a reason or check.</x:v>
      </x:c>
      <x:c r="W81" s="27" t="str">
        <x:v>Connect 5 / Explore 20 / Create or Apply 12 / Reflect 8</x:v>
      </x:c>
      <x:c r="X81" s="27" t="str">
        <x:v>NC KS3; 4MA1 2.3</x:v>
      </x:c>
      <x:c r="Y81" s="27" t="str">
        <x:v>Moderate</x:v>
      </x:c>
      <x:c r="Z81" s="27" t="str">
        <x:v>Live, Asynchronous, Independent</x:v>
      </x:c>
      <x:c r="AA81" s="27" t="str">
        <x:v>Architecture mapped</x:v>
      </x:c>
      <x:c r="AB81" s="27" t="str">
        <x:v>Part of the canonical Y9 route. May pause or branch to a Reconnection lesson before returning.</x:v>
      </x:c>
    </x:row>
    <x:row r="82" ht="44" customHeight="1">
      <x:c r="A82" s="27" t="str">
        <x:v>NEO-MATH-Y9-079</x:v>
      </x:c>
      <x:c r="B82" s="27" t="n">
        <x:v>79</x:v>
      </x:c>
      <x:c r="C82" s="27" t="str">
        <x:v>NEO-MATH-Y9-06</x:v>
      </x:c>
      <x:c r="D82" s="27" t="n">
        <x:v>6</x:v>
      </x:c>
      <x:c r="E82" s="27" t="str">
        <x:v>Formulae and Rearranging: Changing the Subject</x:v>
      </x:c>
      <x:c r="F82" s="27" t="str">
        <x:v>Structure &amp; Generalisation</x:v>
      </x:c>
      <x:c r="G82" s="27" t="n">
        <x:v>3</x:v>
      </x:c>
      <x:c r="H82" s="27" t="str">
        <x:v>Reconnection</x:v>
      </x:c>
      <x:c r="I82" s="27" t="str">
        <x:v>Reconnection: Substitution</x:v>
      </x:c>
      <x:c r="J82" s="27" t="str">
        <x:v>How can a rule produce a number?</x:v>
      </x:c>
      <x:c r="K82" s="27" t="str">
        <x:v>substitute values into expressions and formulae</x:v>
      </x:c>
      <x:c r="L82" s="27" t="str">
        <x:v>substitute values into expressions and formulae</x:v>
      </x:c>
      <x:c r="M82" s="27" t="str">
        <x:v>Branch triggered when substitute values into expressions and formulae is not yet secure enough for the current unit.</x:v>
      </x:c>
      <x:c r="N82" s="27" t="str">
        <x:v>REC-ALG-03</x:v>
      </x:c>
      <x:c r="O82" s="27" t="str">
        <x:v>Connection</x:v>
      </x:c>
      <x:c r="P82" s="27" t="str">
        <x:v>Reflection, Rest</x:v>
      </x:c>
      <x:c r="Q82" s="27" t="str">
        <x:v>Substitution Machine</x:v>
      </x:c>
      <x:c r="R82" s="27" t="str">
        <x:v>Structure Lab</x:v>
      </x:c>
      <x:c r="S82" s="27" t="str">
        <x:v>Blank</x:v>
      </x:c>
      <x:c r="T82" s="27" t="str">
        <x:v>Substitution targeted practice</x:v>
      </x:c>
      <x:c r="U82" s="27" t="str">
        <x:v>Short reconnection evidence: substitute values into expressions and formulae</x:v>
      </x:c>
      <x:c r="V82" s="27" t="str">
        <x:v>Learner can substitute values into expressions and formulae sufficiently to return to Formulae and Rearranging: Changing the Subject.</x:v>
      </x:c>
      <x:c r="W82" s="27" t="str">
        <x:v>Arrive 5 / Reconnect 20 / Test 10 / Return link 10</x:v>
      </x:c>
      <x:c r="X82" s="27" t="str">
        <x:v>NC KS3; 4MA1 2.3</x:v>
      </x:c>
      <x:c r="Y82" s="27" t="str">
        <x:v>Low-Moderate; targeted prerequisite repair</x:v>
      </x:c>
      <x:c r="Z82" s="27" t="str">
        <x:v>Live, Asynchronous, Independent</x:v>
      </x:c>
      <x:c r="AA82" s="27" t="str">
        <x:v>Architecture mapped</x:v>
      </x:c>
      <x:c r="AB82" s="27" t="str">
        <x:v>Not 'catch-up'. A targeted route from Year 8 learning that reconnects the learner to NEO-MATH-Y9-06.</x:v>
      </x:c>
    </x:row>
    <x:row r="83" ht="44" customHeight="1">
      <x:c r="A83" s="27" t="str">
        <x:v>NEO-MATH-Y9-080</x:v>
      </x:c>
      <x:c r="B83" s="27" t="n">
        <x:v>80</x:v>
      </x:c>
      <x:c r="C83" s="27" t="str">
        <x:v>NEO-MATH-Y9-06</x:v>
      </x:c>
      <x:c r="D83" s="27" t="n">
        <x:v>6</x:v>
      </x:c>
      <x:c r="E83" s="27" t="str">
        <x:v>Formulae and Rearranging: Changing the Subject</x:v>
      </x:c>
      <x:c r="F83" s="27" t="str">
        <x:v>Structure &amp; Generalisation</x:v>
      </x:c>
      <x:c r="G83" s="27" t="n">
        <x:v>3</x:v>
      </x:c>
      <x:c r="H83" s="27" t="str">
        <x:v>Core</x:v>
      </x:c>
      <x:c r="I83" s="27" t="str">
        <x:v>Represent it: Use inverse operations</x:v>
      </x:c>
      <x:c r="J83" s="27" t="str">
        <x:v>How can I show use inverse operations in more than one way?</x:v>
      </x:c>
      <x:c r="K83" s="27" t="str">
        <x:v>use inverse operations</x:v>
      </x:c>
      <x:c r="L83" s="27" t="str">
        <x:v>use inverse operations</x:v>
      </x:c>
      <x:c r="M83" s="27" t="str">
        <x:v>rearrange simple formulae</x:v>
      </x:c>
      <x:c r="N83" s="27" t="str"/>
      <x:c r="O83" s="27" t="str">
        <x:v>Connection</x:v>
      </x:c>
      <x:c r="P83" s="27" t="str">
        <x:v>Reflection, Rest</x:v>
      </x:c>
      <x:c r="Q83" s="27" t="str">
        <x:v>Formula Balance and Subject Switcher</x:v>
      </x:c>
      <x:c r="R83" s="27" t="str">
        <x:v>Structure Lab</x:v>
      </x:c>
      <x:c r="S83" s="27" t="str">
        <x:v>Blank</x:v>
      </x:c>
      <x:c r="T83" s="27" t="str">
        <x:v>Formulae and Rearranging: Changing the Subject – use inverse operations</x:v>
      </x:c>
      <x:c r="U83" s="27" t="str">
        <x:v>Annotated representation of use inverse operations</x:v>
      </x:c>
      <x:c r="V83" s="27" t="str">
        <x:v>Learner can use inverse operations and give a reason or check.</x:v>
      </x:c>
      <x:c r="W83" s="27" t="str">
        <x:v>Connect 5 / Explore 20 / Create or Apply 12 / Reflect 8</x:v>
      </x:c>
      <x:c r="X83" s="27" t="str">
        <x:v>NC KS3; 4MA1 2.3</x:v>
      </x:c>
      <x:c r="Y83" s="27" t="str">
        <x:v>Moderate</x:v>
      </x:c>
      <x:c r="Z83" s="27" t="str">
        <x:v>Live, Asynchronous, Independent</x:v>
      </x:c>
      <x:c r="AA83" s="27" t="str">
        <x:v>Architecture mapped</x:v>
      </x:c>
      <x:c r="AB83" s="27" t="str">
        <x:v>Part of the canonical Y9 route. May pause or branch to a Reconnection lesson before returning.</x:v>
      </x:c>
    </x:row>
    <x:row r="84" ht="44" customHeight="1">
      <x:c r="A84" s="27" t="str">
        <x:v>NEO-MATH-Y9-081</x:v>
      </x:c>
      <x:c r="B84" s="27" t="n">
        <x:v>81</x:v>
      </x:c>
      <x:c r="C84" s="27" t="str">
        <x:v>NEO-MATH-Y9-06</x:v>
      </x:c>
      <x:c r="D84" s="27" t="n">
        <x:v>6</x:v>
      </x:c>
      <x:c r="E84" s="27" t="str">
        <x:v>Formulae and Rearranging: Changing the Subject</x:v>
      </x:c>
      <x:c r="F84" s="27" t="str">
        <x:v>Structure &amp; Generalisation</x:v>
      </x:c>
      <x:c r="G84" s="27" t="n">
        <x:v>4</x:v>
      </x:c>
      <x:c r="H84" s="27" t="str">
        <x:v>Core</x:v>
      </x:c>
      <x:c r="I84" s="27" t="str">
        <x:v>Try one change: Make a chosen subject</x:v>
      </x:c>
      <x:c r="J84" s="27" t="str">
        <x:v>What changes when I adjust one part of make a chosen subject?</x:v>
      </x:c>
      <x:c r="K84" s="27" t="str">
        <x:v>make a chosen subject</x:v>
      </x:c>
      <x:c r="L84" s="27" t="str">
        <x:v>make a chosen subject</x:v>
      </x:c>
      <x:c r="M84" s="27" t="str">
        <x:v>use inverse operations</x:v>
      </x:c>
      <x:c r="N84" s="27" t="str"/>
      <x:c r="O84" s="27" t="str">
        <x:v>Connection</x:v>
      </x:c>
      <x:c r="P84" s="27" t="str">
        <x:v>Reflection, Rest</x:v>
      </x:c>
      <x:c r="Q84" s="27" t="str">
        <x:v>Formula Balance and Subject Switcher</x:v>
      </x:c>
      <x:c r="R84" s="27" t="str">
        <x:v>Structure Lab</x:v>
      </x:c>
      <x:c r="S84" s="27" t="str">
        <x:v>Blank</x:v>
      </x:c>
      <x:c r="T84" s="27" t="str">
        <x:v>Formulae and Rearranging: Changing the Subject – make a chosen subject</x:v>
      </x:c>
      <x:c r="U84" s="27" t="str">
        <x:v>Annotated representation of make a chosen subject</x:v>
      </x:c>
      <x:c r="V84" s="27" t="str">
        <x:v>Learner can make a chosen subject and give a reason or check.</x:v>
      </x:c>
      <x:c r="W84" s="27" t="str">
        <x:v>Connect 5 / Explore 20 / Create or Apply 12 / Reflect 8</x:v>
      </x:c>
      <x:c r="X84" s="27" t="str">
        <x:v>NC KS3; 4MA1 2.3</x:v>
      </x:c>
      <x:c r="Y84" s="27" t="str">
        <x:v>Moderate</x:v>
      </x:c>
      <x:c r="Z84" s="27" t="str">
        <x:v>Live, Asynchronous, Independent</x:v>
      </x:c>
      <x:c r="AA84" s="27" t="str">
        <x:v>Architecture mapped</x:v>
      </x:c>
      <x:c r="AB84" s="27" t="str">
        <x:v>Part of the canonical Y9 route. May pause or branch to a Reconnection lesson before returning.</x:v>
      </x:c>
    </x:row>
    <x:row r="85" ht="44" customHeight="1">
      <x:c r="A85" s="27" t="str">
        <x:v>NEO-MATH-Y9-082</x:v>
      </x:c>
      <x:c r="B85" s="27" t="n">
        <x:v>82</x:v>
      </x:c>
      <x:c r="C85" s="27" t="str">
        <x:v>NEO-MATH-Y9-06</x:v>
      </x:c>
      <x:c r="D85" s="27" t="n">
        <x:v>6</x:v>
      </x:c>
      <x:c r="E85" s="27" t="str">
        <x:v>Formulae and Rearranging: Changing the Subject</x:v>
      </x:c>
      <x:c r="F85" s="27" t="str">
        <x:v>Structure &amp; Generalisation</x:v>
      </x:c>
      <x:c r="G85" s="27" t="n">
        <x:v>5</x:v>
      </x:c>
      <x:c r="H85" s="27" t="str">
        <x:v>Core</x:v>
      </x:c>
      <x:c r="I85" s="27" t="str">
        <x:v>Connect ideas: Form and verify formulae</x:v>
      </x:c>
      <x:c r="J85" s="27" t="str">
        <x:v>How does form and verify formulae connect to the earlier relationship?</x:v>
      </x:c>
      <x:c r="K85" s="27" t="str">
        <x:v>form and verify formulae</x:v>
      </x:c>
      <x:c r="L85" s="27" t="str">
        <x:v>form and verify formulae</x:v>
      </x:c>
      <x:c r="M85" s="27" t="str">
        <x:v>make a chosen subject</x:v>
      </x:c>
      <x:c r="N85" s="27" t="str"/>
      <x:c r="O85" s="27" t="str">
        <x:v>Connection</x:v>
      </x:c>
      <x:c r="P85" s="27" t="str">
        <x:v>Reflection, Rest</x:v>
      </x:c>
      <x:c r="Q85" s="27" t="str">
        <x:v>Formula Balance and Subject Switcher</x:v>
      </x:c>
      <x:c r="R85" s="27" t="str">
        <x:v>Structure Lab</x:v>
      </x:c>
      <x:c r="S85" s="27" t="str">
        <x:v>Blank</x:v>
      </x:c>
      <x:c r="T85" s="27" t="str">
        <x:v>Formulae and Rearranging: Changing the Subject – form and verify formulae</x:v>
      </x:c>
      <x:c r="U85" s="27" t="str">
        <x:v>Annotated representation of form and verify formulae</x:v>
      </x:c>
      <x:c r="V85" s="27" t="str">
        <x:v>Learner can form and verify formulae and give a reason or check.</x:v>
      </x:c>
      <x:c r="W85" s="27" t="str">
        <x:v>Connect 8 / Explore 20 / Notice 10 / Reflect 7</x:v>
      </x:c>
      <x:c r="X85" s="27" t="str">
        <x:v>NC KS3; 4MA1 2.3</x:v>
      </x:c>
      <x:c r="Y85" s="27" t="str">
        <x:v>Moderate</x:v>
      </x:c>
      <x:c r="Z85" s="27" t="str">
        <x:v>Live, Asynchronous, Independent</x:v>
      </x:c>
      <x:c r="AA85" s="27" t="str">
        <x:v>Architecture mapped</x:v>
      </x:c>
      <x:c r="AB85" s="27" t="str">
        <x:v>Part of the canonical Y9 route. May pause or branch to a Reconnection lesson before returning.</x:v>
      </x:c>
    </x:row>
    <x:row r="86" ht="44" customHeight="1">
      <x:c r="A86" s="27" t="str">
        <x:v>NEO-MATH-Y9-083</x:v>
      </x:c>
      <x:c r="B86" s="27" t="n">
        <x:v>83</x:v>
      </x:c>
      <x:c r="C86" s="27" t="str">
        <x:v>NEO-MATH-Y9-06</x:v>
      </x:c>
      <x:c r="D86" s="27" t="n">
        <x:v>6</x:v>
      </x:c>
      <x:c r="E86" s="27" t="str">
        <x:v>Formulae and Rearranging: Changing the Subject</x:v>
      </x:c>
      <x:c r="F86" s="27" t="str">
        <x:v>Structure &amp; Generalisation</x:v>
      </x:c>
      <x:c r="G86" s="27" t="n">
        <x:v>7</x:v>
      </x:c>
      <x:c r="H86" s="27" t="str">
        <x:v>Reconnection</x:v>
      </x:c>
      <x:c r="I86" s="27" t="str">
        <x:v>Reconnection: One- and two-step equations</x:v>
      </x:c>
      <x:c r="J86" s="27" t="str">
        <x:v>What can I change without breaking equality?</x:v>
      </x:c>
      <x:c r="K86" s="27" t="str">
        <x:v>solve linear equations using inverse operations</x:v>
      </x:c>
      <x:c r="L86" s="27" t="str">
        <x:v>solve linear equations using inverse operations</x:v>
      </x:c>
      <x:c r="M86" s="27" t="str">
        <x:v>Branch triggered when solve linear equations using inverse operations is not yet secure enough for the current unit.</x:v>
      </x:c>
      <x:c r="N86" s="27" t="str">
        <x:v>REC-ALG-06</x:v>
      </x:c>
      <x:c r="O86" s="27" t="str">
        <x:v>Connection</x:v>
      </x:c>
      <x:c r="P86" s="27" t="str">
        <x:v>Reflection, Rest</x:v>
      </x:c>
      <x:c r="Q86" s="27" t="str">
        <x:v>Balance Equation Simulator</x:v>
      </x:c>
      <x:c r="R86" s="27" t="str">
        <x:v>Structure Lab</x:v>
      </x:c>
      <x:c r="S86" s="27" t="str">
        <x:v>Blank</x:v>
      </x:c>
      <x:c r="T86" s="27" t="str">
        <x:v>One- and two-step equations targeted practice</x:v>
      </x:c>
      <x:c r="U86" s="27" t="str">
        <x:v>Short reconnection evidence: solve linear equations using inverse operations</x:v>
      </x:c>
      <x:c r="V86" s="27" t="str">
        <x:v>Learner can solve linear equations using inverse operations sufficiently to return to Formulae and Rearranging: Changing the Subject.</x:v>
      </x:c>
      <x:c r="W86" s="27" t="str">
        <x:v>Arrive 5 / Reconnect 20 / Test 10 / Return link 10</x:v>
      </x:c>
      <x:c r="X86" s="27" t="str">
        <x:v>NC KS3; 4MA1 2.3</x:v>
      </x:c>
      <x:c r="Y86" s="27" t="str">
        <x:v>Low-Moderate; targeted prerequisite repair</x:v>
      </x:c>
      <x:c r="Z86" s="27" t="str">
        <x:v>Live, Asynchronous, Independent</x:v>
      </x:c>
      <x:c r="AA86" s="27" t="str">
        <x:v>Architecture mapped</x:v>
      </x:c>
      <x:c r="AB86" s="27" t="str">
        <x:v>Not 'catch-up'. A targeted route from Year 8 learning that reconnects the learner to NEO-MATH-Y9-06.</x:v>
      </x:c>
    </x:row>
    <x:row r="87" ht="44" customHeight="1">
      <x:c r="A87" s="27" t="str">
        <x:v>NEO-MATH-Y9-084</x:v>
      </x:c>
      <x:c r="B87" s="27" t="n">
        <x:v>84</x:v>
      </x:c>
      <x:c r="C87" s="27" t="str">
        <x:v>NEO-MATH-Y9-06</x:v>
      </x:c>
      <x:c r="D87" s="27" t="n">
        <x:v>6</x:v>
      </x:c>
      <x:c r="E87" s="27" t="str">
        <x:v>Formulae and Rearranging: Changing the Subject</x:v>
      </x:c>
      <x:c r="F87" s="27" t="str">
        <x:v>Structure &amp; Generalisation</x:v>
      </x:c>
      <x:c r="G87" s="27" t="n">
        <x:v>6</x:v>
      </x:c>
      <x:c r="H87" s="27" t="str">
        <x:v>Core</x:v>
      </x:c>
      <x:c r="I87" s="27" t="str">
        <x:v>Repair a misconception: Substitute into formulae</x:v>
      </x:c>
      <x:c r="J87" s="27" t="str">
        <x:v>What tempting mistake can substitute into formulae create?</x:v>
      </x:c>
      <x:c r="K87" s="27" t="str">
        <x:v>substitute into formulae</x:v>
      </x:c>
      <x:c r="L87" s="27" t="str">
        <x:v>substitute into formulae</x:v>
      </x:c>
      <x:c r="M87" s="27" t="str">
        <x:v>form and verify formulae</x:v>
      </x:c>
      <x:c r="N87" s="27" t="str"/>
      <x:c r="O87" s="27" t="str">
        <x:v>Connection</x:v>
      </x:c>
      <x:c r="P87" s="27" t="str">
        <x:v>Reflection, Rest</x:v>
      </x:c>
      <x:c r="Q87" s="27" t="str">
        <x:v>Formula Balance and Subject Switcher</x:v>
      </x:c>
      <x:c r="R87" s="27" t="str">
        <x:v>Structure Lab</x:v>
      </x:c>
      <x:c r="S87" s="27" t="str">
        <x:v>Blank</x:v>
      </x:c>
      <x:c r="T87" s="27" t="str">
        <x:v>Formulae and Rearranging: Changing the Subject – substitute into formulae</x:v>
      </x:c>
      <x:c r="U87" s="27" t="str">
        <x:v>Corrected misconception note: substitute into formulae</x:v>
      </x:c>
      <x:c r="V87" s="27" t="str">
        <x:v>Learner can substitute into formulae and give a reason or check.</x:v>
      </x:c>
      <x:c r="W87" s="27" t="str">
        <x:v>Connect 5 / Explore 20 / Create or Apply 12 / Reflect 8</x:v>
      </x:c>
      <x:c r="X87" s="27" t="str">
        <x:v>NC KS3; 4MA1 2.3</x:v>
      </x:c>
      <x:c r="Y87" s="27" t="str">
        <x:v>Moderate</x:v>
      </x:c>
      <x:c r="Z87" s="27" t="str">
        <x:v>Live, Asynchronous, Independent</x:v>
      </x:c>
      <x:c r="AA87" s="27" t="str">
        <x:v>Architecture mapped</x:v>
      </x:c>
      <x:c r="AB87" s="27" t="str">
        <x:v>Part of the canonical Y9 route. May pause or branch to a Reconnection lesson before returning.</x:v>
      </x:c>
    </x:row>
    <x:row r="88" ht="44" customHeight="1">
      <x:c r="A88" s="27" t="str">
        <x:v>NEO-MATH-Y9-085</x:v>
      </x:c>
      <x:c r="B88" s="27" t="n">
        <x:v>85</x:v>
      </x:c>
      <x:c r="C88" s="27" t="str">
        <x:v>NEO-MATH-Y9-06</x:v>
      </x:c>
      <x:c r="D88" s="27" t="n">
        <x:v>6</x:v>
      </x:c>
      <x:c r="E88" s="27" t="str">
        <x:v>Formulae and Rearranging: Changing the Subject</x:v>
      </x:c>
      <x:c r="F88" s="27" t="str">
        <x:v>Structure &amp; Generalisation</x:v>
      </x:c>
      <x:c r="G88" s="27" t="n">
        <x:v>7</x:v>
      </x:c>
      <x:c r="H88" s="27" t="str">
        <x:v>Core</x:v>
      </x:c>
      <x:c r="I88" s="27" t="str">
        <x:v>Apply in context: Rearrange simple formulae</x:v>
      </x:c>
      <x:c r="J88" s="27" t="str">
        <x:v>Where might rearrange simple formulae help with a real decision?</x:v>
      </x:c>
      <x:c r="K88" s="27" t="str">
        <x:v>rearrange simple formulae</x:v>
      </x:c>
      <x:c r="L88" s="27" t="str">
        <x:v>rearrange simple formulae</x:v>
      </x:c>
      <x:c r="M88" s="27" t="str">
        <x:v>substitute into formulae</x:v>
      </x:c>
      <x:c r="N88" s="27" t="str"/>
      <x:c r="O88" s="27" t="str">
        <x:v>Connection</x:v>
      </x:c>
      <x:c r="P88" s="27" t="str">
        <x:v>Reflection, Rest</x:v>
      </x:c>
      <x:c r="Q88" s="27" t="str">
        <x:v>Formula Balance and Subject Switcher</x:v>
      </x:c>
      <x:c r="R88" s="27" t="str">
        <x:v>Structure Lab</x:v>
      </x:c>
      <x:c r="S88" s="27" t="str">
        <x:v>Blank</x:v>
      </x:c>
      <x:c r="T88" s="27" t="str">
        <x:v>Formulae and Rearranging: Changing the Subject – rearrange simple formulae</x:v>
      </x:c>
      <x:c r="U88" s="27" t="str">
        <x:v>Short contextual application of rearrange simple formulae</x:v>
      </x:c>
      <x:c r="V88" s="27" t="str">
        <x:v>Learner can rearrange simple formulae and give a reason or check.</x:v>
      </x:c>
      <x:c r="W88" s="27" t="str">
        <x:v>Connect 5 / Explore 20 / Create or Apply 12 / Reflect 8</x:v>
      </x:c>
      <x:c r="X88" s="27" t="str">
        <x:v>NC KS3; 4MA1 2.3</x:v>
      </x:c>
      <x:c r="Y88" s="27" t="str">
        <x:v>Moderate</x:v>
      </x:c>
      <x:c r="Z88" s="27" t="str">
        <x:v>Live, Asynchronous, Independent</x:v>
      </x:c>
      <x:c r="AA88" s="27" t="str">
        <x:v>Architecture mapped</x:v>
      </x:c>
      <x:c r="AB88" s="27" t="str">
        <x:v>Part of the canonical Y9 route. May pause or branch to a Reconnection lesson before returning.</x:v>
      </x:c>
    </x:row>
    <x:row r="89" ht="44" customHeight="1">
      <x:c r="A89" s="27" t="str">
        <x:v>NEO-MATH-Y9-086</x:v>
      </x:c>
      <x:c r="B89" s="27" t="n">
        <x:v>86</x:v>
      </x:c>
      <x:c r="C89" s="27" t="str">
        <x:v>NEO-MATH-Y9-06</x:v>
      </x:c>
      <x:c r="D89" s="27" t="n">
        <x:v>6</x:v>
      </x:c>
      <x:c r="E89" s="27" t="str">
        <x:v>Formulae and Rearranging: Changing the Subject</x:v>
      </x:c>
      <x:c r="F89" s="27" t="str">
        <x:v>Structure &amp; Generalisation</x:v>
      </x:c>
      <x:c r="G89" s="27" t="n">
        <x:v>8</x:v>
      </x:c>
      <x:c r="H89" s="27" t="str">
        <x:v>Core</x:v>
      </x:c>
      <x:c r="I89" s="27" t="str">
        <x:v>Model and test: Use inverse operations</x:v>
      </x:c>
      <x:c r="J89" s="27" t="str">
        <x:v>Can I build a model using use inverse operations and test it?</x:v>
      </x:c>
      <x:c r="K89" s="27" t="str">
        <x:v>use inverse operations</x:v>
      </x:c>
      <x:c r="L89" s="27" t="str">
        <x:v>use inverse operations</x:v>
      </x:c>
      <x:c r="M89" s="27" t="str">
        <x:v>rearrange simple formulae</x:v>
      </x:c>
      <x:c r="N89" s="27" t="str"/>
      <x:c r="O89" s="27" t="str">
        <x:v>Connection</x:v>
      </x:c>
      <x:c r="P89" s="27" t="str">
        <x:v>Reflection, Rest</x:v>
      </x:c>
      <x:c r="Q89" s="27" t="str">
        <x:v>Formula Balance and Subject Switcher</x:v>
      </x:c>
      <x:c r="R89" s="27" t="str">
        <x:v>Structure Lab</x:v>
      </x:c>
      <x:c r="S89" s="27" t="str">
        <x:v>Blank</x:v>
      </x:c>
      <x:c r="T89" s="27" t="str">
        <x:v>Formulae and Rearranging: Changing the Subject – use inverse operations</x:v>
      </x:c>
      <x:c r="U89" s="27" t="str">
        <x:v>Tested model using use inverse operations</x:v>
      </x:c>
      <x:c r="V89" s="27" t="str">
        <x:v>Learner can use inverse operations and give a reason or check.</x:v>
      </x:c>
      <x:c r="W89" s="27" t="str">
        <x:v>Connect 5 / Explore 20 / Create or Apply 12 / Reflect 8</x:v>
      </x:c>
      <x:c r="X89" s="27" t="str">
        <x:v>NC KS3; 4MA1 2.3</x:v>
      </x:c>
      <x:c r="Y89" s="27" t="str">
        <x:v>Moderate</x:v>
      </x:c>
      <x:c r="Z89" s="27" t="str">
        <x:v>Live, Asynchronous, Independent</x:v>
      </x:c>
      <x:c r="AA89" s="27" t="str">
        <x:v>Architecture mapped</x:v>
      </x:c>
      <x:c r="AB89" s="27" t="str">
        <x:v>Part of the canonical Y9 route. May pause or branch to a Reconnection lesson before returning.</x:v>
      </x:c>
    </x:row>
    <x:row r="90" ht="44" customHeight="1">
      <x:c r="A90" s="27" t="str">
        <x:v>NEO-MATH-Y9-087</x:v>
      </x:c>
      <x:c r="B90" s="27" t="n">
        <x:v>87</x:v>
      </x:c>
      <x:c r="C90" s="27" t="str">
        <x:v>NEO-MATH-Y9-06</x:v>
      </x:c>
      <x:c r="D90" s="27" t="n">
        <x:v>6</x:v>
      </x:c>
      <x:c r="E90" s="27" t="str">
        <x:v>Formulae and Rearranging: Changing the Subject</x:v>
      </x:c>
      <x:c r="F90" s="27" t="str">
        <x:v>Self-Regulated Mathematical Learning</x:v>
      </x:c>
      <x:c r="G90" s="27" t="n">
        <x:v>11</x:v>
      </x:c>
      <x:c r="H90" s="27" t="str">
        <x:v>Reconnection</x:v>
      </x:c>
      <x:c r="I90" s="27" t="str">
        <x:v>Reconnection: Estimate before calculate</x:v>
      </x:c>
      <x:c r="J90" s="27" t="str">
        <x:v>What answer size would make sense?</x:v>
      </x:c>
      <x:c r="K90" s="27" t="str">
        <x:v>use estimation to judge reasonableness</x:v>
      </x:c>
      <x:c r="L90" s="27" t="str">
        <x:v>use estimation to judge reasonableness</x:v>
      </x:c>
      <x:c r="M90" s="27" t="str">
        <x:v>Branch triggered when use estimation to judge reasonableness is not yet secure enough for the current unit.</x:v>
      </x:c>
      <x:c r="N90" s="27" t="str">
        <x:v>REC-SRL-03</x:v>
      </x:c>
      <x:c r="O90" s="27" t="str">
        <x:v>Connection</x:v>
      </x:c>
      <x:c r="P90" s="27" t="str">
        <x:v>Reflection, Rest</x:v>
      </x:c>
      <x:c r="Q90" s="27" t="str">
        <x:v>Estimate First Prompt</x:v>
      </x:c>
      <x:c r="R90" s="27" t="str">
        <x:v>Navigation Tool</x:v>
      </x:c>
      <x:c r="S90" s="27" t="str">
        <x:v>Blank</x:v>
      </x:c>
      <x:c r="T90" s="27" t="str">
        <x:v>Estimate before calculate targeted practice</x:v>
      </x:c>
      <x:c r="U90" s="27" t="str">
        <x:v>Short reconnection evidence: use estimation to judge reasonableness</x:v>
      </x:c>
      <x:c r="V90" s="27" t="str">
        <x:v>Learner can use estimation to judge reasonableness sufficiently to return to Formulae and Rearranging: Changing the Subject.</x:v>
      </x:c>
      <x:c r="W90" s="27" t="str">
        <x:v>Arrive 5 / Reconnect 20 / Test 10 / Return link 10</x:v>
      </x:c>
      <x:c r="X90" s="27" t="str">
        <x:v>NC KS3; 4MA1 2.3</x:v>
      </x:c>
      <x:c r="Y90" s="27" t="str">
        <x:v>Low-Moderate; targeted prerequisite repair</x:v>
      </x:c>
      <x:c r="Z90" s="27" t="str">
        <x:v>Live, Asynchronous, Independent</x:v>
      </x:c>
      <x:c r="AA90" s="27" t="str">
        <x:v>Architecture mapped</x:v>
      </x:c>
      <x:c r="AB90" s="27" t="str">
        <x:v>Not 'catch-up'. A targeted route from Flexible learning that reconnects the learner to NEO-MATH-Y9-06.</x:v>
      </x:c>
    </x:row>
    <x:row r="91" ht="44" customHeight="1">
      <x:c r="A91" s="27" t="str">
        <x:v>NEO-MATH-Y9-088</x:v>
      </x:c>
      <x:c r="B91" s="27" t="n">
        <x:v>88</x:v>
      </x:c>
      <x:c r="C91" s="27" t="str">
        <x:v>NEO-MATH-Y9-06</x:v>
      </x:c>
      <x:c r="D91" s="27" t="n">
        <x:v>6</x:v>
      </x:c>
      <x:c r="E91" s="27" t="str">
        <x:v>Formulae and Rearranging: Changing the Subject</x:v>
      </x:c>
      <x:c r="F91" s="27" t="str">
        <x:v>Structure &amp; Generalisation</x:v>
      </x:c>
      <x:c r="G91" s="27" t="n">
        <x:v>9</x:v>
      </x:c>
      <x:c r="H91" s="27" t="str">
        <x:v>Core</x:v>
      </x:c>
      <x:c r="I91" s="27" t="str">
        <x:v>Compare strategies: Make a chosen subject</x:v>
      </x:c>
      <x:c r="J91" s="27" t="str">
        <x:v>Which route through make a chosen subject is clearest or most efficient?</x:v>
      </x:c>
      <x:c r="K91" s="27" t="str">
        <x:v>make a chosen subject</x:v>
      </x:c>
      <x:c r="L91" s="27" t="str">
        <x:v>make a chosen subject</x:v>
      </x:c>
      <x:c r="M91" s="27" t="str">
        <x:v>use inverse operations</x:v>
      </x:c>
      <x:c r="N91" s="27" t="str"/>
      <x:c r="O91" s="27" t="str">
        <x:v>Connection</x:v>
      </x:c>
      <x:c r="P91" s="27" t="str">
        <x:v>Reflection, Rest</x:v>
      </x:c>
      <x:c r="Q91" s="27" t="str">
        <x:v>Formula Balance and Subject Switcher</x:v>
      </x:c>
      <x:c r="R91" s="27" t="str">
        <x:v>Structure Lab</x:v>
      </x:c>
      <x:c r="S91" s="27" t="str">
        <x:v>Blank</x:v>
      </x:c>
      <x:c r="T91" s="27" t="str">
        <x:v>Formulae and Rearranging: Changing the Subject – make a chosen subject</x:v>
      </x:c>
      <x:c r="U91" s="27" t="str">
        <x:v>Two-route comparison for make a chosen subject</x:v>
      </x:c>
      <x:c r="V91" s="27" t="str">
        <x:v>Learner can make a chosen subject and give a reason or check.</x:v>
      </x:c>
      <x:c r="W91" s="27" t="str">
        <x:v>Connect 5 / Explore 20 / Create or Apply 12 / Reflect 8</x:v>
      </x:c>
      <x:c r="X91" s="27" t="str">
        <x:v>NC KS3; 4MA1 2.3</x:v>
      </x:c>
      <x:c r="Y91" s="27" t="str">
        <x:v>Moderate</x:v>
      </x:c>
      <x:c r="Z91" s="27" t="str">
        <x:v>Live, Asynchronous, Independent</x:v>
      </x:c>
      <x:c r="AA91" s="27" t="str">
        <x:v>Architecture mapped</x:v>
      </x:c>
      <x:c r="AB91" s="27" t="str">
        <x:v>Part of the canonical Y9 route. May pause or branch to a Reconnection lesson before returning.</x:v>
      </x:c>
    </x:row>
    <x:row r="92" ht="44" customHeight="1">
      <x:c r="A92" s="27" t="str">
        <x:v>NEO-MATH-Y9-089</x:v>
      </x:c>
      <x:c r="B92" s="27" t="n">
        <x:v>89</x:v>
      </x:c>
      <x:c r="C92" s="27" t="str">
        <x:v>NEO-MATH-Y9-06</x:v>
      </x:c>
      <x:c r="D92" s="27" t="n">
        <x:v>6</x:v>
      </x:c>
      <x:c r="E92" s="27" t="str">
        <x:v>Formulae and Rearranging: Changing the Subject</x:v>
      </x:c>
      <x:c r="F92" s="27" t="str">
        <x:v>Structure &amp; Generalisation</x:v>
      </x:c>
      <x:c r="G92" s="27" t="n">
        <x:v>10</x:v>
      </x:c>
      <x:c r="H92" s="27" t="str">
        <x:v>Core</x:v>
      </x:c>
      <x:c r="I92" s="27" t="str">
        <x:v>Practice with choice: Form and verify formulae</x:v>
      </x:c>
      <x:c r="J92" s="27" t="str">
        <x:v>Can I use form and verify formulae without being told the method?</x:v>
      </x:c>
      <x:c r="K92" s="27" t="str">
        <x:v>form and verify formulae</x:v>
      </x:c>
      <x:c r="L92" s="27" t="str">
        <x:v>form and verify formulae</x:v>
      </x:c>
      <x:c r="M92" s="27" t="str">
        <x:v>make a chosen subject</x:v>
      </x:c>
      <x:c r="N92" s="27" t="str"/>
      <x:c r="O92" s="27" t="str">
        <x:v>Connection</x:v>
      </x:c>
      <x:c r="P92" s="27" t="str">
        <x:v>Reflection, Rest</x:v>
      </x:c>
      <x:c r="Q92" s="27" t="str">
        <x:v>Formula Balance and Subject Switcher</x:v>
      </x:c>
      <x:c r="R92" s="27" t="str">
        <x:v>Structure Lab</x:v>
      </x:c>
      <x:c r="S92" s="27" t="str">
        <x:v>Blank</x:v>
      </x:c>
      <x:c r="T92" s="27" t="str">
        <x:v>Formulae and Rearranging: Changing the Subject – form and verify formulae</x:v>
      </x:c>
      <x:c r="U92" s="27" t="str">
        <x:v>Practice Companion evidence for form and verify formulae</x:v>
      </x:c>
      <x:c r="V92" s="27" t="str">
        <x:v>Learner can form and verify formulae and give a reason or check.</x:v>
      </x:c>
      <x:c r="W92" s="27" t="str">
        <x:v>Reconnect 5 / Practice 25 / Check 10 / Reflect 5</x:v>
      </x:c>
      <x:c r="X92" s="27" t="str">
        <x:v>NC KS3; 4MA1 2.3</x:v>
      </x:c>
      <x:c r="Y92" s="27" t="str">
        <x:v>Moderate</x:v>
      </x:c>
      <x:c r="Z92" s="27" t="str">
        <x:v>Live, Asynchronous, Independent</x:v>
      </x:c>
      <x:c r="AA92" s="27" t="str">
        <x:v>Architecture mapped</x:v>
      </x:c>
      <x:c r="AB92" s="27" t="str">
        <x:v>Part of the canonical Y9 route. May pause or branch to a Reconnection lesson before returning.</x:v>
      </x:c>
    </x:row>
    <x:row r="93" ht="44" customHeight="1">
      <x:c r="A93" s="27" t="str">
        <x:v>NEO-MATH-Y9-090</x:v>
      </x:c>
      <x:c r="B93" s="27" t="n">
        <x:v>90</x:v>
      </x:c>
      <x:c r="C93" s="27" t="str">
        <x:v>NEO-MATH-Y9-06</x:v>
      </x:c>
      <x:c r="D93" s="27" t="n">
        <x:v>6</x:v>
      </x:c>
      <x:c r="E93" s="27" t="str">
        <x:v>Formulae and Rearranging: Changing the Subject</x:v>
      </x:c>
      <x:c r="F93" s="27" t="str">
        <x:v>Structure &amp; Generalisation</x:v>
      </x:c>
      <x:c r="G93" s="27" t="n">
        <x:v>11</x:v>
      </x:c>
      <x:c r="H93" s="27" t="str">
        <x:v>Core</x:v>
      </x:c>
      <x:c r="I93" s="27" t="str">
        <x:v>Mastery checkpoint: Substitute into formulae</x:v>
      </x:c>
      <x:c r="J93" s="27" t="str">
        <x:v>What can I now explain, apply and check about substitute into formulae?</x:v>
      </x:c>
      <x:c r="K93" s="27" t="str">
        <x:v>substitute into formulae</x:v>
      </x:c>
      <x:c r="L93" s="27" t="str">
        <x:v>substitute into formulae</x:v>
      </x:c>
      <x:c r="M93" s="27" t="str">
        <x:v>form and verify formulae</x:v>
      </x:c>
      <x:c r="N93" s="27" t="str"/>
      <x:c r="O93" s="27" t="str">
        <x:v>Connection</x:v>
      </x:c>
      <x:c r="P93" s="27" t="str">
        <x:v>Reflection, Rest</x:v>
      </x:c>
      <x:c r="Q93" s="27" t="str">
        <x:v>Formula Balance and Subject Switcher</x:v>
      </x:c>
      <x:c r="R93" s="27" t="str">
        <x:v>Structure Lab</x:v>
      </x:c>
      <x:c r="S93" s="27" t="str">
        <x:v>Blank</x:v>
      </x:c>
      <x:c r="T93" s="27" t="str">
        <x:v>Formulae and Rearranging: Changing the Subject – substitute into formulae</x:v>
      </x:c>
      <x:c r="U93" s="27" t="str">
        <x:v>Formula Model Card</x:v>
      </x:c>
      <x:c r="V93" s="27" t="str">
        <x:v>Learner can substitute into formulae and give a reason or check.</x:v>
      </x:c>
      <x:c r="W93" s="27" t="str">
        <x:v>Settle 5 / Choose evidence 25 / Mastery check 10 / Reflect 5</x:v>
      </x:c>
      <x:c r="X93" s="27" t="str">
        <x:v>NC KS3; 4MA1 2.3</x:v>
      </x:c>
      <x:c r="Y93" s="27" t="str">
        <x:v>Moderate</x:v>
      </x:c>
      <x:c r="Z93" s="27" t="str">
        <x:v>Live, Asynchronous, Independent</x:v>
      </x:c>
      <x:c r="AA93" s="27" t="str">
        <x:v>Architecture mapped</x:v>
      </x:c>
      <x:c r="AB93" s="27" t="str">
        <x:v>Part of the canonical Y9 route. May pause or branch to a Reconnection lesson before returning.</x:v>
      </x:c>
    </x:row>
    <x:row r="94" ht="44" customHeight="1">
      <x:c r="A94" s="27" t="str">
        <x:v>NEO-MATH-Y9-091</x:v>
      </x:c>
      <x:c r="B94" s="27" t="n">
        <x:v>91</x:v>
      </x:c>
      <x:c r="C94" s="27" t="str">
        <x:v>NEO-MATH-Y9-06</x:v>
      </x:c>
      <x:c r="D94" s="27" t="n">
        <x:v>6</x:v>
      </x:c>
      <x:c r="E94" s="27" t="str">
        <x:v>Formulae and Rearranging: Changing the Subject</x:v>
      </x:c>
      <x:c r="F94" s="27" t="str">
        <x:v>Structure &amp; Generalisation</x:v>
      </x:c>
      <x:c r="G94" s="27" t="n">
        <x:v>15</x:v>
      </x:c>
      <x:c r="H94" s="27" t="str">
        <x:v>Consolidation / Mastery</x:v>
      </x:c>
      <x:c r="I94" s="27" t="str">
        <x:v>Pause, connect and strengthen: Formulae and Rearranging: Changing the Subject</x:v>
      </x:c>
      <x:c r="J94" s="27" t="str">
        <x:v>Which connection in this unit is now stronger—and which one needs another route?</x:v>
      </x:c>
      <x:c r="K94" s="27" t="str">
        <x:v>review, connect and select evidence across the unit</x:v>
      </x:c>
      <x:c r="L94" s="27" t="str">
        <x:v>unit-level synthesis and self-regulated mathematical learning</x:v>
      </x:c>
      <x:c r="M94" s="27" t="str">
        <x:v>completion of selected core sessions or equivalent evidence</x:v>
      </x:c>
      <x:c r="N94" s="27" t="str">
        <x:v>learner-specific; choose from linked Reconnection Bank</x:v>
      </x:c>
      <x:c r="O94" s="27" t="str">
        <x:v>Reflection</x:v>
      </x:c>
      <x:c r="P94" s="27" t="str">
        <x:v>Rest, Connection</x:v>
      </x:c>
      <x:c r="Q94" s="27" t="str">
        <x:v>Mastery Pathway Review</x:v>
      </x:c>
      <x:c r="R94" s="27" t="str">
        <x:v>Navigation Tool</x:v>
      </x:c>
      <x:c r="S94" s="27" t="str">
        <x:v>Blank</x:v>
      </x:c>
      <x:c r="T94" s="27" t="str">
        <x:v>learner-selected questions from the unit</x:v>
      </x:c>
      <x:c r="U94" s="27" t="str">
        <x:v>Mastery reflection plus one selected piece of unit evidence</x:v>
      </x:c>
      <x:c r="V94" s="27" t="str">
        <x:v>Learner identifies current Emerging / Developing / Secure / Mastering evidence and a useful next step.</x:v>
      </x:c>
      <x:c r="W94" s="27" t="str">
        <x:v>Settle 5 / Review 10 / Strengthen 15 / Evidence 10 / Next step 5</x:v>
      </x:c>
      <x:c r="X94" s="27" t="str">
        <x:v>NC KS3; 4MA1 2.3</x:v>
      </x:c>
      <x:c r="Y94" s="27" t="str">
        <x:v>Low-Moderate; learner choice and reduced visual field</x:v>
      </x:c>
      <x:c r="Z94" s="27" t="str">
        <x:v>Live, Asynchronous, Independent</x:v>
      </x:c>
      <x:c r="AA94" s="27" t="str">
        <x:v>Architecture mapped</x:v>
      </x:c>
      <x:c r="AB94" s="27" t="str">
        <x:v>Designed breathing space. May become a return session after absence, a Practice Companion session, or a portfolio checkpoint.</x:v>
      </x:c>
    </x:row>
    <x:row r="95" ht="44" customHeight="1">
      <x:c r="A95" s="27" t="str">
        <x:v>NEO-MATH-Y9-092</x:v>
      </x:c>
      <x:c r="B95" s="27" t="n">
        <x:v>92</x:v>
      </x:c>
      <x:c r="C95" s="27" t="str">
        <x:v>NEO-MATH-Y9-07</x:v>
      </x:c>
      <x:c r="D95" s="27" t="n">
        <x:v>7</x:v>
      </x:c>
      <x:c r="E95" s="27" t="str">
        <x:v>Pythagoras and the Hidden Length</x:v>
      </x:c>
      <x:c r="F95" s="27" t="str">
        <x:v>Spatial Reasoning</x:v>
      </x:c>
      <x:c r="G95" s="27" t="n">
        <x:v>1</x:v>
      </x:c>
      <x:c r="H95" s="27" t="str">
        <x:v>Core</x:v>
      </x:c>
      <x:c r="I95" s="27" t="str">
        <x:v>Connect &amp; notice: Identify right triangles</x:v>
      </x:c>
      <x:c r="J95" s="27" t="str">
        <x:v>What do I already notice about identify right triangles?</x:v>
      </x:c>
      <x:c r="K95" s="27" t="str">
        <x:v>identify right triangles</x:v>
      </x:c>
      <x:c r="L95" s="27" t="str">
        <x:v>identify right triangles</x:v>
      </x:c>
      <x:c r="M95" s="27" t="str">
        <x:v>learner entry knowledge and representation confidence</x:v>
      </x:c>
      <x:c r="N95" s="27" t="str"/>
      <x:c r="O95" s="27" t="str">
        <x:v>Connection</x:v>
      </x:c>
      <x:c r="P95" s="27" t="str">
        <x:v>Reflection, Movement</x:v>
      </x:c>
      <x:c r="Q95" s="27" t="str">
        <x:v>Right-Triangle Length Explorer</x:v>
      </x:c>
      <x:c r="R95" s="27" t="str">
        <x:v>Geometry Studio</x:v>
      </x:c>
      <x:c r="S95" s="27" t="str">
        <x:v>Square grid</x:v>
      </x:c>
      <x:c r="T95" s="27" t="str">
        <x:v>Pythagoras and the Hidden Length – identify right triangles</x:v>
      </x:c>
      <x:c r="U95" s="27" t="str">
        <x:v>Scratchpad prediction or notice about identify right triangles</x:v>
      </x:c>
      <x:c r="V95" s="27" t="str">
        <x:v>Learner can identify right triangles and give a reason or check.</x:v>
      </x:c>
      <x:c r="W95" s="27" t="str">
        <x:v>Connect 8 / Explore 20 / Notice 10 / Reflect 7</x:v>
      </x:c>
      <x:c r="X95" s="27" t="str">
        <x:v>NC KS3/KS4 bridge; 4MA1 4.8</x:v>
      </x:c>
      <x:c r="Y95" s="27" t="str">
        <x:v>Moderate</x:v>
      </x:c>
      <x:c r="Z95" s="27" t="str">
        <x:v>Live, Asynchronous, Independent</x:v>
      </x:c>
      <x:c r="AA95" s="27" t="str">
        <x:v>Architecture mapped</x:v>
      </x:c>
      <x:c r="AB95" s="27" t="str">
        <x:v>Part of the canonical Y9 route. May pause or branch to a Reconnection lesson before returning.</x:v>
      </x:c>
    </x:row>
    <x:row r="96" ht="44" customHeight="1">
      <x:c r="A96" s="27" t="str">
        <x:v>NEO-MATH-Y9-093</x:v>
      </x:c>
      <x:c r="B96" s="27" t="n">
        <x:v>93</x:v>
      </x:c>
      <x:c r="C96" s="27" t="str">
        <x:v>NEO-MATH-Y9-07</x:v>
      </x:c>
      <x:c r="D96" s="27" t="n">
        <x:v>7</x:v>
      </x:c>
      <x:c r="E96" s="27" t="str">
        <x:v>Pythagoras and the Hidden Length</x:v>
      </x:c>
      <x:c r="F96" s="27" t="str">
        <x:v>Spatial Reasoning</x:v>
      </x:c>
      <x:c r="G96" s="27" t="n">
        <x:v>2</x:v>
      </x:c>
      <x:c r="H96" s="27" t="str">
        <x:v>Core</x:v>
      </x:c>
      <x:c r="I96" s="27" t="str">
        <x:v>Build the idea: Use Pythagoras</x:v>
      </x:c>
      <x:c r="J96" s="27" t="str">
        <x:v>What does use Pythagoras mean before I use a procedure?</x:v>
      </x:c>
      <x:c r="K96" s="27" t="str">
        <x:v>use Pythagoras</x:v>
      </x:c>
      <x:c r="L96" s="27" t="str">
        <x:v>use Pythagoras</x:v>
      </x:c>
      <x:c r="M96" s="27" t="str">
        <x:v>identify right triangles</x:v>
      </x:c>
      <x:c r="N96" s="27" t="str"/>
      <x:c r="O96" s="27" t="str">
        <x:v>Connection</x:v>
      </x:c>
      <x:c r="P96" s="27" t="str">
        <x:v>Reflection, Movement</x:v>
      </x:c>
      <x:c r="Q96" s="27" t="str">
        <x:v>Right-Triangle Length Explorer</x:v>
      </x:c>
      <x:c r="R96" s="27" t="str">
        <x:v>Geometry Studio</x:v>
      </x:c>
      <x:c r="S96" s="27" t="str">
        <x:v>Square grid</x:v>
      </x:c>
      <x:c r="T96" s="27" t="str">
        <x:v>Pythagoras and the Hidden Length – use Pythagoras</x:v>
      </x:c>
      <x:c r="U96" s="27" t="str">
        <x:v>Annotated representation of use Pythagoras</x:v>
      </x:c>
      <x:c r="V96" s="27" t="str">
        <x:v>Learner can use Pythagoras and give a reason or check.</x:v>
      </x:c>
      <x:c r="W96" s="27" t="str">
        <x:v>Connect 5 / Explore 20 / Create or Apply 12 / Reflect 8</x:v>
      </x:c>
      <x:c r="X96" s="27" t="str">
        <x:v>NC KS3/KS4 bridge; 4MA1 4.8</x:v>
      </x:c>
      <x:c r="Y96" s="27" t="str">
        <x:v>Moderate</x:v>
      </x:c>
      <x:c r="Z96" s="27" t="str">
        <x:v>Live, Asynchronous, Independent</x:v>
      </x:c>
      <x:c r="AA96" s="27" t="str">
        <x:v>Architecture mapped</x:v>
      </x:c>
      <x:c r="AB96" s="27" t="str">
        <x:v>Part of the canonical Y9 route. May pause or branch to a Reconnection lesson before returning.</x:v>
      </x:c>
    </x:row>
    <x:row r="97" ht="44" customHeight="1">
      <x:c r="A97" s="27" t="str">
        <x:v>NEO-MATH-Y9-094</x:v>
      </x:c>
      <x:c r="B97" s="27" t="n">
        <x:v>94</x:v>
      </x:c>
      <x:c r="C97" s="27" t="str">
        <x:v>NEO-MATH-Y9-07</x:v>
      </x:c>
      <x:c r="D97" s="27" t="n">
        <x:v>7</x:v>
      </x:c>
      <x:c r="E97" s="27" t="str">
        <x:v>Pythagoras and the Hidden Length</x:v>
      </x:c>
      <x:c r="F97" s="27" t="str">
        <x:v>Structure &amp; Generalisation</x:v>
      </x:c>
      <x:c r="G97" s="27" t="n">
        <x:v>3</x:v>
      </x:c>
      <x:c r="H97" s="27" t="str">
        <x:v>Reconnection</x:v>
      </x:c>
      <x:c r="I97" s="27" t="str">
        <x:v>Reconnection: Factors, multiples and primes</x:v>
      </x:c>
      <x:c r="J97" s="27" t="str">
        <x:v>How can number structure make a calculation easier?</x:v>
      </x:c>
      <x:c r="K97" s="27" t="str">
        <x:v>identify factors, multiples, primes, HCF and LCM</x:v>
      </x:c>
      <x:c r="L97" s="27" t="str">
        <x:v>identify factors, multiples, primes, HCF and LCM</x:v>
      </x:c>
      <x:c r="M97" s="27" t="str">
        <x:v>Branch triggered when identify factors, multiples, primes, HCF and LCM is not yet secure enough for the current unit.</x:v>
      </x:c>
      <x:c r="N97" s="27" t="str">
        <x:v>REC-NUM-04</x:v>
      </x:c>
      <x:c r="O97" s="27" t="str">
        <x:v>Connection</x:v>
      </x:c>
      <x:c r="P97" s="27" t="str">
        <x:v>Reflection, Rest</x:v>
      </x:c>
      <x:c r="Q97" s="27" t="str">
        <x:v>Factor Web</x:v>
      </x:c>
      <x:c r="R97" s="27" t="str">
        <x:v>Structure Lab</x:v>
      </x:c>
      <x:c r="S97" s="27" t="str">
        <x:v>Square grid</x:v>
      </x:c>
      <x:c r="T97" s="27" t="str">
        <x:v>Factors, multiples and primes targeted practice</x:v>
      </x:c>
      <x:c r="U97" s="27" t="str">
        <x:v>Short reconnection evidence: identify factors, multiples, primes, HCF and LCM</x:v>
      </x:c>
      <x:c r="V97" s="27" t="str">
        <x:v>Learner can identify factors, multiples, primes, HCF and LCM sufficiently to return to Pythagoras and the Hidden Length.</x:v>
      </x:c>
      <x:c r="W97" s="27" t="str">
        <x:v>Arrive 5 / Reconnect 20 / Test 10 / Return link 10</x:v>
      </x:c>
      <x:c r="X97" s="27" t="str">
        <x:v>NC KS3/KS4 bridge; 4MA1 4.8</x:v>
      </x:c>
      <x:c r="Y97" s="27" t="str">
        <x:v>Low-Moderate; targeted prerequisite repair</x:v>
      </x:c>
      <x:c r="Z97" s="27" t="str">
        <x:v>Live, Asynchronous, Independent</x:v>
      </x:c>
      <x:c r="AA97" s="27" t="str">
        <x:v>Architecture mapped</x:v>
      </x:c>
      <x:c r="AB97" s="27" t="str">
        <x:v>Not 'catch-up'. A targeted route from Year 7 learning that reconnects the learner to NEO-MATH-Y9-07.</x:v>
      </x:c>
    </x:row>
    <x:row r="98" ht="44" customHeight="1">
      <x:c r="A98" s="27" t="str">
        <x:v>NEO-MATH-Y9-095</x:v>
      </x:c>
      <x:c r="B98" s="27" t="n">
        <x:v>95</x:v>
      </x:c>
      <x:c r="C98" s="27" t="str">
        <x:v>NEO-MATH-Y9-07</x:v>
      </x:c>
      <x:c r="D98" s="27" t="n">
        <x:v>7</x:v>
      </x:c>
      <x:c r="E98" s="27" t="str">
        <x:v>Pythagoras and the Hidden Length</x:v>
      </x:c>
      <x:c r="F98" s="27" t="str">
        <x:v>Spatial Reasoning</x:v>
      </x:c>
      <x:c r="G98" s="27" t="n">
        <x:v>3</x:v>
      </x:c>
      <x:c r="H98" s="27" t="str">
        <x:v>Core</x:v>
      </x:c>
      <x:c r="I98" s="27" t="str">
        <x:v>Represent it: Choose the unknown side</x:v>
      </x:c>
      <x:c r="J98" s="27" t="str">
        <x:v>How can I show choose the unknown side in more than one way?</x:v>
      </x:c>
      <x:c r="K98" s="27" t="str">
        <x:v>choose the unknown side</x:v>
      </x:c>
      <x:c r="L98" s="27" t="str">
        <x:v>choose the unknown side</x:v>
      </x:c>
      <x:c r="M98" s="27" t="str">
        <x:v>use Pythagoras</x:v>
      </x:c>
      <x:c r="N98" s="27" t="str"/>
      <x:c r="O98" s="27" t="str">
        <x:v>Connection</x:v>
      </x:c>
      <x:c r="P98" s="27" t="str">
        <x:v>Reflection, Movement</x:v>
      </x:c>
      <x:c r="Q98" s="27" t="str">
        <x:v>Right-Triangle Length Explorer</x:v>
      </x:c>
      <x:c r="R98" s="27" t="str">
        <x:v>Geometry Studio</x:v>
      </x:c>
      <x:c r="S98" s="27" t="str">
        <x:v>Square grid</x:v>
      </x:c>
      <x:c r="T98" s="27" t="str">
        <x:v>Pythagoras and the Hidden Length – choose the unknown side</x:v>
      </x:c>
      <x:c r="U98" s="27" t="str">
        <x:v>Annotated representation of choose the unknown side</x:v>
      </x:c>
      <x:c r="V98" s="27" t="str">
        <x:v>Learner can choose the unknown side and give a reason or check.</x:v>
      </x:c>
      <x:c r="W98" s="27" t="str">
        <x:v>Connect 5 / Explore 20 / Create or Apply 12 / Reflect 8</x:v>
      </x:c>
      <x:c r="X98" s="27" t="str">
        <x:v>NC KS3/KS4 bridge; 4MA1 4.8</x:v>
      </x:c>
      <x:c r="Y98" s="27" t="str">
        <x:v>Moderate</x:v>
      </x:c>
      <x:c r="Z98" s="27" t="str">
        <x:v>Live, Asynchronous, Independent</x:v>
      </x:c>
      <x:c r="AA98" s="27" t="str">
        <x:v>Architecture mapped</x:v>
      </x:c>
      <x:c r="AB98" s="27" t="str">
        <x:v>Part of the canonical Y9 route. May pause or branch to a Reconnection lesson before returning.</x:v>
      </x:c>
    </x:row>
    <x:row r="99" ht="44" customHeight="1">
      <x:c r="A99" s="27" t="str">
        <x:v>NEO-MATH-Y9-096</x:v>
      </x:c>
      <x:c r="B99" s="27" t="n">
        <x:v>96</x:v>
      </x:c>
      <x:c r="C99" s="27" t="str">
        <x:v>NEO-MATH-Y9-07</x:v>
      </x:c>
      <x:c r="D99" s="27" t="n">
        <x:v>7</x:v>
      </x:c>
      <x:c r="E99" s="27" t="str">
        <x:v>Pythagoras and the Hidden Length</x:v>
      </x:c>
      <x:c r="F99" s="27" t="str">
        <x:v>Spatial Reasoning</x:v>
      </x:c>
      <x:c r="G99" s="27" t="n">
        <x:v>4</x:v>
      </x:c>
      <x:c r="H99" s="27" t="str">
        <x:v>Core</x:v>
      </x:c>
      <x:c r="I99" s="27" t="str">
        <x:v>Try one change: Solve contextual problems</x:v>
      </x:c>
      <x:c r="J99" s="27" t="str">
        <x:v>What changes when I adjust one part of solve contextual problems?</x:v>
      </x:c>
      <x:c r="K99" s="27" t="str">
        <x:v>solve contextual problems</x:v>
      </x:c>
      <x:c r="L99" s="27" t="str">
        <x:v>solve contextual problems</x:v>
      </x:c>
      <x:c r="M99" s="27" t="str">
        <x:v>choose the unknown side</x:v>
      </x:c>
      <x:c r="N99" s="27" t="str"/>
      <x:c r="O99" s="27" t="str">
        <x:v>Connection</x:v>
      </x:c>
      <x:c r="P99" s="27" t="str">
        <x:v>Reflection, Movement</x:v>
      </x:c>
      <x:c r="Q99" s="27" t="str">
        <x:v>Right-Triangle Length Explorer</x:v>
      </x:c>
      <x:c r="R99" s="27" t="str">
        <x:v>Geometry Studio</x:v>
      </x:c>
      <x:c r="S99" s="27" t="str">
        <x:v>Square grid</x:v>
      </x:c>
      <x:c r="T99" s="27" t="str">
        <x:v>Pythagoras and the Hidden Length – solve contextual problems</x:v>
      </x:c>
      <x:c r="U99" s="27" t="str">
        <x:v>Annotated representation of solve contextual problems</x:v>
      </x:c>
      <x:c r="V99" s="27" t="str">
        <x:v>Learner can solve contextual problems and give a reason or check.</x:v>
      </x:c>
      <x:c r="W99" s="27" t="str">
        <x:v>Connect 5 / Explore 20 / Create or Apply 12 / Reflect 8</x:v>
      </x:c>
      <x:c r="X99" s="27" t="str">
        <x:v>NC KS3/KS4 bridge; 4MA1 4.8</x:v>
      </x:c>
      <x:c r="Y99" s="27" t="str">
        <x:v>Moderate</x:v>
      </x:c>
      <x:c r="Z99" s="27" t="str">
        <x:v>Live, Asynchronous, Independent</x:v>
      </x:c>
      <x:c r="AA99" s="27" t="str">
        <x:v>Architecture mapped</x:v>
      </x:c>
      <x:c r="AB99" s="27" t="str">
        <x:v>Part of the canonical Y9 route. May pause or branch to a Reconnection lesson before returning.</x:v>
      </x:c>
    </x:row>
    <x:row r="100" ht="44" customHeight="1">
      <x:c r="A100" s="27" t="str">
        <x:v>NEO-MATH-Y9-097</x:v>
      </x:c>
      <x:c r="B100" s="27" t="n">
        <x:v>97</x:v>
      </x:c>
      <x:c r="C100" s="27" t="str">
        <x:v>NEO-MATH-Y9-07</x:v>
      </x:c>
      <x:c r="D100" s="27" t="n">
        <x:v>7</x:v>
      </x:c>
      <x:c r="E100" s="27" t="str">
        <x:v>Pythagoras and the Hidden Length</x:v>
      </x:c>
      <x:c r="F100" s="27" t="str">
        <x:v>Spatial Reasoning</x:v>
      </x:c>
      <x:c r="G100" s="27" t="n">
        <x:v>5</x:v>
      </x:c>
      <x:c r="H100" s="27" t="str">
        <x:v>Core</x:v>
      </x:c>
      <x:c r="I100" s="27" t="str">
        <x:v>Connect ideas: Check reasonableness and begin 3D links</x:v>
      </x:c>
      <x:c r="J100" s="27" t="str">
        <x:v>How does check reasonableness and begin 3D links connect to the earlier relationship?</x:v>
      </x:c>
      <x:c r="K100" s="27" t="str">
        <x:v>check reasonableness and begin 3D links</x:v>
      </x:c>
      <x:c r="L100" s="27" t="str">
        <x:v>check reasonableness and begin 3D links</x:v>
      </x:c>
      <x:c r="M100" s="27" t="str">
        <x:v>solve contextual problems</x:v>
      </x:c>
      <x:c r="N100" s="27" t="str"/>
      <x:c r="O100" s="27" t="str">
        <x:v>Connection</x:v>
      </x:c>
      <x:c r="P100" s="27" t="str">
        <x:v>Reflection, Movement</x:v>
      </x:c>
      <x:c r="Q100" s="27" t="str">
        <x:v>Right-Triangle Length Explorer</x:v>
      </x:c>
      <x:c r="R100" s="27" t="str">
        <x:v>Geometry Studio</x:v>
      </x:c>
      <x:c r="S100" s="27" t="str">
        <x:v>Square grid</x:v>
      </x:c>
      <x:c r="T100" s="27" t="str">
        <x:v>Pythagoras and the Hidden Length – check reasonableness and begin 3D links</x:v>
      </x:c>
      <x:c r="U100" s="27" t="str">
        <x:v>Annotated representation of check reasonableness and begin 3D links</x:v>
      </x:c>
      <x:c r="V100" s="27" t="str">
        <x:v>Learner can check reasonableness and begin 3D links and give a reason or check.</x:v>
      </x:c>
      <x:c r="W100" s="27" t="str">
        <x:v>Connect 8 / Explore 20 / Notice 10 / Reflect 7</x:v>
      </x:c>
      <x:c r="X100" s="27" t="str">
        <x:v>NC KS3/KS4 bridge; 4MA1 4.8</x:v>
      </x:c>
      <x:c r="Y100" s="27" t="str">
        <x:v>Moderate</x:v>
      </x:c>
      <x:c r="Z100" s="27" t="str">
        <x:v>Live, Asynchronous, Independent</x:v>
      </x:c>
      <x:c r="AA100" s="27" t="str">
        <x:v>Architecture mapped</x:v>
      </x:c>
      <x:c r="AB100" s="27" t="str">
        <x:v>Part of the canonical Y9 route. May pause or branch to a Reconnection lesson before returning.</x:v>
      </x:c>
    </x:row>
    <x:row r="101" ht="44" customHeight="1">
      <x:c r="A101" s="27" t="str">
        <x:v>NEO-MATH-Y9-098</x:v>
      </x:c>
      <x:c r="B101" s="27" t="n">
        <x:v>98</x:v>
      </x:c>
      <x:c r="C101" s="27" t="str">
        <x:v>NEO-MATH-Y9-07</x:v>
      </x:c>
      <x:c r="D101" s="27" t="n">
        <x:v>7</x:v>
      </x:c>
      <x:c r="E101" s="27" t="str">
        <x:v>Pythagoras and the Hidden Length</x:v>
      </x:c>
      <x:c r="F101" s="27" t="str">
        <x:v>Spatial Reasoning</x:v>
      </x:c>
      <x:c r="G101" s="27" t="n">
        <x:v>7</x:v>
      </x:c>
      <x:c r="H101" s="27" t="str">
        <x:v>Reconnection</x:v>
      </x:c>
      <x:c r="I101" s="27" t="str">
        <x:v>Reconnection: Angle facts</x:v>
      </x:c>
      <x:c r="J101" s="27" t="str">
        <x:v>Which angle facts can unlock the diagram?</x:v>
      </x:c>
      <x:c r="K101" s="27" t="str">
        <x:v>use angle facts around points, lines and triangles</x:v>
      </x:c>
      <x:c r="L101" s="27" t="str">
        <x:v>use angle facts around points, lines and triangles</x:v>
      </x:c>
      <x:c r="M101" s="27" t="str">
        <x:v>Branch triggered when use angle facts around points, lines and triangles is not yet secure enough for the current unit.</x:v>
      </x:c>
      <x:c r="N101" s="27" t="str">
        <x:v>REC-GEO-01</x:v>
      </x:c>
      <x:c r="O101" s="27" t="str">
        <x:v>Connection</x:v>
      </x:c>
      <x:c r="P101" s="27" t="str">
        <x:v>Reflection, Rest</x:v>
      </x:c>
      <x:c r="Q101" s="27" t="str">
        <x:v>Angle Constraint Explorer</x:v>
      </x:c>
      <x:c r="R101" s="27" t="str">
        <x:v>Geometry Studio</x:v>
      </x:c>
      <x:c r="S101" s="27" t="str">
        <x:v>Square grid</x:v>
      </x:c>
      <x:c r="T101" s="27" t="str">
        <x:v>Angle facts targeted practice</x:v>
      </x:c>
      <x:c r="U101" s="27" t="str">
        <x:v>Short reconnection evidence: use angle facts around points, lines and triangles</x:v>
      </x:c>
      <x:c r="V101" s="27" t="str">
        <x:v>Learner can use angle facts around points, lines and triangles sufficiently to return to Pythagoras and the Hidden Length.</x:v>
      </x:c>
      <x:c r="W101" s="27" t="str">
        <x:v>Arrive 5 / Reconnect 20 / Test 10 / Return link 10</x:v>
      </x:c>
      <x:c r="X101" s="27" t="str">
        <x:v>NC KS3/KS4 bridge; 4MA1 4.8</x:v>
      </x:c>
      <x:c r="Y101" s="27" t="str">
        <x:v>Low-Moderate; targeted prerequisite repair</x:v>
      </x:c>
      <x:c r="Z101" s="27" t="str">
        <x:v>Live, Asynchronous, Independent</x:v>
      </x:c>
      <x:c r="AA101" s="27" t="str">
        <x:v>Architecture mapped</x:v>
      </x:c>
      <x:c r="AB101" s="27" t="str">
        <x:v>Not 'catch-up'. A targeted route from Year 7 learning that reconnects the learner to NEO-MATH-Y9-07.</x:v>
      </x:c>
    </x:row>
    <x:row r="102" ht="44" customHeight="1">
      <x:c r="A102" s="27" t="str">
        <x:v>NEO-MATH-Y9-099</x:v>
      </x:c>
      <x:c r="B102" s="27" t="n">
        <x:v>99</x:v>
      </x:c>
      <x:c r="C102" s="27" t="str">
        <x:v>NEO-MATH-Y9-07</x:v>
      </x:c>
      <x:c r="D102" s="27" t="n">
        <x:v>7</x:v>
      </x:c>
      <x:c r="E102" s="27" t="str">
        <x:v>Pythagoras and the Hidden Length</x:v>
      </x:c>
      <x:c r="F102" s="27" t="str">
        <x:v>Spatial Reasoning</x:v>
      </x:c>
      <x:c r="G102" s="27" t="n">
        <x:v>6</x:v>
      </x:c>
      <x:c r="H102" s="27" t="str">
        <x:v>Core</x:v>
      </x:c>
      <x:c r="I102" s="27" t="str">
        <x:v>Repair a misconception: Identify right triangles</x:v>
      </x:c>
      <x:c r="J102" s="27" t="str">
        <x:v>What tempting mistake can identify right triangles create?</x:v>
      </x:c>
      <x:c r="K102" s="27" t="str">
        <x:v>identify right triangles</x:v>
      </x:c>
      <x:c r="L102" s="27" t="str">
        <x:v>identify right triangles</x:v>
      </x:c>
      <x:c r="M102" s="27" t="str">
        <x:v>check reasonableness and begin 3D links</x:v>
      </x:c>
      <x:c r="N102" s="27" t="str"/>
      <x:c r="O102" s="27" t="str">
        <x:v>Connection</x:v>
      </x:c>
      <x:c r="P102" s="27" t="str">
        <x:v>Reflection, Movement</x:v>
      </x:c>
      <x:c r="Q102" s="27" t="str">
        <x:v>Right-Triangle Length Explorer</x:v>
      </x:c>
      <x:c r="R102" s="27" t="str">
        <x:v>Geometry Studio</x:v>
      </x:c>
      <x:c r="S102" s="27" t="str">
        <x:v>Square grid</x:v>
      </x:c>
      <x:c r="T102" s="27" t="str">
        <x:v>Pythagoras and the Hidden Length – identify right triangles</x:v>
      </x:c>
      <x:c r="U102" s="27" t="str">
        <x:v>Corrected misconception note: identify right triangles</x:v>
      </x:c>
      <x:c r="V102" s="27" t="str">
        <x:v>Learner can identify right triangles and give a reason or check.</x:v>
      </x:c>
      <x:c r="W102" s="27" t="str">
        <x:v>Connect 5 / Explore 20 / Create or Apply 12 / Reflect 8</x:v>
      </x:c>
      <x:c r="X102" s="27" t="str">
        <x:v>NC KS3/KS4 bridge; 4MA1 4.8</x:v>
      </x:c>
      <x:c r="Y102" s="27" t="str">
        <x:v>Moderate</x:v>
      </x:c>
      <x:c r="Z102" s="27" t="str">
        <x:v>Live, Asynchronous, Independent</x:v>
      </x:c>
      <x:c r="AA102" s="27" t="str">
        <x:v>Architecture mapped</x:v>
      </x:c>
      <x:c r="AB102" s="27" t="str">
        <x:v>Part of the canonical Y9 route. May pause or branch to a Reconnection lesson before returning.</x:v>
      </x:c>
    </x:row>
    <x:row r="103" ht="44" customHeight="1">
      <x:c r="A103" s="27" t="str">
        <x:v>NEO-MATH-Y9-100</x:v>
      </x:c>
      <x:c r="B103" s="27" t="n">
        <x:v>100</x:v>
      </x:c>
      <x:c r="C103" s="27" t="str">
        <x:v>NEO-MATH-Y9-07</x:v>
      </x:c>
      <x:c r="D103" s="27" t="n">
        <x:v>7</x:v>
      </x:c>
      <x:c r="E103" s="27" t="str">
        <x:v>Pythagoras and the Hidden Length</x:v>
      </x:c>
      <x:c r="F103" s="27" t="str">
        <x:v>Spatial Reasoning</x:v>
      </x:c>
      <x:c r="G103" s="27" t="n">
        <x:v>7</x:v>
      </x:c>
      <x:c r="H103" s="27" t="str">
        <x:v>Core</x:v>
      </x:c>
      <x:c r="I103" s="27" t="str">
        <x:v>Apply in context: Use Pythagoras</x:v>
      </x:c>
      <x:c r="J103" s="27" t="str">
        <x:v>Where might use Pythagoras help with a real decision?</x:v>
      </x:c>
      <x:c r="K103" s="27" t="str">
        <x:v>use Pythagoras</x:v>
      </x:c>
      <x:c r="L103" s="27" t="str">
        <x:v>use Pythagoras</x:v>
      </x:c>
      <x:c r="M103" s="27" t="str">
        <x:v>identify right triangles</x:v>
      </x:c>
      <x:c r="N103" s="27" t="str"/>
      <x:c r="O103" s="27" t="str">
        <x:v>Connection</x:v>
      </x:c>
      <x:c r="P103" s="27" t="str">
        <x:v>Reflection, Movement</x:v>
      </x:c>
      <x:c r="Q103" s="27" t="str">
        <x:v>Right-Triangle Length Explorer</x:v>
      </x:c>
      <x:c r="R103" s="27" t="str">
        <x:v>Geometry Studio</x:v>
      </x:c>
      <x:c r="S103" s="27" t="str">
        <x:v>Square grid</x:v>
      </x:c>
      <x:c r="T103" s="27" t="str">
        <x:v>Pythagoras and the Hidden Length – use Pythagoras</x:v>
      </x:c>
      <x:c r="U103" s="27" t="str">
        <x:v>Short contextual application of use Pythagoras</x:v>
      </x:c>
      <x:c r="V103" s="27" t="str">
        <x:v>Learner can use Pythagoras and give a reason or check.</x:v>
      </x:c>
      <x:c r="W103" s="27" t="str">
        <x:v>Connect 5 / Explore 20 / Create or Apply 12 / Reflect 8</x:v>
      </x:c>
      <x:c r="X103" s="27" t="str">
        <x:v>NC KS3/KS4 bridge; 4MA1 4.8</x:v>
      </x:c>
      <x:c r="Y103" s="27" t="str">
        <x:v>Moderate</x:v>
      </x:c>
      <x:c r="Z103" s="27" t="str">
        <x:v>Live, Asynchronous, Independent</x:v>
      </x:c>
      <x:c r="AA103" s="27" t="str">
        <x:v>Architecture mapped</x:v>
      </x:c>
      <x:c r="AB103" s="27" t="str">
        <x:v>Part of the canonical Y9 route. May pause or branch to a Reconnection lesson before returning.</x:v>
      </x:c>
    </x:row>
    <x:row r="104" ht="44" customHeight="1">
      <x:c r="A104" s="27" t="str">
        <x:v>NEO-MATH-Y9-101</x:v>
      </x:c>
      <x:c r="B104" s="27" t="n">
        <x:v>101</x:v>
      </x:c>
      <x:c r="C104" s="27" t="str">
        <x:v>NEO-MATH-Y9-07</x:v>
      </x:c>
      <x:c r="D104" s="27" t="n">
        <x:v>7</x:v>
      </x:c>
      <x:c r="E104" s="27" t="str">
        <x:v>Pythagoras and the Hidden Length</x:v>
      </x:c>
      <x:c r="F104" s="27" t="str">
        <x:v>Spatial Reasoning</x:v>
      </x:c>
      <x:c r="G104" s="27" t="n">
        <x:v>8</x:v>
      </x:c>
      <x:c r="H104" s="27" t="str">
        <x:v>Core</x:v>
      </x:c>
      <x:c r="I104" s="27" t="str">
        <x:v>Model and test: Choose the unknown side</x:v>
      </x:c>
      <x:c r="J104" s="27" t="str">
        <x:v>Can I build a model using choose the unknown side and test it?</x:v>
      </x:c>
      <x:c r="K104" s="27" t="str">
        <x:v>choose the unknown side</x:v>
      </x:c>
      <x:c r="L104" s="27" t="str">
        <x:v>choose the unknown side</x:v>
      </x:c>
      <x:c r="M104" s="27" t="str">
        <x:v>use Pythagoras</x:v>
      </x:c>
      <x:c r="N104" s="27" t="str"/>
      <x:c r="O104" s="27" t="str">
        <x:v>Connection</x:v>
      </x:c>
      <x:c r="P104" s="27" t="str">
        <x:v>Reflection, Movement</x:v>
      </x:c>
      <x:c r="Q104" s="27" t="str">
        <x:v>Right-Triangle Length Explorer</x:v>
      </x:c>
      <x:c r="R104" s="27" t="str">
        <x:v>Geometry Studio</x:v>
      </x:c>
      <x:c r="S104" s="27" t="str">
        <x:v>Square grid</x:v>
      </x:c>
      <x:c r="T104" s="27" t="str">
        <x:v>Pythagoras and the Hidden Length – choose the unknown side</x:v>
      </x:c>
      <x:c r="U104" s="27" t="str">
        <x:v>Tested model using choose the unknown side</x:v>
      </x:c>
      <x:c r="V104" s="27" t="str">
        <x:v>Learner can choose the unknown side and give a reason or check.</x:v>
      </x:c>
      <x:c r="W104" s="27" t="str">
        <x:v>Connect 5 / Explore 20 / Create or Apply 12 / Reflect 8</x:v>
      </x:c>
      <x:c r="X104" s="27" t="str">
        <x:v>NC KS3/KS4 bridge; 4MA1 4.8</x:v>
      </x:c>
      <x:c r="Y104" s="27" t="str">
        <x:v>Moderate</x:v>
      </x:c>
      <x:c r="Z104" s="27" t="str">
        <x:v>Live, Asynchronous, Independent</x:v>
      </x:c>
      <x:c r="AA104" s="27" t="str">
        <x:v>Architecture mapped</x:v>
      </x:c>
      <x:c r="AB104" s="27" t="str">
        <x:v>Part of the canonical Y9 route. May pause or branch to a Reconnection lesson before returning.</x:v>
      </x:c>
    </x:row>
    <x:row r="105" ht="44" customHeight="1">
      <x:c r="A105" s="27" t="str">
        <x:v>NEO-MATH-Y9-102</x:v>
      </x:c>
      <x:c r="B105" s="27" t="n">
        <x:v>102</x:v>
      </x:c>
      <x:c r="C105" s="27" t="str">
        <x:v>NEO-MATH-Y9-07</x:v>
      </x:c>
      <x:c r="D105" s="27" t="n">
        <x:v>7</x:v>
      </x:c>
      <x:c r="E105" s="27" t="str">
        <x:v>Pythagoras and the Hidden Length</x:v>
      </x:c>
      <x:c r="F105" s="27" t="str">
        <x:v>Spatial Reasoning</x:v>
      </x:c>
      <x:c r="G105" s="27" t="n">
        <x:v>9</x:v>
      </x:c>
      <x:c r="H105" s="27" t="str">
        <x:v>Core</x:v>
      </x:c>
      <x:c r="I105" s="27" t="str">
        <x:v>Compare strategies: Solve contextual problems</x:v>
      </x:c>
      <x:c r="J105" s="27" t="str">
        <x:v>Which route through solve contextual problems is clearest or most efficient?</x:v>
      </x:c>
      <x:c r="K105" s="27" t="str">
        <x:v>solve contextual problems</x:v>
      </x:c>
      <x:c r="L105" s="27" t="str">
        <x:v>solve contextual problems</x:v>
      </x:c>
      <x:c r="M105" s="27" t="str">
        <x:v>choose the unknown side</x:v>
      </x:c>
      <x:c r="N105" s="27" t="str"/>
      <x:c r="O105" s="27" t="str">
        <x:v>Connection</x:v>
      </x:c>
      <x:c r="P105" s="27" t="str">
        <x:v>Reflection, Movement</x:v>
      </x:c>
      <x:c r="Q105" s="27" t="str">
        <x:v>Right-Triangle Length Explorer</x:v>
      </x:c>
      <x:c r="R105" s="27" t="str">
        <x:v>Geometry Studio</x:v>
      </x:c>
      <x:c r="S105" s="27" t="str">
        <x:v>Square grid</x:v>
      </x:c>
      <x:c r="T105" s="27" t="str">
        <x:v>Pythagoras and the Hidden Length – solve contextual problems</x:v>
      </x:c>
      <x:c r="U105" s="27" t="str">
        <x:v>Two-route comparison for solve contextual problems</x:v>
      </x:c>
      <x:c r="V105" s="27" t="str">
        <x:v>Learner can solve contextual problems and give a reason or check.</x:v>
      </x:c>
      <x:c r="W105" s="27" t="str">
        <x:v>Connect 5 / Explore 20 / Create or Apply 12 / Reflect 8</x:v>
      </x:c>
      <x:c r="X105" s="27" t="str">
        <x:v>NC KS3/KS4 bridge; 4MA1 4.8</x:v>
      </x:c>
      <x:c r="Y105" s="27" t="str">
        <x:v>Moderate</x:v>
      </x:c>
      <x:c r="Z105" s="27" t="str">
        <x:v>Live, Asynchronous, Independent</x:v>
      </x:c>
      <x:c r="AA105" s="27" t="str">
        <x:v>Architecture mapped</x:v>
      </x:c>
      <x:c r="AB105" s="27" t="str">
        <x:v>Part of the canonical Y9 route. May pause or branch to a Reconnection lesson before returning.</x:v>
      </x:c>
    </x:row>
    <x:row r="106" ht="44" customHeight="1">
      <x:c r="A106" s="27" t="str">
        <x:v>NEO-MATH-Y9-103</x:v>
      </x:c>
      <x:c r="B106" s="27" t="n">
        <x:v>103</x:v>
      </x:c>
      <x:c r="C106" s="27" t="str">
        <x:v>NEO-MATH-Y9-07</x:v>
      </x:c>
      <x:c r="D106" s="27" t="n">
        <x:v>7</x:v>
      </x:c>
      <x:c r="E106" s="27" t="str">
        <x:v>Pythagoras and the Hidden Length</x:v>
      </x:c>
      <x:c r="F106" s="27" t="str">
        <x:v>Spatial Reasoning</x:v>
      </x:c>
      <x:c r="G106" s="27" t="n">
        <x:v>10</x:v>
      </x:c>
      <x:c r="H106" s="27" t="str">
        <x:v>Core</x:v>
      </x:c>
      <x:c r="I106" s="27" t="str">
        <x:v>Practice with choice: Check reasonableness and begin 3D links</x:v>
      </x:c>
      <x:c r="J106" s="27" t="str">
        <x:v>Can I use check reasonableness and begin 3D links without being told the method?</x:v>
      </x:c>
      <x:c r="K106" s="27" t="str">
        <x:v>check reasonableness and begin 3D links</x:v>
      </x:c>
      <x:c r="L106" s="27" t="str">
        <x:v>check reasonableness and begin 3D links</x:v>
      </x:c>
      <x:c r="M106" s="27" t="str">
        <x:v>solve contextual problems</x:v>
      </x:c>
      <x:c r="N106" s="27" t="str"/>
      <x:c r="O106" s="27" t="str">
        <x:v>Connection</x:v>
      </x:c>
      <x:c r="P106" s="27" t="str">
        <x:v>Reflection, Movement</x:v>
      </x:c>
      <x:c r="Q106" s="27" t="str">
        <x:v>Right-Triangle Length Explorer</x:v>
      </x:c>
      <x:c r="R106" s="27" t="str">
        <x:v>Geometry Studio</x:v>
      </x:c>
      <x:c r="S106" s="27" t="str">
        <x:v>Square grid</x:v>
      </x:c>
      <x:c r="T106" s="27" t="str">
        <x:v>Pythagoras and the Hidden Length – check reasonableness and begin 3D links</x:v>
      </x:c>
      <x:c r="U106" s="27" t="str">
        <x:v>Practice Companion evidence for check reasonableness and begin 3D links</x:v>
      </x:c>
      <x:c r="V106" s="27" t="str">
        <x:v>Learner can check reasonableness and begin 3D links and give a reason or check.</x:v>
      </x:c>
      <x:c r="W106" s="27" t="str">
        <x:v>Reconnect 5 / Practice 25 / Check 10 / Reflect 5</x:v>
      </x:c>
      <x:c r="X106" s="27" t="str">
        <x:v>NC KS3/KS4 bridge; 4MA1 4.8</x:v>
      </x:c>
      <x:c r="Y106" s="27" t="str">
        <x:v>Moderate</x:v>
      </x:c>
      <x:c r="Z106" s="27" t="str">
        <x:v>Live, Asynchronous, Independent</x:v>
      </x:c>
      <x:c r="AA106" s="27" t="str">
        <x:v>Architecture mapped</x:v>
      </x:c>
      <x:c r="AB106" s="27" t="str">
        <x:v>Part of the canonical Y9 route. May pause or branch to a Reconnection lesson before returning.</x:v>
      </x:c>
    </x:row>
    <x:row r="107" ht="44" customHeight="1">
      <x:c r="A107" s="27" t="str">
        <x:v>NEO-MATH-Y9-104</x:v>
      </x:c>
      <x:c r="B107" s="27" t="n">
        <x:v>104</x:v>
      </x:c>
      <x:c r="C107" s="27" t="str">
        <x:v>NEO-MATH-Y9-07</x:v>
      </x:c>
      <x:c r="D107" s="27" t="n">
        <x:v>7</x:v>
      </x:c>
      <x:c r="E107" s="27" t="str">
        <x:v>Pythagoras and the Hidden Length</x:v>
      </x:c>
      <x:c r="F107" s="27" t="str">
        <x:v>Spatial Reasoning</x:v>
      </x:c>
      <x:c r="G107" s="27" t="n">
        <x:v>11</x:v>
      </x:c>
      <x:c r="H107" s="27" t="str">
        <x:v>Core</x:v>
      </x:c>
      <x:c r="I107" s="27" t="str">
        <x:v>Mastery checkpoint: Identify right triangles</x:v>
      </x:c>
      <x:c r="J107" s="27" t="str">
        <x:v>What can I now explain, apply and check about identify right triangles?</x:v>
      </x:c>
      <x:c r="K107" s="27" t="str">
        <x:v>identify right triangles</x:v>
      </x:c>
      <x:c r="L107" s="27" t="str">
        <x:v>identify right triangles</x:v>
      </x:c>
      <x:c r="M107" s="27" t="str">
        <x:v>check reasonableness and begin 3D links</x:v>
      </x:c>
      <x:c r="N107" s="27" t="str"/>
      <x:c r="O107" s="27" t="str">
        <x:v>Connection</x:v>
      </x:c>
      <x:c r="P107" s="27" t="str">
        <x:v>Reflection, Movement</x:v>
      </x:c>
      <x:c r="Q107" s="27" t="str">
        <x:v>Right-Triangle Length Explorer</x:v>
      </x:c>
      <x:c r="R107" s="27" t="str">
        <x:v>Geometry Studio</x:v>
      </x:c>
      <x:c r="S107" s="27" t="str">
        <x:v>Square grid</x:v>
      </x:c>
      <x:c r="T107" s="27" t="str">
        <x:v>Pythagoras and the Hidden Length – identify right triangles</x:v>
      </x:c>
      <x:c r="U107" s="27" t="str">
        <x:v>Indirect Measurement Investigation</x:v>
      </x:c>
      <x:c r="V107" s="27" t="str">
        <x:v>Learner can identify right triangles and give a reason or check.</x:v>
      </x:c>
      <x:c r="W107" s="27" t="str">
        <x:v>Settle 5 / Choose evidence 25 / Mastery check 10 / Reflect 5</x:v>
      </x:c>
      <x:c r="X107" s="27" t="str">
        <x:v>NC KS3/KS4 bridge; 4MA1 4.8</x:v>
      </x:c>
      <x:c r="Y107" s="27" t="str">
        <x:v>Moderate</x:v>
      </x:c>
      <x:c r="Z107" s="27" t="str">
        <x:v>Live, Asynchronous, Independent</x:v>
      </x:c>
      <x:c r="AA107" s="27" t="str">
        <x:v>Architecture mapped</x:v>
      </x:c>
      <x:c r="AB107" s="27" t="str">
        <x:v>Part of the canonical Y9 route. May pause or branch to a Reconnection lesson before returning.</x:v>
      </x:c>
    </x:row>
    <x:row r="108" ht="44" customHeight="1">
      <x:c r="A108" s="27" t="str">
        <x:v>NEO-MATH-Y9-105</x:v>
      </x:c>
      <x:c r="B108" s="27" t="n">
        <x:v>105</x:v>
      </x:c>
      <x:c r="C108" s="27" t="str">
        <x:v>NEO-MATH-Y9-07</x:v>
      </x:c>
      <x:c r="D108" s="27" t="n">
        <x:v>7</x:v>
      </x:c>
      <x:c r="E108" s="27" t="str">
        <x:v>Pythagoras and the Hidden Length</x:v>
      </x:c>
      <x:c r="F108" s="27" t="str">
        <x:v>Spatial Reasoning</x:v>
      </x:c>
      <x:c r="G108" s="27" t="n">
        <x:v>14</x:v>
      </x:c>
      <x:c r="H108" s="27" t="str">
        <x:v>Consolidation / Mastery</x:v>
      </x:c>
      <x:c r="I108" s="27" t="str">
        <x:v>Pause, connect and strengthen: Pythagoras and the Hidden Length</x:v>
      </x:c>
      <x:c r="J108" s="27" t="str">
        <x:v>Which connection in this unit is now stronger—and which one needs another route?</x:v>
      </x:c>
      <x:c r="K108" s="27" t="str">
        <x:v>review, connect and select evidence across the unit</x:v>
      </x:c>
      <x:c r="L108" s="27" t="str">
        <x:v>unit-level synthesis and self-regulated mathematical learning</x:v>
      </x:c>
      <x:c r="M108" s="27" t="str">
        <x:v>completion of selected core sessions or equivalent evidence</x:v>
      </x:c>
      <x:c r="N108" s="27" t="str">
        <x:v>learner-specific; choose from linked Reconnection Bank</x:v>
      </x:c>
      <x:c r="O108" s="27" t="str">
        <x:v>Reflection</x:v>
      </x:c>
      <x:c r="P108" s="27" t="str">
        <x:v>Rest, Connection</x:v>
      </x:c>
      <x:c r="Q108" s="27" t="str">
        <x:v>Mastery Pathway Review</x:v>
      </x:c>
      <x:c r="R108" s="27" t="str">
        <x:v>Navigation Tool</x:v>
      </x:c>
      <x:c r="S108" s="27" t="str">
        <x:v>Blank</x:v>
      </x:c>
      <x:c r="T108" s="27" t="str">
        <x:v>learner-selected questions from the unit</x:v>
      </x:c>
      <x:c r="U108" s="27" t="str">
        <x:v>Mastery reflection plus one selected piece of unit evidence</x:v>
      </x:c>
      <x:c r="V108" s="27" t="str">
        <x:v>Learner identifies current Emerging / Developing / Secure / Mastering evidence and a useful next step.</x:v>
      </x:c>
      <x:c r="W108" s="27" t="str">
        <x:v>Settle 5 / Review 10 / Strengthen 15 / Evidence 10 / Next step 5</x:v>
      </x:c>
      <x:c r="X108" s="27" t="str">
        <x:v>NC KS3/KS4 bridge; 4MA1 4.8</x:v>
      </x:c>
      <x:c r="Y108" s="27" t="str">
        <x:v>Low-Moderate; learner choice and reduced visual field</x:v>
      </x:c>
      <x:c r="Z108" s="27" t="str">
        <x:v>Live, Asynchronous, Independent</x:v>
      </x:c>
      <x:c r="AA108" s="27" t="str">
        <x:v>Architecture mapped</x:v>
      </x:c>
      <x:c r="AB108" s="27" t="str">
        <x:v>Designed breathing space. May become a return session after absence, a Practice Companion session, or a portfolio checkpoint.</x:v>
      </x:c>
    </x:row>
    <x:row r="109" ht="44" customHeight="1">
      <x:c r="A109" s="27" t="str">
        <x:v>NEO-MATH-Y9-106</x:v>
      </x:c>
      <x:c r="B109" s="27" t="n">
        <x:v>106</x:v>
      </x:c>
      <x:c r="C109" s="27" t="str">
        <x:v>NEO-MATH-Y9-07</x:v>
      </x:c>
      <x:c r="D109" s="27" t="n">
        <x:v>7</x:v>
      </x:c>
      <x:c r="E109" s="27" t="str">
        <x:v>Pythagoras and the Hidden Length</x:v>
      </x:c>
      <x:c r="F109" s="27" t="str">
        <x:v>Spatial Reasoning</x:v>
      </x:c>
      <x:c r="G109" s="27" t="n">
        <x:v>15</x:v>
      </x:c>
      <x:c r="H109" s="27" t="str">
        <x:v>Extension / Portfolio</x:v>
      </x:c>
      <x:c r="I109" s="27" t="str">
        <x:v>Open inquiry: Indirect Measurement Investigation</x:v>
      </x:c>
      <x:c r="J109" s="27" t="str">
        <x:v>How far can I take check reasonableness and begin 3D links when I choose the model or context?</x:v>
      </x:c>
      <x:c r="K109" s="27" t="str">
        <x:v>generalise and apply check reasonableness and begin 3D links in a learner-selected or unfamiliar context</x:v>
      </x:c>
      <x:c r="L109" s="27" t="str">
        <x:v>check reasonableness and begin 3D links</x:v>
      </x:c>
      <x:c r="M109" s="27" t="str">
        <x:v>Secure evidence in at least one central unit relationship</x:v>
      </x:c>
      <x:c r="N109" s="27" t="str"/>
      <x:c r="O109" s="27" t="str">
        <x:v>Creativity</x:v>
      </x:c>
      <x:c r="P109" s="27" t="str">
        <x:v>Connection, Reflection</x:v>
      </x:c>
      <x:c r="Q109" s="27" t="str">
        <x:v>Right-Triangle Length Explorer</x:v>
      </x:c>
      <x:c r="R109" s="27" t="str">
        <x:v>Geometry Studio</x:v>
      </x:c>
      <x:c r="S109" s="27" t="str">
        <x:v>Square grid</x:v>
      </x:c>
      <x:c r="T109" s="27" t="str">
        <x:v>optional stretch / unfamiliar-context questions</x:v>
      </x:c>
      <x:c r="U109" s="27" t="str">
        <x:v>Indirect Measurement Investigation</x:v>
      </x:c>
      <x:c r="V109" s="27" t="str">
        <x:v>Learner generalises check reasonableness and begin 3D links, tests assumptions and communicates a defensible conclusion.</x:v>
      </x:c>
      <x:c r="W109" s="27" t="str">
        <x:v>Choose 5 / Conjecture 10 / Build or test 20 / Reflect 10</x:v>
      </x:c>
      <x:c r="X109" s="27" t="str">
        <x:v>NC KS3/KS4 bridge; 4MA1 4.8</x:v>
      </x:c>
      <x:c r="Y109" s="27" t="str">
        <x:v>Moderate</x:v>
      </x:c>
      <x:c r="Z109" s="27" t="str">
        <x:v>Live, Asynchronous, Independent</x:v>
      </x:c>
      <x:c r="AA109" s="27" t="str">
        <x:v>Architecture mapped</x:v>
      </x:c>
      <x:c r="AB109" s="27" t="str">
        <x:v>High-ceiling optional route. Can replace repeated practice where Secure evidence is already present.</x:v>
      </x:c>
    </x:row>
    <x:row r="110" ht="44" customHeight="1">
      <x:c r="A110" s="27" t="str">
        <x:v>NEO-MATH-Y9-107</x:v>
      </x:c>
      <x:c r="B110" s="27" t="n">
        <x:v>107</x:v>
      </x:c>
      <x:c r="C110" s="27" t="str">
        <x:v>NEO-MATH-Y9-08</x:v>
      </x:c>
      <x:c r="D110" s="27" t="n">
        <x:v>8</x:v>
      </x:c>
      <x:c r="E110" s="27" t="str">
        <x:v>Similarity and Scale: Same Shape, New Size</x:v>
      </x:c>
      <x:c r="F110" s="27" t="str">
        <x:v>Proportional Reasoning</x:v>
      </x:c>
      <x:c r="G110" s="27" t="n">
        <x:v>1</x:v>
      </x:c>
      <x:c r="H110" s="27" t="str">
        <x:v>Core</x:v>
      </x:c>
      <x:c r="I110" s="27" t="str">
        <x:v>Connect &amp; notice: Recognise similar figures</x:v>
      </x:c>
      <x:c r="J110" s="27" t="str">
        <x:v>What do I already notice about recognise similar figures?</x:v>
      </x:c>
      <x:c r="K110" s="27" t="str">
        <x:v>recognise similar figures</x:v>
      </x:c>
      <x:c r="L110" s="27" t="str">
        <x:v>recognise similar figures</x:v>
      </x:c>
      <x:c r="M110" s="27" t="str">
        <x:v>learner entry knowledge and representation confidence</x:v>
      </x:c>
      <x:c r="N110" s="27" t="str"/>
      <x:c r="O110" s="27" t="str">
        <x:v>Connection</x:v>
      </x:c>
      <x:c r="P110" s="27" t="str">
        <x:v>Movement, Creativity</x:v>
      </x:c>
      <x:c r="Q110" s="27" t="str">
        <x:v>Similarity Zoom Lab</x:v>
      </x:c>
      <x:c r="R110" s="27" t="str">
        <x:v>Scaling Lab</x:v>
      </x:c>
      <x:c r="S110" s="27" t="str">
        <x:v>Square grid</x:v>
      </x:c>
      <x:c r="T110" s="27" t="str">
        <x:v>Similarity and Scale: Same Shape, New Size – recognise similar figures</x:v>
      </x:c>
      <x:c r="U110" s="27" t="str">
        <x:v>Scratchpad prediction or notice about recognise similar figures</x:v>
      </x:c>
      <x:c r="V110" s="27" t="str">
        <x:v>Learner can recognise similar figures and give a reason or check.</x:v>
      </x:c>
      <x:c r="W110" s="27" t="str">
        <x:v>Connect 8 / Explore 20 / Notice 10 / Reflect 7</x:v>
      </x:c>
      <x:c r="X110" s="27" t="str">
        <x:v>NC KS3; 4MA1 4.11; FS L2</x:v>
      </x:c>
      <x:c r="Y110" s="27" t="str">
        <x:v>Moderate</x:v>
      </x:c>
      <x:c r="Z110" s="27" t="str">
        <x:v>Live, Asynchronous, Independent</x:v>
      </x:c>
      <x:c r="AA110" s="27" t="str">
        <x:v>Architecture mapped</x:v>
      </x:c>
      <x:c r="AB110" s="27" t="str">
        <x:v>Part of the canonical Y9 route. May pause or branch to a Reconnection lesson before returning.</x:v>
      </x:c>
    </x:row>
    <x:row r="111" ht="44" customHeight="1">
      <x:c r="A111" s="27" t="str">
        <x:v>NEO-MATH-Y9-108</x:v>
      </x:c>
      <x:c r="B111" s="27" t="n">
        <x:v>108</x:v>
      </x:c>
      <x:c r="C111" s="27" t="str">
        <x:v>NEO-MATH-Y9-08</x:v>
      </x:c>
      <x:c r="D111" s="27" t="n">
        <x:v>8</x:v>
      </x:c>
      <x:c r="E111" s="27" t="str">
        <x:v>Similarity and Scale: Same Shape, New Size</x:v>
      </x:c>
      <x:c r="F111" s="27" t="str">
        <x:v>Proportional Reasoning</x:v>
      </x:c>
      <x:c r="G111" s="27" t="n">
        <x:v>2</x:v>
      </x:c>
      <x:c r="H111" s="27" t="str">
        <x:v>Core</x:v>
      </x:c>
      <x:c r="I111" s="27" t="str">
        <x:v>Build the idea: Use length scale factors</x:v>
      </x:c>
      <x:c r="J111" s="27" t="str">
        <x:v>What does use length scale factors mean before I use a procedure?</x:v>
      </x:c>
      <x:c r="K111" s="27" t="str">
        <x:v>use length scale factors</x:v>
      </x:c>
      <x:c r="L111" s="27" t="str">
        <x:v>use length scale factors</x:v>
      </x:c>
      <x:c r="M111" s="27" t="str">
        <x:v>recognise similar figures</x:v>
      </x:c>
      <x:c r="N111" s="27" t="str"/>
      <x:c r="O111" s="27" t="str">
        <x:v>Connection</x:v>
      </x:c>
      <x:c r="P111" s="27" t="str">
        <x:v>Movement, Creativity</x:v>
      </x:c>
      <x:c r="Q111" s="27" t="str">
        <x:v>Similarity Zoom Lab</x:v>
      </x:c>
      <x:c r="R111" s="27" t="str">
        <x:v>Scaling Lab</x:v>
      </x:c>
      <x:c r="S111" s="27" t="str">
        <x:v>Square grid</x:v>
      </x:c>
      <x:c r="T111" s="27" t="str">
        <x:v>Similarity and Scale: Same Shape, New Size – use length scale factors</x:v>
      </x:c>
      <x:c r="U111" s="27" t="str">
        <x:v>Annotated representation of use length scale factors</x:v>
      </x:c>
      <x:c r="V111" s="27" t="str">
        <x:v>Learner can use length scale factors and give a reason or check.</x:v>
      </x:c>
      <x:c r="W111" s="27" t="str">
        <x:v>Connect 5 / Explore 20 / Create or Apply 12 / Reflect 8</x:v>
      </x:c>
      <x:c r="X111" s="27" t="str">
        <x:v>NC KS3; 4MA1 4.11; FS L2</x:v>
      </x:c>
      <x:c r="Y111" s="27" t="str">
        <x:v>Moderate</x:v>
      </x:c>
      <x:c r="Z111" s="27" t="str">
        <x:v>Live, Asynchronous, Independent</x:v>
      </x:c>
      <x:c r="AA111" s="27" t="str">
        <x:v>Architecture mapped</x:v>
      </x:c>
      <x:c r="AB111" s="27" t="str">
        <x:v>Part of the canonical Y9 route. May pause or branch to a Reconnection lesson before returning.</x:v>
      </x:c>
    </x:row>
    <x:row r="112" ht="44" customHeight="1">
      <x:c r="A112" s="27" t="str">
        <x:v>NEO-MATH-Y9-109</x:v>
      </x:c>
      <x:c r="B112" s="27" t="n">
        <x:v>109</x:v>
      </x:c>
      <x:c r="C112" s="27" t="str">
        <x:v>NEO-MATH-Y9-08</x:v>
      </x:c>
      <x:c r="D112" s="27" t="n">
        <x:v>8</x:v>
      </x:c>
      <x:c r="E112" s="27" t="str">
        <x:v>Similarity and Scale: Same Shape, New Size</x:v>
      </x:c>
      <x:c r="F112" s="27" t="str">
        <x:v>Proportional Reasoning</x:v>
      </x:c>
      <x:c r="G112" s="27" t="n">
        <x:v>3</x:v>
      </x:c>
      <x:c r="H112" s="27" t="str">
        <x:v>Reconnection</x:v>
      </x:c>
      <x:c r="I112" s="27" t="str">
        <x:v>Reconnection: Equivalent ratios</x:v>
      </x:c>
      <x:c r="J112" s="27" t="str">
        <x:v>How can a ratio change without changing its relationship?</x:v>
      </x:c>
      <x:c r="K112" s="27" t="str">
        <x:v>recognise and simplify equivalent ratios</x:v>
      </x:c>
      <x:c r="L112" s="27" t="str">
        <x:v>recognise and simplify equivalent ratios</x:v>
      </x:c>
      <x:c r="M112" s="27" t="str">
        <x:v>Branch triggered when recognise and simplify equivalent ratios is not yet secure enough for the current unit.</x:v>
      </x:c>
      <x:c r="N112" s="27" t="str">
        <x:v>REC-PR-02</x:v>
      </x:c>
      <x:c r="O112" s="27" t="str">
        <x:v>Connection</x:v>
      </x:c>
      <x:c r="P112" s="27" t="str">
        <x:v>Reflection, Rest</x:v>
      </x:c>
      <x:c r="Q112" s="27" t="str">
        <x:v>Recipe Scaler</x:v>
      </x:c>
      <x:c r="R112" s="27" t="str">
        <x:v>Scaling Lab</x:v>
      </x:c>
      <x:c r="S112" s="27" t="str">
        <x:v>Ratio table</x:v>
      </x:c>
      <x:c r="T112" s="27" t="str">
        <x:v>Equivalent ratios targeted practice</x:v>
      </x:c>
      <x:c r="U112" s="27" t="str">
        <x:v>Short reconnection evidence: recognise and simplify equivalent ratios</x:v>
      </x:c>
      <x:c r="V112" s="27" t="str">
        <x:v>Learner can recognise and simplify equivalent ratios sufficiently to return to Similarity and Scale: Same Shape, New Size.</x:v>
      </x:c>
      <x:c r="W112" s="27" t="str">
        <x:v>Arrive 5 / Reconnect 20 / Test 10 / Return link 10</x:v>
      </x:c>
      <x:c r="X112" s="27" t="str">
        <x:v>NC KS3; 4MA1 4.11; FS L2</x:v>
      </x:c>
      <x:c r="Y112" s="27" t="str">
        <x:v>Low-Moderate; targeted prerequisite repair</x:v>
      </x:c>
      <x:c r="Z112" s="27" t="str">
        <x:v>Live, Asynchronous, Independent</x:v>
      </x:c>
      <x:c r="AA112" s="27" t="str">
        <x:v>Architecture mapped</x:v>
      </x:c>
      <x:c r="AB112" s="27" t="str">
        <x:v>Not 'catch-up'. A targeted route from Year 7 learning that reconnects the learner to NEO-MATH-Y9-08.</x:v>
      </x:c>
    </x:row>
    <x:row r="113" ht="44" customHeight="1">
      <x:c r="A113" s="27" t="str">
        <x:v>NEO-MATH-Y9-110</x:v>
      </x:c>
      <x:c r="B113" s="27" t="n">
        <x:v>110</x:v>
      </x:c>
      <x:c r="C113" s="27" t="str">
        <x:v>NEO-MATH-Y9-08</x:v>
      </x:c>
      <x:c r="D113" s="27" t="n">
        <x:v>8</x:v>
      </x:c>
      <x:c r="E113" s="27" t="str">
        <x:v>Similarity and Scale: Same Shape, New Size</x:v>
      </x:c>
      <x:c r="F113" s="27" t="str">
        <x:v>Proportional Reasoning</x:v>
      </x:c>
      <x:c r="G113" s="27" t="n">
        <x:v>3</x:v>
      </x:c>
      <x:c r="H113" s="27" t="str">
        <x:v>Core</x:v>
      </x:c>
      <x:c r="I113" s="27" t="str">
        <x:v>Represent it: Solve missing lengths</x:v>
      </x:c>
      <x:c r="J113" s="27" t="str">
        <x:v>How can I show solve missing lengths in more than one way?</x:v>
      </x:c>
      <x:c r="K113" s="27" t="str">
        <x:v>solve missing lengths</x:v>
      </x:c>
      <x:c r="L113" s="27" t="str">
        <x:v>solve missing lengths</x:v>
      </x:c>
      <x:c r="M113" s="27" t="str">
        <x:v>use length scale factors</x:v>
      </x:c>
      <x:c r="N113" s="27" t="str"/>
      <x:c r="O113" s="27" t="str">
        <x:v>Connection</x:v>
      </x:c>
      <x:c r="P113" s="27" t="str">
        <x:v>Movement, Creativity</x:v>
      </x:c>
      <x:c r="Q113" s="27" t="str">
        <x:v>Similarity Zoom Lab</x:v>
      </x:c>
      <x:c r="R113" s="27" t="str">
        <x:v>Scaling Lab</x:v>
      </x:c>
      <x:c r="S113" s="27" t="str">
        <x:v>Square grid</x:v>
      </x:c>
      <x:c r="T113" s="27" t="str">
        <x:v>Similarity and Scale: Same Shape, New Size – solve missing lengths</x:v>
      </x:c>
      <x:c r="U113" s="27" t="str">
        <x:v>Annotated representation of solve missing lengths</x:v>
      </x:c>
      <x:c r="V113" s="27" t="str">
        <x:v>Learner can solve missing lengths and give a reason or check.</x:v>
      </x:c>
      <x:c r="W113" s="27" t="str">
        <x:v>Connect 5 / Explore 20 / Create or Apply 12 / Reflect 8</x:v>
      </x:c>
      <x:c r="X113" s="27" t="str">
        <x:v>NC KS3; 4MA1 4.11; FS L2</x:v>
      </x:c>
      <x:c r="Y113" s="27" t="str">
        <x:v>Moderate</x:v>
      </x:c>
      <x:c r="Z113" s="27" t="str">
        <x:v>Live, Asynchronous, Independent</x:v>
      </x:c>
      <x:c r="AA113" s="27" t="str">
        <x:v>Architecture mapped</x:v>
      </x:c>
      <x:c r="AB113" s="27" t="str">
        <x:v>Part of the canonical Y9 route. May pause or branch to a Reconnection lesson before returning.</x:v>
      </x:c>
    </x:row>
    <x:row r="114" ht="44" customHeight="1">
      <x:c r="A114" s="27" t="str">
        <x:v>NEO-MATH-Y9-111</x:v>
      </x:c>
      <x:c r="B114" s="27" t="n">
        <x:v>111</x:v>
      </x:c>
      <x:c r="C114" s="27" t="str">
        <x:v>NEO-MATH-Y9-08</x:v>
      </x:c>
      <x:c r="D114" s="27" t="n">
        <x:v>8</x:v>
      </x:c>
      <x:c r="E114" s="27" t="str">
        <x:v>Similarity and Scale: Same Shape, New Size</x:v>
      </x:c>
      <x:c r="F114" s="27" t="str">
        <x:v>Proportional Reasoning</x:v>
      </x:c>
      <x:c r="G114" s="27" t="n">
        <x:v>4</x:v>
      </x:c>
      <x:c r="H114" s="27" t="str">
        <x:v>Core</x:v>
      </x:c>
      <x:c r="I114" s="27" t="str">
        <x:v>Try one change: Interpret maps and scale</x:v>
      </x:c>
      <x:c r="J114" s="27" t="str">
        <x:v>What changes when I adjust one part of interpret maps and scale?</x:v>
      </x:c>
      <x:c r="K114" s="27" t="str">
        <x:v>interpret maps and scale</x:v>
      </x:c>
      <x:c r="L114" s="27" t="str">
        <x:v>interpret maps and scale</x:v>
      </x:c>
      <x:c r="M114" s="27" t="str">
        <x:v>solve missing lengths</x:v>
      </x:c>
      <x:c r="N114" s="27" t="str"/>
      <x:c r="O114" s="27" t="str">
        <x:v>Connection</x:v>
      </x:c>
      <x:c r="P114" s="27" t="str">
        <x:v>Movement, Creativity</x:v>
      </x:c>
      <x:c r="Q114" s="27" t="str">
        <x:v>Similarity Zoom Lab</x:v>
      </x:c>
      <x:c r="R114" s="27" t="str">
        <x:v>Scaling Lab</x:v>
      </x:c>
      <x:c r="S114" s="27" t="str">
        <x:v>Square grid</x:v>
      </x:c>
      <x:c r="T114" s="27" t="str">
        <x:v>Similarity and Scale: Same Shape, New Size – interpret maps and scale</x:v>
      </x:c>
      <x:c r="U114" s="27" t="str">
        <x:v>Annotated representation of interpret maps and scale</x:v>
      </x:c>
      <x:c r="V114" s="27" t="str">
        <x:v>Learner can interpret maps and scale and give a reason or check.</x:v>
      </x:c>
      <x:c r="W114" s="27" t="str">
        <x:v>Connect 5 / Explore 20 / Create or Apply 12 / Reflect 8</x:v>
      </x:c>
      <x:c r="X114" s="27" t="str">
        <x:v>NC KS3; 4MA1 4.11; FS L2</x:v>
      </x:c>
      <x:c r="Y114" s="27" t="str">
        <x:v>Moderate</x:v>
      </x:c>
      <x:c r="Z114" s="27" t="str">
        <x:v>Live, Asynchronous, Independent</x:v>
      </x:c>
      <x:c r="AA114" s="27" t="str">
        <x:v>Architecture mapped</x:v>
      </x:c>
      <x:c r="AB114" s="27" t="str">
        <x:v>Part of the canonical Y9 route. May pause or branch to a Reconnection lesson before returning.</x:v>
      </x:c>
    </x:row>
    <x:row r="115" ht="44" customHeight="1">
      <x:c r="A115" s="27" t="str">
        <x:v>NEO-MATH-Y9-112</x:v>
      </x:c>
      <x:c r="B115" s="27" t="n">
        <x:v>112</x:v>
      </x:c>
      <x:c r="C115" s="27" t="str">
        <x:v>NEO-MATH-Y9-08</x:v>
      </x:c>
      <x:c r="D115" s="27" t="n">
        <x:v>8</x:v>
      </x:c>
      <x:c r="E115" s="27" t="str">
        <x:v>Similarity and Scale: Same Shape, New Size</x:v>
      </x:c>
      <x:c r="F115" s="27" t="str">
        <x:v>Proportional Reasoning</x:v>
      </x:c>
      <x:c r="G115" s="27" t="n">
        <x:v>5</x:v>
      </x:c>
      <x:c r="H115" s="27" t="str">
        <x:v>Core</x:v>
      </x:c>
      <x:c r="I115" s="27" t="str">
        <x:v>Connect ideas: Explore area scale factor</x:v>
      </x:c>
      <x:c r="J115" s="27" t="str">
        <x:v>How does explore area scale factor connect to the earlier relationship?</x:v>
      </x:c>
      <x:c r="K115" s="27" t="str">
        <x:v>explore area scale factor</x:v>
      </x:c>
      <x:c r="L115" s="27" t="str">
        <x:v>explore area scale factor</x:v>
      </x:c>
      <x:c r="M115" s="27" t="str">
        <x:v>interpret maps and scale</x:v>
      </x:c>
      <x:c r="N115" s="27" t="str"/>
      <x:c r="O115" s="27" t="str">
        <x:v>Connection</x:v>
      </x:c>
      <x:c r="P115" s="27" t="str">
        <x:v>Movement, Creativity</x:v>
      </x:c>
      <x:c r="Q115" s="27" t="str">
        <x:v>Similarity Zoom Lab</x:v>
      </x:c>
      <x:c r="R115" s="27" t="str">
        <x:v>Scaling Lab</x:v>
      </x:c>
      <x:c r="S115" s="27" t="str">
        <x:v>Square grid</x:v>
      </x:c>
      <x:c r="T115" s="27" t="str">
        <x:v>Similarity and Scale: Same Shape, New Size – explore area scale factor</x:v>
      </x:c>
      <x:c r="U115" s="27" t="str">
        <x:v>Annotated representation of explore area scale factor</x:v>
      </x:c>
      <x:c r="V115" s="27" t="str">
        <x:v>Learner can explore area scale factor and give a reason or check.</x:v>
      </x:c>
      <x:c r="W115" s="27" t="str">
        <x:v>Connect 8 / Explore 20 / Notice 10 / Reflect 7</x:v>
      </x:c>
      <x:c r="X115" s="27" t="str">
        <x:v>NC KS3; 4MA1 4.11; FS L2</x:v>
      </x:c>
      <x:c r="Y115" s="27" t="str">
        <x:v>Moderate</x:v>
      </x:c>
      <x:c r="Z115" s="27" t="str">
        <x:v>Live, Asynchronous, Independent</x:v>
      </x:c>
      <x:c r="AA115" s="27" t="str">
        <x:v>Architecture mapped</x:v>
      </x:c>
      <x:c r="AB115" s="27" t="str">
        <x:v>Part of the canonical Y9 route. May pause or branch to a Reconnection lesson before returning.</x:v>
      </x:c>
    </x:row>
    <x:row r="116" ht="44" customHeight="1">
      <x:c r="A116" s="27" t="str">
        <x:v>NEO-MATH-Y9-113</x:v>
      </x:c>
      <x:c r="B116" s="27" t="n">
        <x:v>113</x:v>
      </x:c>
      <x:c r="C116" s="27" t="str">
        <x:v>NEO-MATH-Y9-08</x:v>
      </x:c>
      <x:c r="D116" s="27" t="n">
        <x:v>8</x:v>
      </x:c>
      <x:c r="E116" s="27" t="str">
        <x:v>Similarity and Scale: Same Shape, New Size</x:v>
      </x:c>
      <x:c r="F116" s="27" t="str">
        <x:v>Proportional Reasoning</x:v>
      </x:c>
      <x:c r="G116" s="27" t="n">
        <x:v>7</x:v>
      </x:c>
      <x:c r="H116" s="27" t="str">
        <x:v>Reconnection</x:v>
      </x:c>
      <x:c r="I116" s="27" t="str">
        <x:v>Reconnection: Scale factors</x:v>
      </x:c>
      <x:c r="J116" s="27" t="str">
        <x:v>What multiplier connects the old size to the new size?</x:v>
      </x:c>
      <x:c r="K116" s="27" t="str">
        <x:v>identify and use scale factors</x:v>
      </x:c>
      <x:c r="L116" s="27" t="str">
        <x:v>identify and use scale factors</x:v>
      </x:c>
      <x:c r="M116" s="27" t="str">
        <x:v>Branch triggered when identify and use scale factors is not yet secure enough for the current unit.</x:v>
      </x:c>
      <x:c r="N116" s="27" t="str">
        <x:v>REC-PR-03</x:v>
      </x:c>
      <x:c r="O116" s="27" t="str">
        <x:v>Connection</x:v>
      </x:c>
      <x:c r="P116" s="27" t="str">
        <x:v>Reflection, Rest</x:v>
      </x:c>
      <x:c r="Q116" s="27" t="str">
        <x:v>Scale Factor Slider</x:v>
      </x:c>
      <x:c r="R116" s="27" t="str">
        <x:v>Scaling Lab</x:v>
      </x:c>
      <x:c r="S116" s="27" t="str">
        <x:v>Double number line</x:v>
      </x:c>
      <x:c r="T116" s="27" t="str">
        <x:v>Scale factors targeted practice</x:v>
      </x:c>
      <x:c r="U116" s="27" t="str">
        <x:v>Short reconnection evidence: identify and use scale factors</x:v>
      </x:c>
      <x:c r="V116" s="27" t="str">
        <x:v>Learner can identify and use scale factors sufficiently to return to Similarity and Scale: Same Shape, New Size.</x:v>
      </x:c>
      <x:c r="W116" s="27" t="str">
        <x:v>Arrive 5 / Reconnect 20 / Test 10 / Return link 10</x:v>
      </x:c>
      <x:c r="X116" s="27" t="str">
        <x:v>NC KS3; 4MA1 4.11; FS L2</x:v>
      </x:c>
      <x:c r="Y116" s="27" t="str">
        <x:v>Low-Moderate; targeted prerequisite repair</x:v>
      </x:c>
      <x:c r="Z116" s="27" t="str">
        <x:v>Live, Asynchronous, Independent</x:v>
      </x:c>
      <x:c r="AA116" s="27" t="str">
        <x:v>Architecture mapped</x:v>
      </x:c>
      <x:c r="AB116" s="27" t="str">
        <x:v>Not 'catch-up'. A targeted route from Year 7 learning that reconnects the learner to NEO-MATH-Y9-08.</x:v>
      </x:c>
    </x:row>
    <x:row r="117" ht="44" customHeight="1">
      <x:c r="A117" s="27" t="str">
        <x:v>NEO-MATH-Y9-114</x:v>
      </x:c>
      <x:c r="B117" s="27" t="n">
        <x:v>114</x:v>
      </x:c>
      <x:c r="C117" s="27" t="str">
        <x:v>NEO-MATH-Y9-08</x:v>
      </x:c>
      <x:c r="D117" s="27" t="n">
        <x:v>8</x:v>
      </x:c>
      <x:c r="E117" s="27" t="str">
        <x:v>Similarity and Scale: Same Shape, New Size</x:v>
      </x:c>
      <x:c r="F117" s="27" t="str">
        <x:v>Proportional Reasoning</x:v>
      </x:c>
      <x:c r="G117" s="27" t="n">
        <x:v>6</x:v>
      </x:c>
      <x:c r="H117" s="27" t="str">
        <x:v>Core</x:v>
      </x:c>
      <x:c r="I117" s="27" t="str">
        <x:v>Repair a misconception: Recognise similar figures</x:v>
      </x:c>
      <x:c r="J117" s="27" t="str">
        <x:v>What tempting mistake can recognise similar figures create?</x:v>
      </x:c>
      <x:c r="K117" s="27" t="str">
        <x:v>recognise similar figures</x:v>
      </x:c>
      <x:c r="L117" s="27" t="str">
        <x:v>recognise similar figures</x:v>
      </x:c>
      <x:c r="M117" s="27" t="str">
        <x:v>explore area scale factor</x:v>
      </x:c>
      <x:c r="N117" s="27" t="str"/>
      <x:c r="O117" s="27" t="str">
        <x:v>Connection</x:v>
      </x:c>
      <x:c r="P117" s="27" t="str">
        <x:v>Movement, Creativity</x:v>
      </x:c>
      <x:c r="Q117" s="27" t="str">
        <x:v>Similarity Zoom Lab</x:v>
      </x:c>
      <x:c r="R117" s="27" t="str">
        <x:v>Scaling Lab</x:v>
      </x:c>
      <x:c r="S117" s="27" t="str">
        <x:v>Square grid</x:v>
      </x:c>
      <x:c r="T117" s="27" t="str">
        <x:v>Similarity and Scale: Same Shape, New Size – recognise similar figures</x:v>
      </x:c>
      <x:c r="U117" s="27" t="str">
        <x:v>Corrected misconception note: recognise similar figures</x:v>
      </x:c>
      <x:c r="V117" s="27" t="str">
        <x:v>Learner can recognise similar figures and give a reason or check.</x:v>
      </x:c>
      <x:c r="W117" s="27" t="str">
        <x:v>Connect 5 / Explore 20 / Create or Apply 12 / Reflect 8</x:v>
      </x:c>
      <x:c r="X117" s="27" t="str">
        <x:v>NC KS3; 4MA1 4.11; FS L2</x:v>
      </x:c>
      <x:c r="Y117" s="27" t="str">
        <x:v>Moderate</x:v>
      </x:c>
      <x:c r="Z117" s="27" t="str">
        <x:v>Live, Asynchronous, Independent</x:v>
      </x:c>
      <x:c r="AA117" s="27" t="str">
        <x:v>Architecture mapped</x:v>
      </x:c>
      <x:c r="AB117" s="27" t="str">
        <x:v>Part of the canonical Y9 route. May pause or branch to a Reconnection lesson before returning.</x:v>
      </x:c>
    </x:row>
    <x:row r="118" ht="44" customHeight="1">
      <x:c r="A118" s="27" t="str">
        <x:v>NEO-MATH-Y9-115</x:v>
      </x:c>
      <x:c r="B118" s="27" t="n">
        <x:v>115</x:v>
      </x:c>
      <x:c r="C118" s="27" t="str">
        <x:v>NEO-MATH-Y9-08</x:v>
      </x:c>
      <x:c r="D118" s="27" t="n">
        <x:v>8</x:v>
      </x:c>
      <x:c r="E118" s="27" t="str">
        <x:v>Similarity and Scale: Same Shape, New Size</x:v>
      </x:c>
      <x:c r="F118" s="27" t="str">
        <x:v>Proportional Reasoning</x:v>
      </x:c>
      <x:c r="G118" s="27" t="n">
        <x:v>7</x:v>
      </x:c>
      <x:c r="H118" s="27" t="str">
        <x:v>Core</x:v>
      </x:c>
      <x:c r="I118" s="27" t="str">
        <x:v>Apply in context: Use length scale factors</x:v>
      </x:c>
      <x:c r="J118" s="27" t="str">
        <x:v>Where might use length scale factors help with a real decision?</x:v>
      </x:c>
      <x:c r="K118" s="27" t="str">
        <x:v>use length scale factors</x:v>
      </x:c>
      <x:c r="L118" s="27" t="str">
        <x:v>use length scale factors</x:v>
      </x:c>
      <x:c r="M118" s="27" t="str">
        <x:v>recognise similar figures</x:v>
      </x:c>
      <x:c r="N118" s="27" t="str"/>
      <x:c r="O118" s="27" t="str">
        <x:v>Connection</x:v>
      </x:c>
      <x:c r="P118" s="27" t="str">
        <x:v>Movement, Creativity</x:v>
      </x:c>
      <x:c r="Q118" s="27" t="str">
        <x:v>Similarity Zoom Lab</x:v>
      </x:c>
      <x:c r="R118" s="27" t="str">
        <x:v>Scaling Lab</x:v>
      </x:c>
      <x:c r="S118" s="27" t="str">
        <x:v>Square grid</x:v>
      </x:c>
      <x:c r="T118" s="27" t="str">
        <x:v>Similarity and Scale: Same Shape, New Size – use length scale factors</x:v>
      </x:c>
      <x:c r="U118" s="27" t="str">
        <x:v>Short contextual application of use length scale factors</x:v>
      </x:c>
      <x:c r="V118" s="27" t="str">
        <x:v>Learner can use length scale factors and give a reason or check.</x:v>
      </x:c>
      <x:c r="W118" s="27" t="str">
        <x:v>Connect 5 / Explore 20 / Create or Apply 12 / Reflect 8</x:v>
      </x:c>
      <x:c r="X118" s="27" t="str">
        <x:v>NC KS3; 4MA1 4.11; FS L2</x:v>
      </x:c>
      <x:c r="Y118" s="27" t="str">
        <x:v>Moderate</x:v>
      </x:c>
      <x:c r="Z118" s="27" t="str">
        <x:v>Live, Asynchronous, Independent</x:v>
      </x:c>
      <x:c r="AA118" s="27" t="str">
        <x:v>Architecture mapped</x:v>
      </x:c>
      <x:c r="AB118" s="27" t="str">
        <x:v>Part of the canonical Y9 route. May pause or branch to a Reconnection lesson before returning.</x:v>
      </x:c>
    </x:row>
    <x:row r="119" ht="44" customHeight="1">
      <x:c r="A119" s="27" t="str">
        <x:v>NEO-MATH-Y9-116</x:v>
      </x:c>
      <x:c r="B119" s="27" t="n">
        <x:v>116</x:v>
      </x:c>
      <x:c r="C119" s="27" t="str">
        <x:v>NEO-MATH-Y9-08</x:v>
      </x:c>
      <x:c r="D119" s="27" t="n">
        <x:v>8</x:v>
      </x:c>
      <x:c r="E119" s="27" t="str">
        <x:v>Similarity and Scale: Same Shape, New Size</x:v>
      </x:c>
      <x:c r="F119" s="27" t="str">
        <x:v>Proportional Reasoning</x:v>
      </x:c>
      <x:c r="G119" s="27" t="n">
        <x:v>8</x:v>
      </x:c>
      <x:c r="H119" s="27" t="str">
        <x:v>Core</x:v>
      </x:c>
      <x:c r="I119" s="27" t="str">
        <x:v>Model and test: Solve missing lengths</x:v>
      </x:c>
      <x:c r="J119" s="27" t="str">
        <x:v>Can I build a model using solve missing lengths and test it?</x:v>
      </x:c>
      <x:c r="K119" s="27" t="str">
        <x:v>solve missing lengths</x:v>
      </x:c>
      <x:c r="L119" s="27" t="str">
        <x:v>solve missing lengths</x:v>
      </x:c>
      <x:c r="M119" s="27" t="str">
        <x:v>use length scale factors</x:v>
      </x:c>
      <x:c r="N119" s="27" t="str"/>
      <x:c r="O119" s="27" t="str">
        <x:v>Connection</x:v>
      </x:c>
      <x:c r="P119" s="27" t="str">
        <x:v>Movement, Creativity</x:v>
      </x:c>
      <x:c r="Q119" s="27" t="str">
        <x:v>Similarity Zoom Lab</x:v>
      </x:c>
      <x:c r="R119" s="27" t="str">
        <x:v>Scaling Lab</x:v>
      </x:c>
      <x:c r="S119" s="27" t="str">
        <x:v>Square grid</x:v>
      </x:c>
      <x:c r="T119" s="27" t="str">
        <x:v>Similarity and Scale: Same Shape, New Size – solve missing lengths</x:v>
      </x:c>
      <x:c r="U119" s="27" t="str">
        <x:v>Tested model using solve missing lengths</x:v>
      </x:c>
      <x:c r="V119" s="27" t="str">
        <x:v>Learner can solve missing lengths and give a reason or check.</x:v>
      </x:c>
      <x:c r="W119" s="27" t="str">
        <x:v>Connect 5 / Explore 20 / Create or Apply 12 / Reflect 8</x:v>
      </x:c>
      <x:c r="X119" s="27" t="str">
        <x:v>NC KS3; 4MA1 4.11; FS L2</x:v>
      </x:c>
      <x:c r="Y119" s="27" t="str">
        <x:v>Moderate</x:v>
      </x:c>
      <x:c r="Z119" s="27" t="str">
        <x:v>Live, Asynchronous, Independent</x:v>
      </x:c>
      <x:c r="AA119" s="27" t="str">
        <x:v>Architecture mapped</x:v>
      </x:c>
      <x:c r="AB119" s="27" t="str">
        <x:v>Part of the canonical Y9 route. May pause or branch to a Reconnection lesson before returning.</x:v>
      </x:c>
    </x:row>
    <x:row r="120" ht="44" customHeight="1">
      <x:c r="A120" s="27" t="str">
        <x:v>NEO-MATH-Y9-117</x:v>
      </x:c>
      <x:c r="B120" s="27" t="n">
        <x:v>117</x:v>
      </x:c>
      <x:c r="C120" s="27" t="str">
        <x:v>NEO-MATH-Y9-08</x:v>
      </x:c>
      <x:c r="D120" s="27" t="n">
        <x:v>8</x:v>
      </x:c>
      <x:c r="E120" s="27" t="str">
        <x:v>Similarity and Scale: Same Shape, New Size</x:v>
      </x:c>
      <x:c r="F120" s="27" t="str">
        <x:v>Proportional Reasoning</x:v>
      </x:c>
      <x:c r="G120" s="27" t="n">
        <x:v>11</x:v>
      </x:c>
      <x:c r="H120" s="27" t="str">
        <x:v>Reconnection</x:v>
      </x:c>
      <x:c r="I120" s="27" t="str">
        <x:v>Reconnection: Unitary method</x:v>
      </x:c>
      <x:c r="J120" s="27" t="str">
        <x:v>What does one unit reveal?</x:v>
      </x:c>
      <x:c r="K120" s="27" t="str">
        <x:v>find one unit then scale</x:v>
      </x:c>
      <x:c r="L120" s="27" t="str">
        <x:v>find one unit then scale</x:v>
      </x:c>
      <x:c r="M120" s="27" t="str">
        <x:v>Branch triggered when find one unit then scale is not yet secure enough for the current unit.</x:v>
      </x:c>
      <x:c r="N120" s="27" t="str">
        <x:v>REC-PR-04</x:v>
      </x:c>
      <x:c r="O120" s="27" t="str">
        <x:v>Connection</x:v>
      </x:c>
      <x:c r="P120" s="27" t="str">
        <x:v>Reflection, Rest</x:v>
      </x:c>
      <x:c r="Q120" s="27" t="str">
        <x:v>Unit Rate Builder</x:v>
      </x:c>
      <x:c r="R120" s="27" t="str">
        <x:v>Scaling Lab</x:v>
      </x:c>
      <x:c r="S120" s="27" t="str">
        <x:v>Ratio table</x:v>
      </x:c>
      <x:c r="T120" s="27" t="str">
        <x:v>Unitary method targeted practice</x:v>
      </x:c>
      <x:c r="U120" s="27" t="str">
        <x:v>Short reconnection evidence: find one unit then scale</x:v>
      </x:c>
      <x:c r="V120" s="27" t="str">
        <x:v>Learner can find one unit then scale sufficiently to return to Similarity and Scale: Same Shape, New Size.</x:v>
      </x:c>
      <x:c r="W120" s="27" t="str">
        <x:v>Arrive 5 / Reconnect 20 / Test 10 / Return link 10</x:v>
      </x:c>
      <x:c r="X120" s="27" t="str">
        <x:v>NC KS3; 4MA1 4.11; FS L2</x:v>
      </x:c>
      <x:c r="Y120" s="27" t="str">
        <x:v>Low-Moderate; targeted prerequisite repair</x:v>
      </x:c>
      <x:c r="Z120" s="27" t="str">
        <x:v>Live, Asynchronous, Independent</x:v>
      </x:c>
      <x:c r="AA120" s="27" t="str">
        <x:v>Architecture mapped</x:v>
      </x:c>
      <x:c r="AB120" s="27" t="str">
        <x:v>Not 'catch-up'. A targeted route from Year 8 learning that reconnects the learner to NEO-MATH-Y9-08.</x:v>
      </x:c>
    </x:row>
    <x:row r="121" ht="44" customHeight="1">
      <x:c r="A121" s="27" t="str">
        <x:v>NEO-MATH-Y9-118</x:v>
      </x:c>
      <x:c r="B121" s="27" t="n">
        <x:v>118</x:v>
      </x:c>
      <x:c r="C121" s="27" t="str">
        <x:v>NEO-MATH-Y9-08</x:v>
      </x:c>
      <x:c r="D121" s="27" t="n">
        <x:v>8</x:v>
      </x:c>
      <x:c r="E121" s="27" t="str">
        <x:v>Similarity and Scale: Same Shape, New Size</x:v>
      </x:c>
      <x:c r="F121" s="27" t="str">
        <x:v>Proportional Reasoning</x:v>
      </x:c>
      <x:c r="G121" s="27" t="n">
        <x:v>9</x:v>
      </x:c>
      <x:c r="H121" s="27" t="str">
        <x:v>Core</x:v>
      </x:c>
      <x:c r="I121" s="27" t="str">
        <x:v>Compare strategies: Interpret maps and scale</x:v>
      </x:c>
      <x:c r="J121" s="27" t="str">
        <x:v>Which route through interpret maps and scale is clearest or most efficient?</x:v>
      </x:c>
      <x:c r="K121" s="27" t="str">
        <x:v>interpret maps and scale</x:v>
      </x:c>
      <x:c r="L121" s="27" t="str">
        <x:v>interpret maps and scale</x:v>
      </x:c>
      <x:c r="M121" s="27" t="str">
        <x:v>solve missing lengths</x:v>
      </x:c>
      <x:c r="N121" s="27" t="str"/>
      <x:c r="O121" s="27" t="str">
        <x:v>Connection</x:v>
      </x:c>
      <x:c r="P121" s="27" t="str">
        <x:v>Movement, Creativity</x:v>
      </x:c>
      <x:c r="Q121" s="27" t="str">
        <x:v>Similarity Zoom Lab</x:v>
      </x:c>
      <x:c r="R121" s="27" t="str">
        <x:v>Scaling Lab</x:v>
      </x:c>
      <x:c r="S121" s="27" t="str">
        <x:v>Square grid</x:v>
      </x:c>
      <x:c r="T121" s="27" t="str">
        <x:v>Similarity and Scale: Same Shape, New Size – interpret maps and scale</x:v>
      </x:c>
      <x:c r="U121" s="27" t="str">
        <x:v>Two-route comparison for interpret maps and scale</x:v>
      </x:c>
      <x:c r="V121" s="27" t="str">
        <x:v>Learner can interpret maps and scale and give a reason or check.</x:v>
      </x:c>
      <x:c r="W121" s="27" t="str">
        <x:v>Connect 5 / Explore 20 / Create or Apply 12 / Reflect 8</x:v>
      </x:c>
      <x:c r="X121" s="27" t="str">
        <x:v>NC KS3; 4MA1 4.11; FS L2</x:v>
      </x:c>
      <x:c r="Y121" s="27" t="str">
        <x:v>Moderate</x:v>
      </x:c>
      <x:c r="Z121" s="27" t="str">
        <x:v>Live, Asynchronous, Independent</x:v>
      </x:c>
      <x:c r="AA121" s="27" t="str">
        <x:v>Architecture mapped</x:v>
      </x:c>
      <x:c r="AB121" s="27" t="str">
        <x:v>Part of the canonical Y9 route. May pause or branch to a Reconnection lesson before returning.</x:v>
      </x:c>
    </x:row>
    <x:row r="122" ht="44" customHeight="1">
      <x:c r="A122" s="27" t="str">
        <x:v>NEO-MATH-Y9-119</x:v>
      </x:c>
      <x:c r="B122" s="27" t="n">
        <x:v>119</x:v>
      </x:c>
      <x:c r="C122" s="27" t="str">
        <x:v>NEO-MATH-Y9-08</x:v>
      </x:c>
      <x:c r="D122" s="27" t="n">
        <x:v>8</x:v>
      </x:c>
      <x:c r="E122" s="27" t="str">
        <x:v>Similarity and Scale: Same Shape, New Size</x:v>
      </x:c>
      <x:c r="F122" s="27" t="str">
        <x:v>Proportional Reasoning</x:v>
      </x:c>
      <x:c r="G122" s="27" t="n">
        <x:v>10</x:v>
      </x:c>
      <x:c r="H122" s="27" t="str">
        <x:v>Core</x:v>
      </x:c>
      <x:c r="I122" s="27" t="str">
        <x:v>Practice with choice: Explore area scale factor</x:v>
      </x:c>
      <x:c r="J122" s="27" t="str">
        <x:v>Can I use explore area scale factor without being told the method?</x:v>
      </x:c>
      <x:c r="K122" s="27" t="str">
        <x:v>explore area scale factor</x:v>
      </x:c>
      <x:c r="L122" s="27" t="str">
        <x:v>explore area scale factor</x:v>
      </x:c>
      <x:c r="M122" s="27" t="str">
        <x:v>interpret maps and scale</x:v>
      </x:c>
      <x:c r="N122" s="27" t="str"/>
      <x:c r="O122" s="27" t="str">
        <x:v>Connection</x:v>
      </x:c>
      <x:c r="P122" s="27" t="str">
        <x:v>Movement, Creativity</x:v>
      </x:c>
      <x:c r="Q122" s="27" t="str">
        <x:v>Similarity Zoom Lab</x:v>
      </x:c>
      <x:c r="R122" s="27" t="str">
        <x:v>Scaling Lab</x:v>
      </x:c>
      <x:c r="S122" s="27" t="str">
        <x:v>Square grid</x:v>
      </x:c>
      <x:c r="T122" s="27" t="str">
        <x:v>Similarity and Scale: Same Shape, New Size – explore area scale factor</x:v>
      </x:c>
      <x:c r="U122" s="27" t="str">
        <x:v>Practice Companion evidence for explore area scale factor</x:v>
      </x:c>
      <x:c r="V122" s="27" t="str">
        <x:v>Learner can explore area scale factor and give a reason or check.</x:v>
      </x:c>
      <x:c r="W122" s="27" t="str">
        <x:v>Reconnect 5 / Practice 25 / Check 10 / Reflect 5</x:v>
      </x:c>
      <x:c r="X122" s="27" t="str">
        <x:v>NC KS3; 4MA1 4.11; FS L2</x:v>
      </x:c>
      <x:c r="Y122" s="27" t="str">
        <x:v>Moderate</x:v>
      </x:c>
      <x:c r="Z122" s="27" t="str">
        <x:v>Live, Asynchronous, Independent</x:v>
      </x:c>
      <x:c r="AA122" s="27" t="str">
        <x:v>Architecture mapped</x:v>
      </x:c>
      <x:c r="AB122" s="27" t="str">
        <x:v>Part of the canonical Y9 route. May pause or branch to a Reconnection lesson before returning.</x:v>
      </x:c>
    </x:row>
    <x:row r="123" ht="44" customHeight="1">
      <x:c r="A123" s="27" t="str">
        <x:v>NEO-MATH-Y9-120</x:v>
      </x:c>
      <x:c r="B123" s="27" t="n">
        <x:v>120</x:v>
      </x:c>
      <x:c r="C123" s="27" t="str">
        <x:v>NEO-MATH-Y9-08</x:v>
      </x:c>
      <x:c r="D123" s="27" t="n">
        <x:v>8</x:v>
      </x:c>
      <x:c r="E123" s="27" t="str">
        <x:v>Similarity and Scale: Same Shape, New Size</x:v>
      </x:c>
      <x:c r="F123" s="27" t="str">
        <x:v>Proportional Reasoning</x:v>
      </x:c>
      <x:c r="G123" s="27" t="n">
        <x:v>11</x:v>
      </x:c>
      <x:c r="H123" s="27" t="str">
        <x:v>Core</x:v>
      </x:c>
      <x:c r="I123" s="27" t="str">
        <x:v>Mastery checkpoint: Recognise similar figures</x:v>
      </x:c>
      <x:c r="J123" s="27" t="str">
        <x:v>What can I now explain, apply and check about recognise similar figures?</x:v>
      </x:c>
      <x:c r="K123" s="27" t="str">
        <x:v>recognise similar figures</x:v>
      </x:c>
      <x:c r="L123" s="27" t="str">
        <x:v>recognise similar figures</x:v>
      </x:c>
      <x:c r="M123" s="27" t="str">
        <x:v>explore area scale factor</x:v>
      </x:c>
      <x:c r="N123" s="27" t="str"/>
      <x:c r="O123" s="27" t="str">
        <x:v>Connection</x:v>
      </x:c>
      <x:c r="P123" s="27" t="str">
        <x:v>Movement, Creativity</x:v>
      </x:c>
      <x:c r="Q123" s="27" t="str">
        <x:v>Similarity Zoom Lab</x:v>
      </x:c>
      <x:c r="R123" s="27" t="str">
        <x:v>Scaling Lab</x:v>
      </x:c>
      <x:c r="S123" s="27" t="str">
        <x:v>Square grid</x:v>
      </x:c>
      <x:c r="T123" s="27" t="str">
        <x:v>Similarity and Scale: Same Shape, New Size – recognise similar figures</x:v>
      </x:c>
      <x:c r="U123" s="27" t="str">
        <x:v>Scale Model Portfolio Piece</x:v>
      </x:c>
      <x:c r="V123" s="27" t="str">
        <x:v>Learner can recognise similar figures and give a reason or check.</x:v>
      </x:c>
      <x:c r="W123" s="27" t="str">
        <x:v>Settle 5 / Choose evidence 25 / Mastery check 10 / Reflect 5</x:v>
      </x:c>
      <x:c r="X123" s="27" t="str">
        <x:v>NC KS3; 4MA1 4.11; FS L2</x:v>
      </x:c>
      <x:c r="Y123" s="27" t="str">
        <x:v>Moderate</x:v>
      </x:c>
      <x:c r="Z123" s="27" t="str">
        <x:v>Live, Asynchronous, Independent</x:v>
      </x:c>
      <x:c r="AA123" s="27" t="str">
        <x:v>Architecture mapped</x:v>
      </x:c>
      <x:c r="AB123" s="27" t="str">
        <x:v>Part of the canonical Y9 route. May pause or branch to a Reconnection lesson before returning.</x:v>
      </x:c>
    </x:row>
    <x:row r="124" ht="44" customHeight="1">
      <x:c r="A124" s="27" t="str">
        <x:v>NEO-MATH-Y9-121</x:v>
      </x:c>
      <x:c r="B124" s="27" t="n">
        <x:v>121</x:v>
      </x:c>
      <x:c r="C124" s="27" t="str">
        <x:v>NEO-MATH-Y9-08</x:v>
      </x:c>
      <x:c r="D124" s="27" t="n">
        <x:v>8</x:v>
      </x:c>
      <x:c r="E124" s="27" t="str">
        <x:v>Similarity and Scale: Same Shape, New Size</x:v>
      </x:c>
      <x:c r="F124" s="27" t="str">
        <x:v>Proportional Reasoning</x:v>
      </x:c>
      <x:c r="G124" s="27" t="n">
        <x:v>15</x:v>
      </x:c>
      <x:c r="H124" s="27" t="str">
        <x:v>Consolidation / Mastery</x:v>
      </x:c>
      <x:c r="I124" s="27" t="str">
        <x:v>Pause, connect and strengthen: Similarity and Scale: Same Shape, New Size</x:v>
      </x:c>
      <x:c r="J124" s="27" t="str">
        <x:v>Which connection in this unit is now stronger—and which one needs another route?</x:v>
      </x:c>
      <x:c r="K124" s="27" t="str">
        <x:v>review, connect and select evidence across the unit</x:v>
      </x:c>
      <x:c r="L124" s="27" t="str">
        <x:v>unit-level synthesis and self-regulated mathematical learning</x:v>
      </x:c>
      <x:c r="M124" s="27" t="str">
        <x:v>completion of selected core sessions or equivalent evidence</x:v>
      </x:c>
      <x:c r="N124" s="27" t="str">
        <x:v>learner-specific; choose from linked Reconnection Bank</x:v>
      </x:c>
      <x:c r="O124" s="27" t="str">
        <x:v>Reflection</x:v>
      </x:c>
      <x:c r="P124" s="27" t="str">
        <x:v>Rest, Connection</x:v>
      </x:c>
      <x:c r="Q124" s="27" t="str">
        <x:v>Mastery Pathway Review</x:v>
      </x:c>
      <x:c r="R124" s="27" t="str">
        <x:v>Navigation Tool</x:v>
      </x:c>
      <x:c r="S124" s="27" t="str">
        <x:v>Blank</x:v>
      </x:c>
      <x:c r="T124" s="27" t="str">
        <x:v>learner-selected questions from the unit</x:v>
      </x:c>
      <x:c r="U124" s="27" t="str">
        <x:v>Mastery reflection plus one selected piece of unit evidence</x:v>
      </x:c>
      <x:c r="V124" s="27" t="str">
        <x:v>Learner identifies current Emerging / Developing / Secure / Mastering evidence and a useful next step.</x:v>
      </x:c>
      <x:c r="W124" s="27" t="str">
        <x:v>Settle 5 / Review 10 / Strengthen 15 / Evidence 10 / Next step 5</x:v>
      </x:c>
      <x:c r="X124" s="27" t="str">
        <x:v>NC KS3; 4MA1 4.11; FS L2</x:v>
      </x:c>
      <x:c r="Y124" s="27" t="str">
        <x:v>Low-Moderate; learner choice and reduced visual field</x:v>
      </x:c>
      <x:c r="Z124" s="27" t="str">
        <x:v>Live, Asynchronous, Independent</x:v>
      </x:c>
      <x:c r="AA124" s="27" t="str">
        <x:v>Architecture mapped</x:v>
      </x:c>
      <x:c r="AB124" s="27" t="str">
        <x:v>Designed breathing space. May become a return session after absence, a Practice Companion session, or a portfolio checkpoint.</x:v>
      </x:c>
    </x:row>
    <x:row r="125" ht="44" customHeight="1">
      <x:c r="A125" s="27" t="str">
        <x:v>NEO-MATH-Y9-122</x:v>
      </x:c>
      <x:c r="B125" s="27" t="n">
        <x:v>122</x:v>
      </x:c>
      <x:c r="C125" s="27" t="str">
        <x:v>NEO-MATH-Y9-08</x:v>
      </x:c>
      <x:c r="D125" s="27" t="n">
        <x:v>8</x:v>
      </x:c>
      <x:c r="E125" s="27" t="str">
        <x:v>Similarity and Scale: Same Shape, New Size</x:v>
      </x:c>
      <x:c r="F125" s="27" t="str">
        <x:v>Proportional Reasoning</x:v>
      </x:c>
      <x:c r="G125" s="27" t="n">
        <x:v>16</x:v>
      </x:c>
      <x:c r="H125" s="27" t="str">
        <x:v>Extension / Portfolio</x:v>
      </x:c>
      <x:c r="I125" s="27" t="str">
        <x:v>Open inquiry: Scale Model Portfolio Piece</x:v>
      </x:c>
      <x:c r="J125" s="27" t="str">
        <x:v>How far can I take explore area scale factor when I choose the model or context?</x:v>
      </x:c>
      <x:c r="K125" s="27" t="str">
        <x:v>generalise and apply explore area scale factor in a learner-selected or unfamiliar context</x:v>
      </x:c>
      <x:c r="L125" s="27" t="str">
        <x:v>explore area scale factor</x:v>
      </x:c>
      <x:c r="M125" s="27" t="str">
        <x:v>Secure evidence in at least one central unit relationship</x:v>
      </x:c>
      <x:c r="N125" s="27" t="str"/>
      <x:c r="O125" s="27" t="str">
        <x:v>Creativity</x:v>
      </x:c>
      <x:c r="P125" s="27" t="str">
        <x:v>Connection, Reflection</x:v>
      </x:c>
      <x:c r="Q125" s="27" t="str">
        <x:v>Similarity Zoom Lab</x:v>
      </x:c>
      <x:c r="R125" s="27" t="str">
        <x:v>Scaling Lab</x:v>
      </x:c>
      <x:c r="S125" s="27" t="str">
        <x:v>Square grid</x:v>
      </x:c>
      <x:c r="T125" s="27" t="str">
        <x:v>optional stretch / unfamiliar-context questions</x:v>
      </x:c>
      <x:c r="U125" s="27" t="str">
        <x:v>Scale Model Portfolio Piece</x:v>
      </x:c>
      <x:c r="V125" s="27" t="str">
        <x:v>Learner generalises explore area scale factor, tests assumptions and communicates a defensible conclusion.</x:v>
      </x:c>
      <x:c r="W125" s="27" t="str">
        <x:v>Choose 5 / Conjecture 10 / Build or test 20 / Reflect 10</x:v>
      </x:c>
      <x:c r="X125" s="27" t="str">
        <x:v>NC KS3; 4MA1 4.11; FS L2</x:v>
      </x:c>
      <x:c r="Y125" s="27" t="str">
        <x:v>Moderate</x:v>
      </x:c>
      <x:c r="Z125" s="27" t="str">
        <x:v>Live, Asynchronous, Independent</x:v>
      </x:c>
      <x:c r="AA125" s="27" t="str">
        <x:v>Architecture mapped</x:v>
      </x:c>
      <x:c r="AB125" s="27" t="str">
        <x:v>High-ceiling optional route. Can replace repeated practice where Secure evidence is already present.</x:v>
      </x:c>
    </x:row>
    <x:row r="126" ht="44" customHeight="1">
      <x:c r="A126" s="27" t="str">
        <x:v>NEO-MATH-Y9-123</x:v>
      </x:c>
      <x:c r="B126" s="27" t="n">
        <x:v>123</x:v>
      </x:c>
      <x:c r="C126" s="27" t="str">
        <x:v>NEO-MATH-Y9-09</x:v>
      </x:c>
      <x:c r="D126" s="27" t="n">
        <x:v>9</x:v>
      </x:c>
      <x:c r="E126" s="27" t="str">
        <x:v>Sampling, Bias and What We Can Infer</x:v>
      </x:c>
      <x:c r="F126" s="27" t="str">
        <x:v>Data &amp; Uncertainty</x:v>
      </x:c>
      <x:c r="G126" s="27" t="n">
        <x:v>1</x:v>
      </x:c>
      <x:c r="H126" s="27" t="str">
        <x:v>Core</x:v>
      </x:c>
      <x:c r="I126" s="27" t="str">
        <x:v>Connect &amp; notice: Plan a statistical enquiry</x:v>
      </x:c>
      <x:c r="J126" s="27" t="str">
        <x:v>What do I already notice about plan a statistical enquiry?</x:v>
      </x:c>
      <x:c r="K126" s="27" t="str">
        <x:v>plan a statistical enquiry</x:v>
      </x:c>
      <x:c r="L126" s="27" t="str">
        <x:v>plan a statistical enquiry</x:v>
      </x:c>
      <x:c r="M126" s="27" t="str">
        <x:v>learner entry knowledge and representation confidence</x:v>
      </x:c>
      <x:c r="N126" s="27" t="str"/>
      <x:c r="O126" s="27" t="str">
        <x:v>Connection</x:v>
      </x:c>
      <x:c r="P126" s="27" t="str">
        <x:v>Reflection, Creativity</x:v>
      </x:c>
      <x:c r="Q126" s="27" t="str">
        <x:v>Sampling Bias Simulator + Claim Critic</x:v>
      </x:c>
      <x:c r="R126" s="27" t="str">
        <x:v>Evidence Lab</x:v>
      </x:c>
      <x:c r="S126" s="27" t="str">
        <x:v>Blank</x:v>
      </x:c>
      <x:c r="T126" s="27" t="str">
        <x:v>Sampling, Bias and What We Can Infer – plan a statistical enquiry</x:v>
      </x:c>
      <x:c r="U126" s="27" t="str">
        <x:v>Scratchpad prediction or notice about plan a statistical enquiry</x:v>
      </x:c>
      <x:c r="V126" s="27" t="str">
        <x:v>Learner can plan a statistical enquiry and give a reason or check.</x:v>
      </x:c>
      <x:c r="W126" s="27" t="str">
        <x:v>Connect 8 / Explore 20 / Notice 10 / Reflect 7</x:v>
      </x:c>
      <x:c r="X126" s="27" t="str">
        <x:v>NC KS3; 4MA1 6.1-6.2</x:v>
      </x:c>
      <x:c r="Y126" s="27" t="str">
        <x:v>Moderate-High</x:v>
      </x:c>
      <x:c r="Z126" s="27" t="str">
        <x:v>Live, Asynchronous, Independent</x:v>
      </x:c>
      <x:c r="AA126" s="27" t="str">
        <x:v>Architecture mapped</x:v>
      </x:c>
      <x:c r="AB126" s="27" t="str">
        <x:v>Part of the canonical Y9 route. May pause or branch to a Reconnection lesson before returning.</x:v>
      </x:c>
    </x:row>
    <x:row r="127" ht="44" customHeight="1">
      <x:c r="A127" s="27" t="str">
        <x:v>NEO-MATH-Y9-124</x:v>
      </x:c>
      <x:c r="B127" s="27" t="n">
        <x:v>124</x:v>
      </x:c>
      <x:c r="C127" s="27" t="str">
        <x:v>NEO-MATH-Y9-09</x:v>
      </x:c>
      <x:c r="D127" s="27" t="n">
        <x:v>9</x:v>
      </x:c>
      <x:c r="E127" s="27" t="str">
        <x:v>Sampling, Bias and What We Can Infer</x:v>
      </x:c>
      <x:c r="F127" s="27" t="str">
        <x:v>Data &amp; Uncertainty</x:v>
      </x:c>
      <x:c r="G127" s="27" t="n">
        <x:v>2</x:v>
      </x:c>
      <x:c r="H127" s="27" t="str">
        <x:v>Core</x:v>
      </x:c>
      <x:c r="I127" s="27" t="str">
        <x:v>Build the idea: Recognise bias</x:v>
      </x:c>
      <x:c r="J127" s="27" t="str">
        <x:v>What does recognise bias mean before I use a procedure?</x:v>
      </x:c>
      <x:c r="K127" s="27" t="str">
        <x:v>recognise bias</x:v>
      </x:c>
      <x:c r="L127" s="27" t="str">
        <x:v>recognise bias</x:v>
      </x:c>
      <x:c r="M127" s="27" t="str">
        <x:v>plan a statistical enquiry</x:v>
      </x:c>
      <x:c r="N127" s="27" t="str"/>
      <x:c r="O127" s="27" t="str">
        <x:v>Connection</x:v>
      </x:c>
      <x:c r="P127" s="27" t="str">
        <x:v>Reflection, Creativity</x:v>
      </x:c>
      <x:c r="Q127" s="27" t="str">
        <x:v>Sampling Bias Simulator + Claim Critic</x:v>
      </x:c>
      <x:c r="R127" s="27" t="str">
        <x:v>Evidence Lab</x:v>
      </x:c>
      <x:c r="S127" s="27" t="str">
        <x:v>Blank</x:v>
      </x:c>
      <x:c r="T127" s="27" t="str">
        <x:v>Sampling, Bias and What We Can Infer – recognise bias</x:v>
      </x:c>
      <x:c r="U127" s="27" t="str">
        <x:v>Annotated representation of recognise bias</x:v>
      </x:c>
      <x:c r="V127" s="27" t="str">
        <x:v>Learner can recognise bias and give a reason or check.</x:v>
      </x:c>
      <x:c r="W127" s="27" t="str">
        <x:v>Connect 5 / Explore 20 / Create or Apply 12 / Reflect 8</x:v>
      </x:c>
      <x:c r="X127" s="27" t="str">
        <x:v>NC KS3; 4MA1 6.1-6.2</x:v>
      </x:c>
      <x:c r="Y127" s="27" t="str">
        <x:v>Moderate-High</x:v>
      </x:c>
      <x:c r="Z127" s="27" t="str">
        <x:v>Live, Asynchronous, Independent</x:v>
      </x:c>
      <x:c r="AA127" s="27" t="str">
        <x:v>Architecture mapped</x:v>
      </x:c>
      <x:c r="AB127" s="27" t="str">
        <x:v>Part of the canonical Y9 route. May pause or branch to a Reconnection lesson before returning.</x:v>
      </x:c>
    </x:row>
    <x:row r="128" ht="44" customHeight="1">
      <x:c r="A128" s="27" t="str">
        <x:v>NEO-MATH-Y9-125</x:v>
      </x:c>
      <x:c r="B128" s="27" t="n">
        <x:v>125</x:v>
      </x:c>
      <x:c r="C128" s="27" t="str">
        <x:v>NEO-MATH-Y9-09</x:v>
      </x:c>
      <x:c r="D128" s="27" t="n">
        <x:v>9</x:v>
      </x:c>
      <x:c r="E128" s="27" t="str">
        <x:v>Sampling, Bias and What We Can Infer</x:v>
      </x:c>
      <x:c r="F128" s="27" t="str">
        <x:v>Data &amp; Uncertainty</x:v>
      </x:c>
      <x:c r="G128" s="27" t="n">
        <x:v>3</x:v>
      </x:c>
      <x:c r="H128" s="27" t="str">
        <x:v>Reconnection</x:v>
      </x:c>
      <x:c r="I128" s="27" t="str">
        <x:v>Reconnection: Averages and range</x:v>
      </x:c>
      <x:c r="J128" s="27" t="str">
        <x:v>When is an average a fair summary?</x:v>
      </x:c>
      <x:c r="K128" s="27" t="str">
        <x:v>calculate and interpret mean, median, mode and range</x:v>
      </x:c>
      <x:c r="L128" s="27" t="str">
        <x:v>calculate and interpret mean, median, mode and range</x:v>
      </x:c>
      <x:c r="M128" s="27" t="str">
        <x:v>Branch triggered when calculate and interpret mean, median, mode and range is not yet secure enough for the current unit.</x:v>
      </x:c>
      <x:c r="N128" s="27" t="str">
        <x:v>REC-DAT-01</x:v>
      </x:c>
      <x:c r="O128" s="27" t="str">
        <x:v>Connection</x:v>
      </x:c>
      <x:c r="P128" s="27" t="str">
        <x:v>Reflection, Rest</x:v>
      </x:c>
      <x:c r="Q128" s="27" t="str">
        <x:v>Average as Fair-Share Simulator</x:v>
      </x:c>
      <x:c r="R128" s="27" t="str">
        <x:v>Evidence Lab</x:v>
      </x:c>
      <x:c r="S128" s="27" t="str">
        <x:v>Blank</x:v>
      </x:c>
      <x:c r="T128" s="27" t="str">
        <x:v>Averages and range targeted practice</x:v>
      </x:c>
      <x:c r="U128" s="27" t="str">
        <x:v>Short reconnection evidence: calculate and interpret mean, median, mode and range</x:v>
      </x:c>
      <x:c r="V128" s="27" t="str">
        <x:v>Learner can calculate and interpret mean, median, mode and range sufficiently to return to Sampling, Bias and What We Can Infer.</x:v>
      </x:c>
      <x:c r="W128" s="27" t="str">
        <x:v>Arrive 5 / Reconnect 20 / Test 10 / Return link 10</x:v>
      </x:c>
      <x:c r="X128" s="27" t="str">
        <x:v>NC KS3; 4MA1 6.1-6.2</x:v>
      </x:c>
      <x:c r="Y128" s="27" t="str">
        <x:v>Low-Moderate; targeted prerequisite repair</x:v>
      </x:c>
      <x:c r="Z128" s="27" t="str">
        <x:v>Live, Asynchronous, Independent</x:v>
      </x:c>
      <x:c r="AA128" s="27" t="str">
        <x:v>Architecture mapped</x:v>
      </x:c>
      <x:c r="AB128" s="27" t="str">
        <x:v>Not 'catch-up'. A targeted route from Year 7 learning that reconnects the learner to NEO-MATH-Y9-09.</x:v>
      </x:c>
    </x:row>
    <x:row r="129" ht="44" customHeight="1">
      <x:c r="A129" s="27" t="str">
        <x:v>NEO-MATH-Y9-126</x:v>
      </x:c>
      <x:c r="B129" s="27" t="n">
        <x:v>126</x:v>
      </x:c>
      <x:c r="C129" s="27" t="str">
        <x:v>NEO-MATH-Y9-09</x:v>
      </x:c>
      <x:c r="D129" s="27" t="n">
        <x:v>9</x:v>
      </x:c>
      <x:c r="E129" s="27" t="str">
        <x:v>Sampling, Bias and What We Can Infer</x:v>
      </x:c>
      <x:c r="F129" s="27" t="str">
        <x:v>Data &amp; Uncertainty</x:v>
      </x:c>
      <x:c r="G129" s="27" t="n">
        <x:v>3</x:v>
      </x:c>
      <x:c r="H129" s="27" t="str">
        <x:v>Core</x:v>
      </x:c>
      <x:c r="I129" s="27" t="str">
        <x:v>Represent it: Choose samples</x:v>
      </x:c>
      <x:c r="J129" s="27" t="str">
        <x:v>How can I show choose samples in more than one way?</x:v>
      </x:c>
      <x:c r="K129" s="27" t="str">
        <x:v>choose samples</x:v>
      </x:c>
      <x:c r="L129" s="27" t="str">
        <x:v>choose samples</x:v>
      </x:c>
      <x:c r="M129" s="27" t="str">
        <x:v>recognise bias</x:v>
      </x:c>
      <x:c r="N129" s="27" t="str"/>
      <x:c r="O129" s="27" t="str">
        <x:v>Connection</x:v>
      </x:c>
      <x:c r="P129" s="27" t="str">
        <x:v>Reflection, Creativity</x:v>
      </x:c>
      <x:c r="Q129" s="27" t="str">
        <x:v>Sampling Bias Simulator + Claim Critic</x:v>
      </x:c>
      <x:c r="R129" s="27" t="str">
        <x:v>Evidence Lab</x:v>
      </x:c>
      <x:c r="S129" s="27" t="str">
        <x:v>Blank</x:v>
      </x:c>
      <x:c r="T129" s="27" t="str">
        <x:v>Sampling, Bias and What We Can Infer – choose samples</x:v>
      </x:c>
      <x:c r="U129" s="27" t="str">
        <x:v>Annotated representation of choose samples</x:v>
      </x:c>
      <x:c r="V129" s="27" t="str">
        <x:v>Learner can choose samples and give a reason or check.</x:v>
      </x:c>
      <x:c r="W129" s="27" t="str">
        <x:v>Connect 5 / Explore 20 / Create or Apply 12 / Reflect 8</x:v>
      </x:c>
      <x:c r="X129" s="27" t="str">
        <x:v>NC KS3; 4MA1 6.1-6.2</x:v>
      </x:c>
      <x:c r="Y129" s="27" t="str">
        <x:v>Moderate-High</x:v>
      </x:c>
      <x:c r="Z129" s="27" t="str">
        <x:v>Live, Asynchronous, Independent</x:v>
      </x:c>
      <x:c r="AA129" s="27" t="str">
        <x:v>Architecture mapped</x:v>
      </x:c>
      <x:c r="AB129" s="27" t="str">
        <x:v>Part of the canonical Y9 route. May pause or branch to a Reconnection lesson before returning.</x:v>
      </x:c>
    </x:row>
    <x:row r="130" ht="44" customHeight="1">
      <x:c r="A130" s="27" t="str">
        <x:v>NEO-MATH-Y9-127</x:v>
      </x:c>
      <x:c r="B130" s="27" t="n">
        <x:v>127</x:v>
      </x:c>
      <x:c r="C130" s="27" t="str">
        <x:v>NEO-MATH-Y9-09</x:v>
      </x:c>
      <x:c r="D130" s="27" t="n">
        <x:v>9</x:v>
      </x:c>
      <x:c r="E130" s="27" t="str">
        <x:v>Sampling, Bias and What We Can Infer</x:v>
      </x:c>
      <x:c r="F130" s="27" t="str">
        <x:v>Data &amp; Uncertainty</x:v>
      </x:c>
      <x:c r="G130" s="27" t="n">
        <x:v>4</x:v>
      </x:c>
      <x:c r="H130" s="27" t="str">
        <x:v>Core</x:v>
      </x:c>
      <x:c r="I130" s="27" t="str">
        <x:v>Try one change: Group and represent data</x:v>
      </x:c>
      <x:c r="J130" s="27" t="str">
        <x:v>What changes when I adjust one part of group and represent data?</x:v>
      </x:c>
      <x:c r="K130" s="27" t="str">
        <x:v>group and represent data</x:v>
      </x:c>
      <x:c r="L130" s="27" t="str">
        <x:v>group and represent data</x:v>
      </x:c>
      <x:c r="M130" s="27" t="str">
        <x:v>choose samples</x:v>
      </x:c>
      <x:c r="N130" s="27" t="str"/>
      <x:c r="O130" s="27" t="str">
        <x:v>Connection</x:v>
      </x:c>
      <x:c r="P130" s="27" t="str">
        <x:v>Reflection, Creativity</x:v>
      </x:c>
      <x:c r="Q130" s="27" t="str">
        <x:v>Sampling Bias Simulator + Claim Critic</x:v>
      </x:c>
      <x:c r="R130" s="27" t="str">
        <x:v>Evidence Lab</x:v>
      </x:c>
      <x:c r="S130" s="27" t="str">
        <x:v>Blank</x:v>
      </x:c>
      <x:c r="T130" s="27" t="str">
        <x:v>Sampling, Bias and What We Can Infer – group and represent data</x:v>
      </x:c>
      <x:c r="U130" s="27" t="str">
        <x:v>Annotated representation of group and represent data</x:v>
      </x:c>
      <x:c r="V130" s="27" t="str">
        <x:v>Learner can group and represent data and give a reason or check.</x:v>
      </x:c>
      <x:c r="W130" s="27" t="str">
        <x:v>Connect 5 / Explore 20 / Create or Apply 12 / Reflect 8</x:v>
      </x:c>
      <x:c r="X130" s="27" t="str">
        <x:v>NC KS3; 4MA1 6.1-6.2</x:v>
      </x:c>
      <x:c r="Y130" s="27" t="str">
        <x:v>Moderate-High</x:v>
      </x:c>
      <x:c r="Z130" s="27" t="str">
        <x:v>Live, Asynchronous, Independent</x:v>
      </x:c>
      <x:c r="AA130" s="27" t="str">
        <x:v>Architecture mapped</x:v>
      </x:c>
      <x:c r="AB130" s="27" t="str">
        <x:v>Part of the canonical Y9 route. May pause or branch to a Reconnection lesson before returning.</x:v>
      </x:c>
    </x:row>
    <x:row r="131" ht="44" customHeight="1">
      <x:c r="A131" s="27" t="str">
        <x:v>NEO-MATH-Y9-128</x:v>
      </x:c>
      <x:c r="B131" s="27" t="n">
        <x:v>128</x:v>
      </x:c>
      <x:c r="C131" s="27" t="str">
        <x:v>NEO-MATH-Y9-09</x:v>
      </x:c>
      <x:c r="D131" s="27" t="n">
        <x:v>9</x:v>
      </x:c>
      <x:c r="E131" s="27" t="str">
        <x:v>Sampling, Bias and What We Can Infer</x:v>
      </x:c>
      <x:c r="F131" s="27" t="str">
        <x:v>Data &amp; Uncertainty</x:v>
      </x:c>
      <x:c r="G131" s="27" t="n">
        <x:v>5</x:v>
      </x:c>
      <x:c r="H131" s="27" t="str">
        <x:v>Core</x:v>
      </x:c>
      <x:c r="I131" s="27" t="str">
        <x:v>Connect ideas: Interpret scatter and correlation</x:v>
      </x:c>
      <x:c r="J131" s="27" t="str">
        <x:v>How does interpret scatter and correlation connect to the earlier relationship?</x:v>
      </x:c>
      <x:c r="K131" s="27" t="str">
        <x:v>interpret scatter and correlation</x:v>
      </x:c>
      <x:c r="L131" s="27" t="str">
        <x:v>interpret scatter and correlation</x:v>
      </x:c>
      <x:c r="M131" s="27" t="str">
        <x:v>group and represent data</x:v>
      </x:c>
      <x:c r="N131" s="27" t="str"/>
      <x:c r="O131" s="27" t="str">
        <x:v>Connection</x:v>
      </x:c>
      <x:c r="P131" s="27" t="str">
        <x:v>Reflection, Creativity</x:v>
      </x:c>
      <x:c r="Q131" s="27" t="str">
        <x:v>Sampling Bias Simulator + Claim Critic</x:v>
      </x:c>
      <x:c r="R131" s="27" t="str">
        <x:v>Evidence Lab</x:v>
      </x:c>
      <x:c r="S131" s="27" t="str">
        <x:v>Blank</x:v>
      </x:c>
      <x:c r="T131" s="27" t="str">
        <x:v>Sampling, Bias and What We Can Infer – interpret scatter and correlation</x:v>
      </x:c>
      <x:c r="U131" s="27" t="str">
        <x:v>Annotated representation of interpret scatter and correlation</x:v>
      </x:c>
      <x:c r="V131" s="27" t="str">
        <x:v>Learner can interpret scatter and correlation and give a reason or check.</x:v>
      </x:c>
      <x:c r="W131" s="27" t="str">
        <x:v>Connect 8 / Explore 20 / Notice 10 / Reflect 7</x:v>
      </x:c>
      <x:c r="X131" s="27" t="str">
        <x:v>NC KS3; 4MA1 6.1-6.2</x:v>
      </x:c>
      <x:c r="Y131" s="27" t="str">
        <x:v>Moderate-High</x:v>
      </x:c>
      <x:c r="Z131" s="27" t="str">
        <x:v>Live, Asynchronous, Independent</x:v>
      </x:c>
      <x:c r="AA131" s="27" t="str">
        <x:v>Architecture mapped</x:v>
      </x:c>
      <x:c r="AB131" s="27" t="str">
        <x:v>Part of the canonical Y9 route. May pause or branch to a Reconnection lesson before returning.</x:v>
      </x:c>
    </x:row>
    <x:row r="132" ht="44" customHeight="1">
      <x:c r="A132" s="27" t="str">
        <x:v>NEO-MATH-Y9-129</x:v>
      </x:c>
      <x:c r="B132" s="27" t="n">
        <x:v>129</x:v>
      </x:c>
      <x:c r="C132" s="27" t="str">
        <x:v>NEO-MATH-Y9-09</x:v>
      </x:c>
      <x:c r="D132" s="27" t="n">
        <x:v>9</x:v>
      </x:c>
      <x:c r="E132" s="27" t="str">
        <x:v>Sampling, Bias and What We Can Infer</x:v>
      </x:c>
      <x:c r="F132" s="27" t="str">
        <x:v>Data &amp; Uncertainty</x:v>
      </x:c>
      <x:c r="G132" s="27" t="n">
        <x:v>7</x:v>
      </x:c>
      <x:c r="H132" s="27" t="str">
        <x:v>Reconnection</x:v>
      </x:c>
      <x:c r="I132" s="27" t="str">
        <x:v>Reconnection: Comparing distributions</x:v>
      </x:c>
      <x:c r="J132" s="27" t="str">
        <x:v>Can one average speak for a whole group?</x:v>
      </x:c>
      <x:c r="K132" s="27" t="str">
        <x:v>compare centre and spread</x:v>
      </x:c>
      <x:c r="L132" s="27" t="str">
        <x:v>compare centre and spread</x:v>
      </x:c>
      <x:c r="M132" s="27" t="str">
        <x:v>Branch triggered when compare centre and spread is not yet secure enough for the current unit.</x:v>
      </x:c>
      <x:c r="N132" s="27" t="str">
        <x:v>REC-DAT-02</x:v>
      </x:c>
      <x:c r="O132" s="27" t="str">
        <x:v>Connection</x:v>
      </x:c>
      <x:c r="P132" s="27" t="str">
        <x:v>Reflection, Rest</x:v>
      </x:c>
      <x:c r="Q132" s="27" t="str">
        <x:v>Data Claim Comparator</x:v>
      </x:c>
      <x:c r="R132" s="27" t="str">
        <x:v>Evidence Lab</x:v>
      </x:c>
      <x:c r="S132" s="27" t="str">
        <x:v>Blank</x:v>
      </x:c>
      <x:c r="T132" s="27" t="str">
        <x:v>Comparing distributions targeted practice</x:v>
      </x:c>
      <x:c r="U132" s="27" t="str">
        <x:v>Short reconnection evidence: compare centre and spread</x:v>
      </x:c>
      <x:c r="V132" s="27" t="str">
        <x:v>Learner can compare centre and spread sufficiently to return to Sampling, Bias and What We Can Infer.</x:v>
      </x:c>
      <x:c r="W132" s="27" t="str">
        <x:v>Arrive 5 / Reconnect 20 / Test 10 / Return link 10</x:v>
      </x:c>
      <x:c r="X132" s="27" t="str">
        <x:v>NC KS3; 4MA1 6.1-6.2</x:v>
      </x:c>
      <x:c r="Y132" s="27" t="str">
        <x:v>Low-Moderate; targeted prerequisite repair</x:v>
      </x:c>
      <x:c r="Z132" s="27" t="str">
        <x:v>Live, Asynchronous, Independent</x:v>
      </x:c>
      <x:c r="AA132" s="27" t="str">
        <x:v>Architecture mapped</x:v>
      </x:c>
      <x:c r="AB132" s="27" t="str">
        <x:v>Not 'catch-up'. A targeted route from Year 8 learning that reconnects the learner to NEO-MATH-Y9-09.</x:v>
      </x:c>
    </x:row>
    <x:row r="133" ht="44" customHeight="1">
      <x:c r="A133" s="27" t="str">
        <x:v>NEO-MATH-Y9-130</x:v>
      </x:c>
      <x:c r="B133" s="27" t="n">
        <x:v>130</x:v>
      </x:c>
      <x:c r="C133" s="27" t="str">
        <x:v>NEO-MATH-Y9-09</x:v>
      </x:c>
      <x:c r="D133" s="27" t="n">
        <x:v>9</x:v>
      </x:c>
      <x:c r="E133" s="27" t="str">
        <x:v>Sampling, Bias and What We Can Infer</x:v>
      </x:c>
      <x:c r="F133" s="27" t="str">
        <x:v>Data &amp; Uncertainty</x:v>
      </x:c>
      <x:c r="G133" s="27" t="n">
        <x:v>6</x:v>
      </x:c>
      <x:c r="H133" s="27" t="str">
        <x:v>Core</x:v>
      </x:c>
      <x:c r="I133" s="27" t="str">
        <x:v>Repair a misconception: Critique inference</x:v>
      </x:c>
      <x:c r="J133" s="27" t="str">
        <x:v>What tempting mistake can critique inference create?</x:v>
      </x:c>
      <x:c r="K133" s="27" t="str">
        <x:v>critique inference</x:v>
      </x:c>
      <x:c r="L133" s="27" t="str">
        <x:v>critique inference</x:v>
      </x:c>
      <x:c r="M133" s="27" t="str">
        <x:v>interpret scatter and correlation</x:v>
      </x:c>
      <x:c r="N133" s="27" t="str"/>
      <x:c r="O133" s="27" t="str">
        <x:v>Connection</x:v>
      </x:c>
      <x:c r="P133" s="27" t="str">
        <x:v>Reflection, Creativity</x:v>
      </x:c>
      <x:c r="Q133" s="27" t="str">
        <x:v>Sampling Bias Simulator + Claim Critic</x:v>
      </x:c>
      <x:c r="R133" s="27" t="str">
        <x:v>Evidence Lab</x:v>
      </x:c>
      <x:c r="S133" s="27" t="str">
        <x:v>Blank</x:v>
      </x:c>
      <x:c r="T133" s="27" t="str">
        <x:v>Sampling, Bias and What We Can Infer – critique inference</x:v>
      </x:c>
      <x:c r="U133" s="27" t="str">
        <x:v>Corrected misconception note: critique inference</x:v>
      </x:c>
      <x:c r="V133" s="27" t="str">
        <x:v>Learner can critique inference and give a reason or check.</x:v>
      </x:c>
      <x:c r="W133" s="27" t="str">
        <x:v>Connect 5 / Explore 20 / Create or Apply 12 / Reflect 8</x:v>
      </x:c>
      <x:c r="X133" s="27" t="str">
        <x:v>NC KS3; 4MA1 6.1-6.2</x:v>
      </x:c>
      <x:c r="Y133" s="27" t="str">
        <x:v>Moderate-High</x:v>
      </x:c>
      <x:c r="Z133" s="27" t="str">
        <x:v>Live, Asynchronous, Independent</x:v>
      </x:c>
      <x:c r="AA133" s="27" t="str">
        <x:v>Architecture mapped</x:v>
      </x:c>
      <x:c r="AB133" s="27" t="str">
        <x:v>Part of the canonical Y9 route. May pause or branch to a Reconnection lesson before returning.</x:v>
      </x:c>
    </x:row>
    <x:row r="134" ht="44" customHeight="1">
      <x:c r="A134" s="27" t="str">
        <x:v>NEO-MATH-Y9-131</x:v>
      </x:c>
      <x:c r="B134" s="27" t="n">
        <x:v>131</x:v>
      </x:c>
      <x:c r="C134" s="27" t="str">
        <x:v>NEO-MATH-Y9-09</x:v>
      </x:c>
      <x:c r="D134" s="27" t="n">
        <x:v>9</x:v>
      </x:c>
      <x:c r="E134" s="27" t="str">
        <x:v>Sampling, Bias and What We Can Infer</x:v>
      </x:c>
      <x:c r="F134" s="27" t="str">
        <x:v>Data &amp; Uncertainty</x:v>
      </x:c>
      <x:c r="G134" s="27" t="n">
        <x:v>7</x:v>
      </x:c>
      <x:c r="H134" s="27" t="str">
        <x:v>Core</x:v>
      </x:c>
      <x:c r="I134" s="27" t="str">
        <x:v>Apply in context: Plan a statistical enquiry</x:v>
      </x:c>
      <x:c r="J134" s="27" t="str">
        <x:v>Where might plan a statistical enquiry help with a real decision?</x:v>
      </x:c>
      <x:c r="K134" s="27" t="str">
        <x:v>plan a statistical enquiry</x:v>
      </x:c>
      <x:c r="L134" s="27" t="str">
        <x:v>plan a statistical enquiry</x:v>
      </x:c>
      <x:c r="M134" s="27" t="str">
        <x:v>critique inference</x:v>
      </x:c>
      <x:c r="N134" s="27" t="str"/>
      <x:c r="O134" s="27" t="str">
        <x:v>Connection</x:v>
      </x:c>
      <x:c r="P134" s="27" t="str">
        <x:v>Reflection, Creativity</x:v>
      </x:c>
      <x:c r="Q134" s="27" t="str">
        <x:v>Sampling Bias Simulator + Claim Critic</x:v>
      </x:c>
      <x:c r="R134" s="27" t="str">
        <x:v>Evidence Lab</x:v>
      </x:c>
      <x:c r="S134" s="27" t="str">
        <x:v>Blank</x:v>
      </x:c>
      <x:c r="T134" s="27" t="str">
        <x:v>Sampling, Bias and What We Can Infer – plan a statistical enquiry</x:v>
      </x:c>
      <x:c r="U134" s="27" t="str">
        <x:v>Short contextual application of plan a statistical enquiry</x:v>
      </x:c>
      <x:c r="V134" s="27" t="str">
        <x:v>Learner can plan a statistical enquiry and give a reason or check.</x:v>
      </x:c>
      <x:c r="W134" s="27" t="str">
        <x:v>Connect 5 / Explore 20 / Create or Apply 12 / Reflect 8</x:v>
      </x:c>
      <x:c r="X134" s="27" t="str">
        <x:v>NC KS3; 4MA1 6.1-6.2</x:v>
      </x:c>
      <x:c r="Y134" s="27" t="str">
        <x:v>Moderate-High</x:v>
      </x:c>
      <x:c r="Z134" s="27" t="str">
        <x:v>Live, Asynchronous, Independent</x:v>
      </x:c>
      <x:c r="AA134" s="27" t="str">
        <x:v>Architecture mapped</x:v>
      </x:c>
      <x:c r="AB134" s="27" t="str">
        <x:v>Part of the canonical Y9 route. May pause or branch to a Reconnection lesson before returning.</x:v>
      </x:c>
    </x:row>
    <x:row r="135" ht="44" customHeight="1">
      <x:c r="A135" s="27" t="str">
        <x:v>NEO-MATH-Y9-132</x:v>
      </x:c>
      <x:c r="B135" s="27" t="n">
        <x:v>132</x:v>
      </x:c>
      <x:c r="C135" s="27" t="str">
        <x:v>NEO-MATH-Y9-09</x:v>
      </x:c>
      <x:c r="D135" s="27" t="n">
        <x:v>9</x:v>
      </x:c>
      <x:c r="E135" s="27" t="str">
        <x:v>Sampling, Bias and What We Can Infer</x:v>
      </x:c>
      <x:c r="F135" s="27" t="str">
        <x:v>Data &amp; Uncertainty</x:v>
      </x:c>
      <x:c r="G135" s="27" t="n">
        <x:v>8</x:v>
      </x:c>
      <x:c r="H135" s="27" t="str">
        <x:v>Core</x:v>
      </x:c>
      <x:c r="I135" s="27" t="str">
        <x:v>Model and test: Recognise bias</x:v>
      </x:c>
      <x:c r="J135" s="27" t="str">
        <x:v>Can I build a model using recognise bias and test it?</x:v>
      </x:c>
      <x:c r="K135" s="27" t="str">
        <x:v>recognise bias</x:v>
      </x:c>
      <x:c r="L135" s="27" t="str">
        <x:v>recognise bias</x:v>
      </x:c>
      <x:c r="M135" s="27" t="str">
        <x:v>plan a statistical enquiry</x:v>
      </x:c>
      <x:c r="N135" s="27" t="str"/>
      <x:c r="O135" s="27" t="str">
        <x:v>Connection</x:v>
      </x:c>
      <x:c r="P135" s="27" t="str">
        <x:v>Reflection, Creativity</x:v>
      </x:c>
      <x:c r="Q135" s="27" t="str">
        <x:v>Sampling Bias Simulator + Claim Critic</x:v>
      </x:c>
      <x:c r="R135" s="27" t="str">
        <x:v>Evidence Lab</x:v>
      </x:c>
      <x:c r="S135" s="27" t="str">
        <x:v>Blank</x:v>
      </x:c>
      <x:c r="T135" s="27" t="str">
        <x:v>Sampling, Bias and What We Can Infer – recognise bias</x:v>
      </x:c>
      <x:c r="U135" s="27" t="str">
        <x:v>Tested model using recognise bias</x:v>
      </x:c>
      <x:c r="V135" s="27" t="str">
        <x:v>Learner can recognise bias and give a reason or check.</x:v>
      </x:c>
      <x:c r="W135" s="27" t="str">
        <x:v>Connect 5 / Explore 20 / Create or Apply 12 / Reflect 8</x:v>
      </x:c>
      <x:c r="X135" s="27" t="str">
        <x:v>NC KS3; 4MA1 6.1-6.2</x:v>
      </x:c>
      <x:c r="Y135" s="27" t="str">
        <x:v>Moderate-High</x:v>
      </x:c>
      <x:c r="Z135" s="27" t="str">
        <x:v>Live, Asynchronous, Independent</x:v>
      </x:c>
      <x:c r="AA135" s="27" t="str">
        <x:v>Architecture mapped</x:v>
      </x:c>
      <x:c r="AB135" s="27" t="str">
        <x:v>Part of the canonical Y9 route. May pause or branch to a Reconnection lesson before returning.</x:v>
      </x:c>
    </x:row>
    <x:row r="136" ht="44" customHeight="1">
      <x:c r="A136" s="27" t="str">
        <x:v>NEO-MATH-Y9-133</x:v>
      </x:c>
      <x:c r="B136" s="27" t="n">
        <x:v>133</x:v>
      </x:c>
      <x:c r="C136" s="27" t="str">
        <x:v>NEO-MATH-Y9-09</x:v>
      </x:c>
      <x:c r="D136" s="27" t="n">
        <x:v>9</x:v>
      </x:c>
      <x:c r="E136" s="27" t="str">
        <x:v>Sampling, Bias and What We Can Infer</x:v>
      </x:c>
      <x:c r="F136" s="27" t="str">
        <x:v>Data &amp; Uncertainty</x:v>
      </x:c>
      <x:c r="G136" s="27" t="n">
        <x:v>9</x:v>
      </x:c>
      <x:c r="H136" s="27" t="str">
        <x:v>Core</x:v>
      </x:c>
      <x:c r="I136" s="27" t="str">
        <x:v>Compare strategies: Choose samples</x:v>
      </x:c>
      <x:c r="J136" s="27" t="str">
        <x:v>Which route through choose samples is clearest or most efficient?</x:v>
      </x:c>
      <x:c r="K136" s="27" t="str">
        <x:v>choose samples</x:v>
      </x:c>
      <x:c r="L136" s="27" t="str">
        <x:v>choose samples</x:v>
      </x:c>
      <x:c r="M136" s="27" t="str">
        <x:v>recognise bias</x:v>
      </x:c>
      <x:c r="N136" s="27" t="str"/>
      <x:c r="O136" s="27" t="str">
        <x:v>Connection</x:v>
      </x:c>
      <x:c r="P136" s="27" t="str">
        <x:v>Reflection, Creativity</x:v>
      </x:c>
      <x:c r="Q136" s="27" t="str">
        <x:v>Sampling Bias Simulator + Claim Critic</x:v>
      </x:c>
      <x:c r="R136" s="27" t="str">
        <x:v>Evidence Lab</x:v>
      </x:c>
      <x:c r="S136" s="27" t="str">
        <x:v>Blank</x:v>
      </x:c>
      <x:c r="T136" s="27" t="str">
        <x:v>Sampling, Bias and What We Can Infer – choose samples</x:v>
      </x:c>
      <x:c r="U136" s="27" t="str">
        <x:v>Two-route comparison for choose samples</x:v>
      </x:c>
      <x:c r="V136" s="27" t="str">
        <x:v>Learner can choose samples and give a reason or check.</x:v>
      </x:c>
      <x:c r="W136" s="27" t="str">
        <x:v>Connect 5 / Explore 20 / Create or Apply 12 / Reflect 8</x:v>
      </x:c>
      <x:c r="X136" s="27" t="str">
        <x:v>NC KS3; 4MA1 6.1-6.2</x:v>
      </x:c>
      <x:c r="Y136" s="27" t="str">
        <x:v>Moderate-High</x:v>
      </x:c>
      <x:c r="Z136" s="27" t="str">
        <x:v>Live, Asynchronous, Independent</x:v>
      </x:c>
      <x:c r="AA136" s="27" t="str">
        <x:v>Architecture mapped</x:v>
      </x:c>
      <x:c r="AB136" s="27" t="str">
        <x:v>Part of the canonical Y9 route. May pause or branch to a Reconnection lesson before returning.</x:v>
      </x:c>
    </x:row>
    <x:row r="137" ht="44" customHeight="1">
      <x:c r="A137" s="27" t="str">
        <x:v>NEO-MATH-Y9-134</x:v>
      </x:c>
      <x:c r="B137" s="27" t="n">
        <x:v>134</x:v>
      </x:c>
      <x:c r="C137" s="27" t="str">
        <x:v>NEO-MATH-Y9-09</x:v>
      </x:c>
      <x:c r="D137" s="27" t="n">
        <x:v>9</x:v>
      </x:c>
      <x:c r="E137" s="27" t="str">
        <x:v>Sampling, Bias and What We Can Infer</x:v>
      </x:c>
      <x:c r="F137" s="27" t="str">
        <x:v>Data &amp; Uncertainty</x:v>
      </x:c>
      <x:c r="G137" s="27" t="n">
        <x:v>10</x:v>
      </x:c>
      <x:c r="H137" s="27" t="str">
        <x:v>Core</x:v>
      </x:c>
      <x:c r="I137" s="27" t="str">
        <x:v>Practice with choice: Group and represent data</x:v>
      </x:c>
      <x:c r="J137" s="27" t="str">
        <x:v>Can I use group and represent data without being told the method?</x:v>
      </x:c>
      <x:c r="K137" s="27" t="str">
        <x:v>group and represent data</x:v>
      </x:c>
      <x:c r="L137" s="27" t="str">
        <x:v>group and represent data</x:v>
      </x:c>
      <x:c r="M137" s="27" t="str">
        <x:v>choose samples</x:v>
      </x:c>
      <x:c r="N137" s="27" t="str"/>
      <x:c r="O137" s="27" t="str">
        <x:v>Connection</x:v>
      </x:c>
      <x:c r="P137" s="27" t="str">
        <x:v>Reflection, Creativity</x:v>
      </x:c>
      <x:c r="Q137" s="27" t="str">
        <x:v>Sampling Bias Simulator + Claim Critic</x:v>
      </x:c>
      <x:c r="R137" s="27" t="str">
        <x:v>Evidence Lab</x:v>
      </x:c>
      <x:c r="S137" s="27" t="str">
        <x:v>Blank</x:v>
      </x:c>
      <x:c r="T137" s="27" t="str">
        <x:v>Sampling, Bias and What We Can Infer – group and represent data</x:v>
      </x:c>
      <x:c r="U137" s="27" t="str">
        <x:v>Practice Companion evidence for group and represent data</x:v>
      </x:c>
      <x:c r="V137" s="27" t="str">
        <x:v>Learner can group and represent data and give a reason or check.</x:v>
      </x:c>
      <x:c r="W137" s="27" t="str">
        <x:v>Reconnect 5 / Practice 25 / Check 10 / Reflect 5</x:v>
      </x:c>
      <x:c r="X137" s="27" t="str">
        <x:v>NC KS3; 4MA1 6.1-6.2</x:v>
      </x:c>
      <x:c r="Y137" s="27" t="str">
        <x:v>Moderate-High</x:v>
      </x:c>
      <x:c r="Z137" s="27" t="str">
        <x:v>Live, Asynchronous, Independent</x:v>
      </x:c>
      <x:c r="AA137" s="27" t="str">
        <x:v>Architecture mapped</x:v>
      </x:c>
      <x:c r="AB137" s="27" t="str">
        <x:v>Part of the canonical Y9 route. May pause or branch to a Reconnection lesson before returning.</x:v>
      </x:c>
    </x:row>
    <x:row r="138" ht="44" customHeight="1">
      <x:c r="A138" s="27" t="str">
        <x:v>NEO-MATH-Y9-135</x:v>
      </x:c>
      <x:c r="B138" s="27" t="n">
        <x:v>135</x:v>
      </x:c>
      <x:c r="C138" s="27" t="str">
        <x:v>NEO-MATH-Y9-09</x:v>
      </x:c>
      <x:c r="D138" s="27" t="n">
        <x:v>9</x:v>
      </x:c>
      <x:c r="E138" s="27" t="str">
        <x:v>Sampling, Bias and What We Can Infer</x:v>
      </x:c>
      <x:c r="F138" s="27" t="str">
        <x:v>Data &amp; Uncertainty</x:v>
      </x:c>
      <x:c r="G138" s="27" t="n">
        <x:v>11</x:v>
      </x:c>
      <x:c r="H138" s="27" t="str">
        <x:v>Core</x:v>
      </x:c>
      <x:c r="I138" s="27" t="str">
        <x:v>Mastery checkpoint: Interpret scatter and correlation</x:v>
      </x:c>
      <x:c r="J138" s="27" t="str">
        <x:v>What can I now explain, apply and check about interpret scatter and correlation?</x:v>
      </x:c>
      <x:c r="K138" s="27" t="str">
        <x:v>interpret scatter and correlation</x:v>
      </x:c>
      <x:c r="L138" s="27" t="str">
        <x:v>interpret scatter and correlation</x:v>
      </x:c>
      <x:c r="M138" s="27" t="str">
        <x:v>group and represent data</x:v>
      </x:c>
      <x:c r="N138" s="27" t="str"/>
      <x:c r="O138" s="27" t="str">
        <x:v>Connection</x:v>
      </x:c>
      <x:c r="P138" s="27" t="str">
        <x:v>Reflection, Creativity</x:v>
      </x:c>
      <x:c r="Q138" s="27" t="str">
        <x:v>Sampling Bias Simulator + Claim Critic</x:v>
      </x:c>
      <x:c r="R138" s="27" t="str">
        <x:v>Evidence Lab</x:v>
      </x:c>
      <x:c r="S138" s="27" t="str">
        <x:v>Blank</x:v>
      </x:c>
      <x:c r="T138" s="27" t="str">
        <x:v>Sampling, Bias and What We Can Infer – interpret scatter and correlation</x:v>
      </x:c>
      <x:c r="U138" s="27" t="str">
        <x:v>Data Justice Investigation</x:v>
      </x:c>
      <x:c r="V138" s="27" t="str">
        <x:v>Learner can interpret scatter and correlation and give a reason or check.</x:v>
      </x:c>
      <x:c r="W138" s="27" t="str">
        <x:v>Settle 5 / Choose evidence 25 / Mastery check 10 / Reflect 5</x:v>
      </x:c>
      <x:c r="X138" s="27" t="str">
        <x:v>NC KS3; 4MA1 6.1-6.2</x:v>
      </x:c>
      <x:c r="Y138" s="27" t="str">
        <x:v>Moderate-High</x:v>
      </x:c>
      <x:c r="Z138" s="27" t="str">
        <x:v>Live, Asynchronous, Independent</x:v>
      </x:c>
      <x:c r="AA138" s="27" t="str">
        <x:v>Architecture mapped</x:v>
      </x:c>
      <x:c r="AB138" s="27" t="str">
        <x:v>Part of the canonical Y9 route. May pause or branch to a Reconnection lesson before returning.</x:v>
      </x:c>
    </x:row>
    <x:row r="139" ht="44" customHeight="1">
      <x:c r="A139" s="27" t="str">
        <x:v>NEO-MATH-Y9-136</x:v>
      </x:c>
      <x:c r="B139" s="27" t="n">
        <x:v>136</x:v>
      </x:c>
      <x:c r="C139" s="27" t="str">
        <x:v>NEO-MATH-Y9-09</x:v>
      </x:c>
      <x:c r="D139" s="27" t="n">
        <x:v>9</x:v>
      </x:c>
      <x:c r="E139" s="27" t="str">
        <x:v>Sampling, Bias and What We Can Infer</x:v>
      </x:c>
      <x:c r="F139" s="27" t="str">
        <x:v>Data &amp; Uncertainty</x:v>
      </x:c>
      <x:c r="G139" s="27" t="n">
        <x:v>14</x:v>
      </x:c>
      <x:c r="H139" s="27" t="str">
        <x:v>Consolidation / Mastery</x:v>
      </x:c>
      <x:c r="I139" s="27" t="str">
        <x:v>Pause, connect and strengthen: Sampling, Bias and What We Can Infer</x:v>
      </x:c>
      <x:c r="J139" s="27" t="str">
        <x:v>Which connection in this unit is now stronger—and which one needs another route?</x:v>
      </x:c>
      <x:c r="K139" s="27" t="str">
        <x:v>review, connect and select evidence across the unit</x:v>
      </x:c>
      <x:c r="L139" s="27" t="str">
        <x:v>unit-level synthesis and self-regulated mathematical learning</x:v>
      </x:c>
      <x:c r="M139" s="27" t="str">
        <x:v>completion of selected core sessions or equivalent evidence</x:v>
      </x:c>
      <x:c r="N139" s="27" t="str">
        <x:v>learner-specific; choose from linked Reconnection Bank</x:v>
      </x:c>
      <x:c r="O139" s="27" t="str">
        <x:v>Reflection</x:v>
      </x:c>
      <x:c r="P139" s="27" t="str">
        <x:v>Rest, Connection</x:v>
      </x:c>
      <x:c r="Q139" s="27" t="str">
        <x:v>Mastery Pathway Review</x:v>
      </x:c>
      <x:c r="R139" s="27" t="str">
        <x:v>Navigation Tool</x:v>
      </x:c>
      <x:c r="S139" s="27" t="str">
        <x:v>Blank</x:v>
      </x:c>
      <x:c r="T139" s="27" t="str">
        <x:v>learner-selected questions from the unit</x:v>
      </x:c>
      <x:c r="U139" s="27" t="str">
        <x:v>Mastery reflection plus one selected piece of unit evidence</x:v>
      </x:c>
      <x:c r="V139" s="27" t="str">
        <x:v>Learner identifies current Emerging / Developing / Secure / Mastering evidence and a useful next step.</x:v>
      </x:c>
      <x:c r="W139" s="27" t="str">
        <x:v>Settle 5 / Review 10 / Strengthen 15 / Evidence 10 / Next step 5</x:v>
      </x:c>
      <x:c r="X139" s="27" t="str">
        <x:v>NC KS3; 4MA1 6.1-6.2</x:v>
      </x:c>
      <x:c r="Y139" s="27" t="str">
        <x:v>Low-Moderate; learner choice and reduced visual field</x:v>
      </x:c>
      <x:c r="Z139" s="27" t="str">
        <x:v>Live, Asynchronous, Independent</x:v>
      </x:c>
      <x:c r="AA139" s="27" t="str">
        <x:v>Architecture mapped</x:v>
      </x:c>
      <x:c r="AB139" s="27" t="str">
        <x:v>Designed breathing space. May become a return session after absence, a Practice Companion session, or a portfolio checkpoint.</x:v>
      </x:c>
    </x:row>
    <x:row r="140" ht="44" customHeight="1">
      <x:c r="A140" s="27" t="str">
        <x:v>NEO-MATH-Y9-137</x:v>
      </x:c>
      <x:c r="B140" s="27" t="n">
        <x:v>137</x:v>
      </x:c>
      <x:c r="C140" s="27" t="str">
        <x:v>NEO-MATH-Y9-09</x:v>
      </x:c>
      <x:c r="D140" s="27" t="n">
        <x:v>9</x:v>
      </x:c>
      <x:c r="E140" s="27" t="str">
        <x:v>Sampling, Bias and What We Can Infer</x:v>
      </x:c>
      <x:c r="F140" s="27" t="str">
        <x:v>Data &amp; Uncertainty</x:v>
      </x:c>
      <x:c r="G140" s="27" t="n">
        <x:v>15</x:v>
      </x:c>
      <x:c r="H140" s="27" t="str">
        <x:v>Extension / Portfolio</x:v>
      </x:c>
      <x:c r="I140" s="27" t="str">
        <x:v>Open inquiry: Data Justice Investigation</x:v>
      </x:c>
      <x:c r="J140" s="27" t="str">
        <x:v>How far can I take critique inference when I choose the model or context?</x:v>
      </x:c>
      <x:c r="K140" s="27" t="str">
        <x:v>generalise and apply critique inference in a learner-selected or unfamiliar context</x:v>
      </x:c>
      <x:c r="L140" s="27" t="str">
        <x:v>critique inference</x:v>
      </x:c>
      <x:c r="M140" s="27" t="str">
        <x:v>Secure evidence in at least one central unit relationship</x:v>
      </x:c>
      <x:c r="N140" s="27" t="str"/>
      <x:c r="O140" s="27" t="str">
        <x:v>Creativity</x:v>
      </x:c>
      <x:c r="P140" s="27" t="str">
        <x:v>Connection, Reflection</x:v>
      </x:c>
      <x:c r="Q140" s="27" t="str">
        <x:v>Sampling Bias Simulator + Claim Critic</x:v>
      </x:c>
      <x:c r="R140" s="27" t="str">
        <x:v>Evidence Lab</x:v>
      </x:c>
      <x:c r="S140" s="27" t="str">
        <x:v>Blank</x:v>
      </x:c>
      <x:c r="T140" s="27" t="str">
        <x:v>optional stretch / unfamiliar-context questions</x:v>
      </x:c>
      <x:c r="U140" s="27" t="str">
        <x:v>Data Justice Investigation</x:v>
      </x:c>
      <x:c r="V140" s="27" t="str">
        <x:v>Learner generalises critique inference, tests assumptions and communicates a defensible conclusion.</x:v>
      </x:c>
      <x:c r="W140" s="27" t="str">
        <x:v>Choose 5 / Conjecture 10 / Build or test 20 / Reflect 10</x:v>
      </x:c>
      <x:c r="X140" s="27" t="str">
        <x:v>NC KS3; 4MA1 6.1-6.2</x:v>
      </x:c>
      <x:c r="Y140" s="27" t="str">
        <x:v>Moderate-High</x:v>
      </x:c>
      <x:c r="Z140" s="27" t="str">
        <x:v>Live, Asynchronous, Independent</x:v>
      </x:c>
      <x:c r="AA140" s="27" t="str">
        <x:v>Architecture mapped</x:v>
      </x:c>
      <x:c r="AB140" s="27" t="str">
        <x:v>High-ceiling optional route. Can replace repeated practice where Secure evidence is already present.</x:v>
      </x:c>
    </x:row>
    <x:row r="141" ht="44" customHeight="1">
      <x:c r="A141" s="27" t="str">
        <x:v>NEO-MATH-Y9-138</x:v>
      </x:c>
      <x:c r="B141" s="27" t="n">
        <x:v>138</x:v>
      </x:c>
      <x:c r="C141" s="27" t="str">
        <x:v>NEO-MATH-Y9-10</x:v>
      </x:c>
      <x:c r="D141" s="27" t="n">
        <x:v>10</x:v>
      </x:c>
      <x:c r="E141" s="27" t="str">
        <x:v>Probability Trees and Conditional Change</x:v>
      </x:c>
      <x:c r="F141" s="27" t="str">
        <x:v>Data &amp; Uncertainty</x:v>
      </x:c>
      <x:c r="G141" s="27" t="n">
        <x:v>1</x:v>
      </x:c>
      <x:c r="H141" s="27" t="str">
        <x:v>Core</x:v>
      </x:c>
      <x:c r="I141" s="27" t="str">
        <x:v>Connect &amp; notice: Use Venn diagrams and set language</x:v>
      </x:c>
      <x:c r="J141" s="27" t="str">
        <x:v>What do I already notice about use Venn diagrams and set language?</x:v>
      </x:c>
      <x:c r="K141" s="27" t="str">
        <x:v>use Venn diagrams and set language</x:v>
      </x:c>
      <x:c r="L141" s="27" t="str">
        <x:v>use Venn diagrams and set language</x:v>
      </x:c>
      <x:c r="M141" s="27" t="str">
        <x:v>learner entry knowledge and representation confidence</x:v>
      </x:c>
      <x:c r="N141" s="27" t="str"/>
      <x:c r="O141" s="27" t="str">
        <x:v>Movement</x:v>
      </x:c>
      <x:c r="P141" s="27" t="str">
        <x:v>Reflection, Connection</x:v>
      </x:c>
      <x:c r="Q141" s="27" t="str">
        <x:v>Dynamic Probability Tree</x:v>
      </x:c>
      <x:c r="R141" s="27" t="str">
        <x:v>Evidence Lab</x:v>
      </x:c>
      <x:c r="S141" s="27" t="str">
        <x:v>Blank</x:v>
      </x:c>
      <x:c r="T141" s="27" t="str">
        <x:v>Probability Trees and Conditional Change – use Venn diagrams and set language</x:v>
      </x:c>
      <x:c r="U141" s="27" t="str">
        <x:v>Scratchpad prediction or notice about use Venn diagrams and set language</x:v>
      </x:c>
      <x:c r="V141" s="27" t="str">
        <x:v>Learner can use Venn diagrams and set language and give a reason or check.</x:v>
      </x:c>
      <x:c r="W141" s="27" t="str">
        <x:v>Connect 8 / Explore 20 / Notice 10 / Reflect 7</x:v>
      </x:c>
      <x:c r="X141" s="27" t="str">
        <x:v>NC KS3; 4MA1 1.5, 7.1</x:v>
      </x:c>
      <x:c r="Y141" s="27" t="str">
        <x:v>High; branch reveal</x:v>
      </x:c>
      <x:c r="Z141" s="27" t="str">
        <x:v>Live, Asynchronous, Independent</x:v>
      </x:c>
      <x:c r="AA141" s="27" t="str">
        <x:v>Architecture mapped</x:v>
      </x:c>
      <x:c r="AB141" s="27" t="str">
        <x:v>Part of the canonical Y9 route. May pause or branch to a Reconnection lesson before returning.</x:v>
      </x:c>
    </x:row>
    <x:row r="142" ht="44" customHeight="1">
      <x:c r="A142" s="27" t="str">
        <x:v>NEO-MATH-Y9-139</x:v>
      </x:c>
      <x:c r="B142" s="27" t="n">
        <x:v>139</x:v>
      </x:c>
      <x:c r="C142" s="27" t="str">
        <x:v>NEO-MATH-Y9-10</x:v>
      </x:c>
      <x:c r="D142" s="27" t="n">
        <x:v>10</x:v>
      </x:c>
      <x:c r="E142" s="27" t="str">
        <x:v>Probability Trees and Conditional Change</x:v>
      </x:c>
      <x:c r="F142" s="27" t="str">
        <x:v>Data &amp; Uncertainty</x:v>
      </x:c>
      <x:c r="G142" s="27" t="n">
        <x:v>2</x:v>
      </x:c>
      <x:c r="H142" s="27" t="str">
        <x:v>Core</x:v>
      </x:c>
      <x:c r="I142" s="27" t="str">
        <x:v>Build the idea: Build tree diagrams</x:v>
      </x:c>
      <x:c r="J142" s="27" t="str">
        <x:v>What does build tree diagrams mean before I use a procedure?</x:v>
      </x:c>
      <x:c r="K142" s="27" t="str">
        <x:v>build tree diagrams</x:v>
      </x:c>
      <x:c r="L142" s="27" t="str">
        <x:v>build tree diagrams</x:v>
      </x:c>
      <x:c r="M142" s="27" t="str">
        <x:v>use Venn diagrams and set language</x:v>
      </x:c>
      <x:c r="N142" s="27" t="str"/>
      <x:c r="O142" s="27" t="str">
        <x:v>Movement</x:v>
      </x:c>
      <x:c r="P142" s="27" t="str">
        <x:v>Reflection, Connection</x:v>
      </x:c>
      <x:c r="Q142" s="27" t="str">
        <x:v>Dynamic Probability Tree</x:v>
      </x:c>
      <x:c r="R142" s="27" t="str">
        <x:v>Evidence Lab</x:v>
      </x:c>
      <x:c r="S142" s="27" t="str">
        <x:v>Blank</x:v>
      </x:c>
      <x:c r="T142" s="27" t="str">
        <x:v>Probability Trees and Conditional Change – build tree diagrams</x:v>
      </x:c>
      <x:c r="U142" s="27" t="str">
        <x:v>Annotated representation of build tree diagrams</x:v>
      </x:c>
      <x:c r="V142" s="27" t="str">
        <x:v>Learner can build tree diagrams and give a reason or check.</x:v>
      </x:c>
      <x:c r="W142" s="27" t="str">
        <x:v>Connect 5 / Explore 20 / Create or Apply 12 / Reflect 8</x:v>
      </x:c>
      <x:c r="X142" s="27" t="str">
        <x:v>NC KS3; 4MA1 1.5, 7.1</x:v>
      </x:c>
      <x:c r="Y142" s="27" t="str">
        <x:v>High; branch reveal</x:v>
      </x:c>
      <x:c r="Z142" s="27" t="str">
        <x:v>Live, Asynchronous, Independent</x:v>
      </x:c>
      <x:c r="AA142" s="27" t="str">
        <x:v>Architecture mapped</x:v>
      </x:c>
      <x:c r="AB142" s="27" t="str">
        <x:v>Part of the canonical Y9 route. May pause or branch to a Reconnection lesson before returning.</x:v>
      </x:c>
    </x:row>
    <x:row r="143" ht="44" customHeight="1">
      <x:c r="A143" s="27" t="str">
        <x:v>NEO-MATH-Y9-140</x:v>
      </x:c>
      <x:c r="B143" s="27" t="n">
        <x:v>140</x:v>
      </x:c>
      <x:c r="C143" s="27" t="str">
        <x:v>NEO-MATH-Y9-10</x:v>
      </x:c>
      <x:c r="D143" s="27" t="n">
        <x:v>10</x:v>
      </x:c>
      <x:c r="E143" s="27" t="str">
        <x:v>Probability Trees and Conditional Change</x:v>
      </x:c>
      <x:c r="F143" s="27" t="str">
        <x:v>Data &amp; Uncertainty</x:v>
      </x:c>
      <x:c r="G143" s="27" t="n">
        <x:v>3</x:v>
      </x:c>
      <x:c r="H143" s="27" t="str">
        <x:v>Reconnection</x:v>
      </x:c>
      <x:c r="I143" s="27" t="str">
        <x:v>Reconnection: Probability scale</x:v>
      </x:c>
      <x:c r="J143" s="27" t="str">
        <x:v>How likely is likely?</x:v>
      </x:c>
      <x:c r="K143" s="27" t="str">
        <x:v>place and interpret probabilities from 0 to 1</x:v>
      </x:c>
      <x:c r="L143" s="27" t="str">
        <x:v>place and interpret probabilities from 0 to 1</x:v>
      </x:c>
      <x:c r="M143" s="27" t="str">
        <x:v>Branch triggered when place and interpret probabilities from 0 to 1 is not yet secure enough for the current unit.</x:v>
      </x:c>
      <x:c r="N143" s="27" t="str">
        <x:v>REC-DAT-03</x:v>
      </x:c>
      <x:c r="O143" s="27" t="str">
        <x:v>Connection</x:v>
      </x:c>
      <x:c r="P143" s="27" t="str">
        <x:v>Reflection, Rest</x:v>
      </x:c>
      <x:c r="Q143" s="27" t="str">
        <x:v>Probability Scale Slider</x:v>
      </x:c>
      <x:c r="R143" s="27" t="str">
        <x:v>Evidence Lab</x:v>
      </x:c>
      <x:c r="S143" s="27" t="str">
        <x:v>Blank</x:v>
      </x:c>
      <x:c r="T143" s="27" t="str">
        <x:v>Probability scale targeted practice</x:v>
      </x:c>
      <x:c r="U143" s="27" t="str">
        <x:v>Short reconnection evidence: place and interpret probabilities from 0 to 1</x:v>
      </x:c>
      <x:c r="V143" s="27" t="str">
        <x:v>Learner can place and interpret probabilities from 0 to 1 sufficiently to return to Probability Trees and Conditional Change.</x:v>
      </x:c>
      <x:c r="W143" s="27" t="str">
        <x:v>Arrive 5 / Reconnect 20 / Test 10 / Return link 10</x:v>
      </x:c>
      <x:c r="X143" s="27" t="str">
        <x:v>NC KS3; 4MA1 1.5, 7.1</x:v>
      </x:c>
      <x:c r="Y143" s="27" t="str">
        <x:v>Low-Moderate; targeted prerequisite repair</x:v>
      </x:c>
      <x:c r="Z143" s="27" t="str">
        <x:v>Live, Asynchronous, Independent</x:v>
      </x:c>
      <x:c r="AA143" s="27" t="str">
        <x:v>Architecture mapped</x:v>
      </x:c>
      <x:c r="AB143" s="27" t="str">
        <x:v>Not 'catch-up'. A targeted route from Year 7 learning that reconnects the learner to NEO-MATH-Y9-10.</x:v>
      </x:c>
    </x:row>
    <x:row r="144" ht="44" customHeight="1">
      <x:c r="A144" s="27" t="str">
        <x:v>NEO-MATH-Y9-141</x:v>
      </x:c>
      <x:c r="B144" s="27" t="n">
        <x:v>141</x:v>
      </x:c>
      <x:c r="C144" s="27" t="str">
        <x:v>NEO-MATH-Y9-10</x:v>
      </x:c>
      <x:c r="D144" s="27" t="n">
        <x:v>10</x:v>
      </x:c>
      <x:c r="E144" s="27" t="str">
        <x:v>Probability Trees and Conditional Change</x:v>
      </x:c>
      <x:c r="F144" s="27" t="str">
        <x:v>Data &amp; Uncertainty</x:v>
      </x:c>
      <x:c r="G144" s="27" t="n">
        <x:v>3</x:v>
      </x:c>
      <x:c r="H144" s="27" t="str">
        <x:v>Core</x:v>
      </x:c>
      <x:c r="I144" s="27" t="str">
        <x:v>Represent it: Calculate combined probabilities</x:v>
      </x:c>
      <x:c r="J144" s="27" t="str">
        <x:v>How can I show calculate combined probabilities in more than one way?</x:v>
      </x:c>
      <x:c r="K144" s="27" t="str">
        <x:v>calculate combined probabilities</x:v>
      </x:c>
      <x:c r="L144" s="27" t="str">
        <x:v>calculate combined probabilities</x:v>
      </x:c>
      <x:c r="M144" s="27" t="str">
        <x:v>build tree diagrams</x:v>
      </x:c>
      <x:c r="N144" s="27" t="str"/>
      <x:c r="O144" s="27" t="str">
        <x:v>Movement</x:v>
      </x:c>
      <x:c r="P144" s="27" t="str">
        <x:v>Reflection, Connection</x:v>
      </x:c>
      <x:c r="Q144" s="27" t="str">
        <x:v>Dynamic Probability Tree</x:v>
      </x:c>
      <x:c r="R144" s="27" t="str">
        <x:v>Evidence Lab</x:v>
      </x:c>
      <x:c r="S144" s="27" t="str">
        <x:v>Blank</x:v>
      </x:c>
      <x:c r="T144" s="27" t="str">
        <x:v>Probability Trees and Conditional Change – calculate combined probabilities</x:v>
      </x:c>
      <x:c r="U144" s="27" t="str">
        <x:v>Annotated representation of calculate combined probabilities</x:v>
      </x:c>
      <x:c r="V144" s="27" t="str">
        <x:v>Learner can calculate combined probabilities and give a reason or check.</x:v>
      </x:c>
      <x:c r="W144" s="27" t="str">
        <x:v>Connect 5 / Explore 20 / Create or Apply 12 / Reflect 8</x:v>
      </x:c>
      <x:c r="X144" s="27" t="str">
        <x:v>NC KS3; 4MA1 1.5, 7.1</x:v>
      </x:c>
      <x:c r="Y144" s="27" t="str">
        <x:v>High; branch reveal</x:v>
      </x:c>
      <x:c r="Z144" s="27" t="str">
        <x:v>Live, Asynchronous, Independent</x:v>
      </x:c>
      <x:c r="AA144" s="27" t="str">
        <x:v>Architecture mapped</x:v>
      </x:c>
      <x:c r="AB144" s="27" t="str">
        <x:v>Part of the canonical Y9 route. May pause or branch to a Reconnection lesson before returning.</x:v>
      </x:c>
    </x:row>
    <x:row r="145" ht="44" customHeight="1">
      <x:c r="A145" s="27" t="str">
        <x:v>NEO-MATH-Y9-142</x:v>
      </x:c>
      <x:c r="B145" s="27" t="n">
        <x:v>142</x:v>
      </x:c>
      <x:c r="C145" s="27" t="str">
        <x:v>NEO-MATH-Y9-10</x:v>
      </x:c>
      <x:c r="D145" s="27" t="n">
        <x:v>10</x:v>
      </x:c>
      <x:c r="E145" s="27" t="str">
        <x:v>Probability Trees and Conditional Change</x:v>
      </x:c>
      <x:c r="F145" s="27" t="str">
        <x:v>Data &amp; Uncertainty</x:v>
      </x:c>
      <x:c r="G145" s="27" t="n">
        <x:v>4</x:v>
      </x:c>
      <x:c r="H145" s="27" t="str">
        <x:v>Core</x:v>
      </x:c>
      <x:c r="I145" s="27" t="str">
        <x:v>Try one change: Compare independent and dependent situations</x:v>
      </x:c>
      <x:c r="J145" s="27" t="str">
        <x:v>What changes when I adjust one part of compare independent and dependent situations?</x:v>
      </x:c>
      <x:c r="K145" s="27" t="str">
        <x:v>compare independent and dependent situations</x:v>
      </x:c>
      <x:c r="L145" s="27" t="str">
        <x:v>compare independent and dependent situations</x:v>
      </x:c>
      <x:c r="M145" s="27" t="str">
        <x:v>calculate combined probabilities</x:v>
      </x:c>
      <x:c r="N145" s="27" t="str"/>
      <x:c r="O145" s="27" t="str">
        <x:v>Movement</x:v>
      </x:c>
      <x:c r="P145" s="27" t="str">
        <x:v>Reflection, Connection</x:v>
      </x:c>
      <x:c r="Q145" s="27" t="str">
        <x:v>Dynamic Probability Tree</x:v>
      </x:c>
      <x:c r="R145" s="27" t="str">
        <x:v>Evidence Lab</x:v>
      </x:c>
      <x:c r="S145" s="27" t="str">
        <x:v>Blank</x:v>
      </x:c>
      <x:c r="T145" s="27" t="str">
        <x:v>Probability Trees and Conditional Change – compare independent and dependent situations</x:v>
      </x:c>
      <x:c r="U145" s="27" t="str">
        <x:v>Annotated representation of compare independent and dependent situations</x:v>
      </x:c>
      <x:c r="V145" s="27" t="str">
        <x:v>Learner can compare independent and dependent situations and give a reason or check.</x:v>
      </x:c>
      <x:c r="W145" s="27" t="str">
        <x:v>Connect 5 / Explore 20 / Create or Apply 12 / Reflect 8</x:v>
      </x:c>
      <x:c r="X145" s="27" t="str">
        <x:v>NC KS3; 4MA1 1.5, 7.1</x:v>
      </x:c>
      <x:c r="Y145" s="27" t="str">
        <x:v>High; branch reveal</x:v>
      </x:c>
      <x:c r="Z145" s="27" t="str">
        <x:v>Live, Asynchronous, Independent</x:v>
      </x:c>
      <x:c r="AA145" s="27" t="str">
        <x:v>Architecture mapped</x:v>
      </x:c>
      <x:c r="AB145" s="27" t="str">
        <x:v>Part of the canonical Y9 route. May pause or branch to a Reconnection lesson before returning.</x:v>
      </x:c>
    </x:row>
    <x:row r="146" ht="44" customHeight="1">
      <x:c r="A146" s="27" t="str">
        <x:v>NEO-MATH-Y9-143</x:v>
      </x:c>
      <x:c r="B146" s="27" t="n">
        <x:v>143</x:v>
      </x:c>
      <x:c r="C146" s="27" t="str">
        <x:v>NEO-MATH-Y9-10</x:v>
      </x:c>
      <x:c r="D146" s="27" t="n">
        <x:v>10</x:v>
      </x:c>
      <x:c r="E146" s="27" t="str">
        <x:v>Probability Trees and Conditional Change</x:v>
      </x:c>
      <x:c r="F146" s="27" t="str">
        <x:v>Data &amp; Uncertainty</x:v>
      </x:c>
      <x:c r="G146" s="27" t="n">
        <x:v>5</x:v>
      </x:c>
      <x:c r="H146" s="27" t="str">
        <x:v>Core</x:v>
      </x:c>
      <x:c r="I146" s="27" t="str">
        <x:v>Connect ideas: Compare experimental and theoretical probability</x:v>
      </x:c>
      <x:c r="J146" s="27" t="str">
        <x:v>How does compare experimental and theoretical probability connect to the earlier relationship?</x:v>
      </x:c>
      <x:c r="K146" s="27" t="str">
        <x:v>compare experimental and theoretical probability</x:v>
      </x:c>
      <x:c r="L146" s="27" t="str">
        <x:v>compare experimental and theoretical probability</x:v>
      </x:c>
      <x:c r="M146" s="27" t="str">
        <x:v>compare independent and dependent situations</x:v>
      </x:c>
      <x:c r="N146" s="27" t="str"/>
      <x:c r="O146" s="27" t="str">
        <x:v>Movement</x:v>
      </x:c>
      <x:c r="P146" s="27" t="str">
        <x:v>Reflection, Connection</x:v>
      </x:c>
      <x:c r="Q146" s="27" t="str">
        <x:v>Dynamic Probability Tree</x:v>
      </x:c>
      <x:c r="R146" s="27" t="str">
        <x:v>Evidence Lab</x:v>
      </x:c>
      <x:c r="S146" s="27" t="str">
        <x:v>Blank</x:v>
      </x:c>
      <x:c r="T146" s="27" t="str">
        <x:v>Probability Trees and Conditional Change – compare experimental and theoretical probability</x:v>
      </x:c>
      <x:c r="U146" s="27" t="str">
        <x:v>Annotated representation of compare experimental and theoretical probability</x:v>
      </x:c>
      <x:c r="V146" s="27" t="str">
        <x:v>Learner can compare experimental and theoretical probability and give a reason or check.</x:v>
      </x:c>
      <x:c r="W146" s="27" t="str">
        <x:v>Connect 8 / Explore 20 / Notice 10 / Reflect 7</x:v>
      </x:c>
      <x:c r="X146" s="27" t="str">
        <x:v>NC KS3; 4MA1 1.5, 7.1</x:v>
      </x:c>
      <x:c r="Y146" s="27" t="str">
        <x:v>High; branch reveal</x:v>
      </x:c>
      <x:c r="Z146" s="27" t="str">
        <x:v>Live, Asynchronous, Independent</x:v>
      </x:c>
      <x:c r="AA146" s="27" t="str">
        <x:v>Architecture mapped</x:v>
      </x:c>
      <x:c r="AB146" s="27" t="str">
        <x:v>Part of the canonical Y9 route. May pause or branch to a Reconnection lesson before returning.</x:v>
      </x:c>
    </x:row>
    <x:row r="147" ht="44" customHeight="1">
      <x:c r="A147" s="27" t="str">
        <x:v>NEO-MATH-Y9-144</x:v>
      </x:c>
      <x:c r="B147" s="27" t="n">
        <x:v>144</x:v>
      </x:c>
      <x:c r="C147" s="27" t="str">
        <x:v>NEO-MATH-Y9-10</x:v>
      </x:c>
      <x:c r="D147" s="27" t="n">
        <x:v>10</x:v>
      </x:c>
      <x:c r="E147" s="27" t="str">
        <x:v>Probability Trees and Conditional Change</x:v>
      </x:c>
      <x:c r="F147" s="27" t="str">
        <x:v>Data &amp; Uncertainty</x:v>
      </x:c>
      <x:c r="G147" s="27" t="n">
        <x:v>7</x:v>
      </x:c>
      <x:c r="H147" s="27" t="str">
        <x:v>Reconnection</x:v>
      </x:c>
      <x:c r="I147" s="27" t="str">
        <x:v>Reconnection: Sample spaces</x:v>
      </x:c>
      <x:c r="J147" s="27" t="str">
        <x:v>Can listing outcomes make chance visible?</x:v>
      </x:c>
      <x:c r="K147" s="27" t="str">
        <x:v>enumerate outcomes and calculate probabilities</x:v>
      </x:c>
      <x:c r="L147" s="27" t="str">
        <x:v>enumerate outcomes and calculate probabilities</x:v>
      </x:c>
      <x:c r="M147" s="27" t="str">
        <x:v>Branch triggered when enumerate outcomes and calculate probabilities is not yet secure enough for the current unit.</x:v>
      </x:c>
      <x:c r="N147" s="27" t="str">
        <x:v>REC-DAT-04</x:v>
      </x:c>
      <x:c r="O147" s="27" t="str">
        <x:v>Connection</x:v>
      </x:c>
      <x:c r="P147" s="27" t="str">
        <x:v>Reflection, Rest</x:v>
      </x:c>
      <x:c r="Q147" s="27" t="str">
        <x:v>Sample-Space Builder</x:v>
      </x:c>
      <x:c r="R147" s="27" t="str">
        <x:v>Evidence Lab</x:v>
      </x:c>
      <x:c r="S147" s="27" t="str">
        <x:v>Blank</x:v>
      </x:c>
      <x:c r="T147" s="27" t="str">
        <x:v>Sample spaces targeted practice</x:v>
      </x:c>
      <x:c r="U147" s="27" t="str">
        <x:v>Short reconnection evidence: enumerate outcomes and calculate probabilities</x:v>
      </x:c>
      <x:c r="V147" s="27" t="str">
        <x:v>Learner can enumerate outcomes and calculate probabilities sufficiently to return to Probability Trees and Conditional Change.</x:v>
      </x:c>
      <x:c r="W147" s="27" t="str">
        <x:v>Arrive 5 / Reconnect 20 / Test 10 / Return link 10</x:v>
      </x:c>
      <x:c r="X147" s="27" t="str">
        <x:v>NC KS3; 4MA1 1.5, 7.1</x:v>
      </x:c>
      <x:c r="Y147" s="27" t="str">
        <x:v>Low-Moderate; targeted prerequisite repair</x:v>
      </x:c>
      <x:c r="Z147" s="27" t="str">
        <x:v>Live, Asynchronous, Independent</x:v>
      </x:c>
      <x:c r="AA147" s="27" t="str">
        <x:v>Architecture mapped</x:v>
      </x:c>
      <x:c r="AB147" s="27" t="str">
        <x:v>Not 'catch-up'. A targeted route from Year 8 learning that reconnects the learner to NEO-MATH-Y9-10.</x:v>
      </x:c>
    </x:row>
    <x:row r="148" ht="44" customHeight="1">
      <x:c r="A148" s="27" t="str">
        <x:v>NEO-MATH-Y9-145</x:v>
      </x:c>
      <x:c r="B148" s="27" t="n">
        <x:v>145</x:v>
      </x:c>
      <x:c r="C148" s="27" t="str">
        <x:v>NEO-MATH-Y9-10</x:v>
      </x:c>
      <x:c r="D148" s="27" t="n">
        <x:v>10</x:v>
      </x:c>
      <x:c r="E148" s="27" t="str">
        <x:v>Probability Trees and Conditional Change</x:v>
      </x:c>
      <x:c r="F148" s="27" t="str">
        <x:v>Data &amp; Uncertainty</x:v>
      </x:c>
      <x:c r="G148" s="27" t="n">
        <x:v>6</x:v>
      </x:c>
      <x:c r="H148" s="27" t="str">
        <x:v>Core</x:v>
      </x:c>
      <x:c r="I148" s="27" t="str">
        <x:v>Repair a misconception: Use Venn diagrams and set language</x:v>
      </x:c>
      <x:c r="J148" s="27" t="str">
        <x:v>What tempting mistake can use Venn diagrams and set language create?</x:v>
      </x:c>
      <x:c r="K148" s="27" t="str">
        <x:v>use Venn diagrams and set language</x:v>
      </x:c>
      <x:c r="L148" s="27" t="str">
        <x:v>use Venn diagrams and set language</x:v>
      </x:c>
      <x:c r="M148" s="27" t="str">
        <x:v>compare experimental and theoretical probability</x:v>
      </x:c>
      <x:c r="N148" s="27" t="str"/>
      <x:c r="O148" s="27" t="str">
        <x:v>Movement</x:v>
      </x:c>
      <x:c r="P148" s="27" t="str">
        <x:v>Reflection, Connection</x:v>
      </x:c>
      <x:c r="Q148" s="27" t="str">
        <x:v>Dynamic Probability Tree</x:v>
      </x:c>
      <x:c r="R148" s="27" t="str">
        <x:v>Evidence Lab</x:v>
      </x:c>
      <x:c r="S148" s="27" t="str">
        <x:v>Blank</x:v>
      </x:c>
      <x:c r="T148" s="27" t="str">
        <x:v>Probability Trees and Conditional Change – use Venn diagrams and set language</x:v>
      </x:c>
      <x:c r="U148" s="27" t="str">
        <x:v>Corrected misconception note: use Venn diagrams and set language</x:v>
      </x:c>
      <x:c r="V148" s="27" t="str">
        <x:v>Learner can use Venn diagrams and set language and give a reason or check.</x:v>
      </x:c>
      <x:c r="W148" s="27" t="str">
        <x:v>Connect 5 / Explore 20 / Create or Apply 12 / Reflect 8</x:v>
      </x:c>
      <x:c r="X148" s="27" t="str">
        <x:v>NC KS3; 4MA1 1.5, 7.1</x:v>
      </x:c>
      <x:c r="Y148" s="27" t="str">
        <x:v>High; branch reveal</x:v>
      </x:c>
      <x:c r="Z148" s="27" t="str">
        <x:v>Live, Asynchronous, Independent</x:v>
      </x:c>
      <x:c r="AA148" s="27" t="str">
        <x:v>Architecture mapped</x:v>
      </x:c>
      <x:c r="AB148" s="27" t="str">
        <x:v>Part of the canonical Y9 route. May pause or branch to a Reconnection lesson before returning.</x:v>
      </x:c>
    </x:row>
    <x:row r="149" ht="44" customHeight="1">
      <x:c r="A149" s="27" t="str">
        <x:v>NEO-MATH-Y9-146</x:v>
      </x:c>
      <x:c r="B149" s="27" t="n">
        <x:v>146</x:v>
      </x:c>
      <x:c r="C149" s="27" t="str">
        <x:v>NEO-MATH-Y9-10</x:v>
      </x:c>
      <x:c r="D149" s="27" t="n">
        <x:v>10</x:v>
      </x:c>
      <x:c r="E149" s="27" t="str">
        <x:v>Probability Trees and Conditional Change</x:v>
      </x:c>
      <x:c r="F149" s="27" t="str">
        <x:v>Data &amp; Uncertainty</x:v>
      </x:c>
      <x:c r="G149" s="27" t="n">
        <x:v>7</x:v>
      </x:c>
      <x:c r="H149" s="27" t="str">
        <x:v>Core</x:v>
      </x:c>
      <x:c r="I149" s="27" t="str">
        <x:v>Apply in context: Build tree diagrams</x:v>
      </x:c>
      <x:c r="J149" s="27" t="str">
        <x:v>Where might build tree diagrams help with a real decision?</x:v>
      </x:c>
      <x:c r="K149" s="27" t="str">
        <x:v>build tree diagrams</x:v>
      </x:c>
      <x:c r="L149" s="27" t="str">
        <x:v>build tree diagrams</x:v>
      </x:c>
      <x:c r="M149" s="27" t="str">
        <x:v>use Venn diagrams and set language</x:v>
      </x:c>
      <x:c r="N149" s="27" t="str"/>
      <x:c r="O149" s="27" t="str">
        <x:v>Movement</x:v>
      </x:c>
      <x:c r="P149" s="27" t="str">
        <x:v>Reflection, Connection</x:v>
      </x:c>
      <x:c r="Q149" s="27" t="str">
        <x:v>Dynamic Probability Tree</x:v>
      </x:c>
      <x:c r="R149" s="27" t="str">
        <x:v>Evidence Lab</x:v>
      </x:c>
      <x:c r="S149" s="27" t="str">
        <x:v>Blank</x:v>
      </x:c>
      <x:c r="T149" s="27" t="str">
        <x:v>Probability Trees and Conditional Change – build tree diagrams</x:v>
      </x:c>
      <x:c r="U149" s="27" t="str">
        <x:v>Short contextual application of build tree diagrams</x:v>
      </x:c>
      <x:c r="V149" s="27" t="str">
        <x:v>Learner can build tree diagrams and give a reason or check.</x:v>
      </x:c>
      <x:c r="W149" s="27" t="str">
        <x:v>Connect 5 / Explore 20 / Create or Apply 12 / Reflect 8</x:v>
      </x:c>
      <x:c r="X149" s="27" t="str">
        <x:v>NC KS3; 4MA1 1.5, 7.1</x:v>
      </x:c>
      <x:c r="Y149" s="27" t="str">
        <x:v>High; branch reveal</x:v>
      </x:c>
      <x:c r="Z149" s="27" t="str">
        <x:v>Live, Asynchronous, Independent</x:v>
      </x:c>
      <x:c r="AA149" s="27" t="str">
        <x:v>Architecture mapped</x:v>
      </x:c>
      <x:c r="AB149" s="27" t="str">
        <x:v>Part of the canonical Y9 route. May pause or branch to a Reconnection lesson before returning.</x:v>
      </x:c>
    </x:row>
    <x:row r="150" ht="44" customHeight="1">
      <x:c r="A150" s="27" t="str">
        <x:v>NEO-MATH-Y9-147</x:v>
      </x:c>
      <x:c r="B150" s="27" t="n">
        <x:v>147</x:v>
      </x:c>
      <x:c r="C150" s="27" t="str">
        <x:v>NEO-MATH-Y9-10</x:v>
      </x:c>
      <x:c r="D150" s="27" t="n">
        <x:v>10</x:v>
      </x:c>
      <x:c r="E150" s="27" t="str">
        <x:v>Probability Trees and Conditional Change</x:v>
      </x:c>
      <x:c r="F150" s="27" t="str">
        <x:v>Data &amp; Uncertainty</x:v>
      </x:c>
      <x:c r="G150" s="27" t="n">
        <x:v>8</x:v>
      </x:c>
      <x:c r="H150" s="27" t="str">
        <x:v>Core</x:v>
      </x:c>
      <x:c r="I150" s="27" t="str">
        <x:v>Model and test: Calculate combined probabilities</x:v>
      </x:c>
      <x:c r="J150" s="27" t="str">
        <x:v>Can I build a model using calculate combined probabilities and test it?</x:v>
      </x:c>
      <x:c r="K150" s="27" t="str">
        <x:v>calculate combined probabilities</x:v>
      </x:c>
      <x:c r="L150" s="27" t="str">
        <x:v>calculate combined probabilities</x:v>
      </x:c>
      <x:c r="M150" s="27" t="str">
        <x:v>build tree diagrams</x:v>
      </x:c>
      <x:c r="N150" s="27" t="str"/>
      <x:c r="O150" s="27" t="str">
        <x:v>Movement</x:v>
      </x:c>
      <x:c r="P150" s="27" t="str">
        <x:v>Reflection, Connection</x:v>
      </x:c>
      <x:c r="Q150" s="27" t="str">
        <x:v>Dynamic Probability Tree</x:v>
      </x:c>
      <x:c r="R150" s="27" t="str">
        <x:v>Evidence Lab</x:v>
      </x:c>
      <x:c r="S150" s="27" t="str">
        <x:v>Blank</x:v>
      </x:c>
      <x:c r="T150" s="27" t="str">
        <x:v>Probability Trees and Conditional Change – calculate combined probabilities</x:v>
      </x:c>
      <x:c r="U150" s="27" t="str">
        <x:v>Tested model using calculate combined probabilities</x:v>
      </x:c>
      <x:c r="V150" s="27" t="str">
        <x:v>Learner can calculate combined probabilities and give a reason or check.</x:v>
      </x:c>
      <x:c r="W150" s="27" t="str">
        <x:v>Connect 5 / Explore 20 / Create or Apply 12 / Reflect 8</x:v>
      </x:c>
      <x:c r="X150" s="27" t="str">
        <x:v>NC KS3; 4MA1 1.5, 7.1</x:v>
      </x:c>
      <x:c r="Y150" s="27" t="str">
        <x:v>High; branch reveal</x:v>
      </x:c>
      <x:c r="Z150" s="27" t="str">
        <x:v>Live, Asynchronous, Independent</x:v>
      </x:c>
      <x:c r="AA150" s="27" t="str">
        <x:v>Architecture mapped</x:v>
      </x:c>
      <x:c r="AB150" s="27" t="str">
        <x:v>Part of the canonical Y9 route. May pause or branch to a Reconnection lesson before returning.</x:v>
      </x:c>
    </x:row>
    <x:row r="151" ht="44" customHeight="1">
      <x:c r="A151" s="27" t="str">
        <x:v>NEO-MATH-Y9-148</x:v>
      </x:c>
      <x:c r="B151" s="27" t="n">
        <x:v>148</x:v>
      </x:c>
      <x:c r="C151" s="27" t="str">
        <x:v>NEO-MATH-Y9-10</x:v>
      </x:c>
      <x:c r="D151" s="27" t="n">
        <x:v>10</x:v>
      </x:c>
      <x:c r="E151" s="27" t="str">
        <x:v>Probability Trees and Conditional Change</x:v>
      </x:c>
      <x:c r="F151" s="27" t="str">
        <x:v>Data &amp; Uncertainty</x:v>
      </x:c>
      <x:c r="G151" s="27" t="n">
        <x:v>9</x:v>
      </x:c>
      <x:c r="H151" s="27" t="str">
        <x:v>Core</x:v>
      </x:c>
      <x:c r="I151" s="27" t="str">
        <x:v>Compare strategies: Compare independent and dependent situations</x:v>
      </x:c>
      <x:c r="J151" s="27" t="str">
        <x:v>Which route through compare independent and dependent situations is clearest or most efficient?</x:v>
      </x:c>
      <x:c r="K151" s="27" t="str">
        <x:v>compare independent and dependent situations</x:v>
      </x:c>
      <x:c r="L151" s="27" t="str">
        <x:v>compare independent and dependent situations</x:v>
      </x:c>
      <x:c r="M151" s="27" t="str">
        <x:v>calculate combined probabilities</x:v>
      </x:c>
      <x:c r="N151" s="27" t="str"/>
      <x:c r="O151" s="27" t="str">
        <x:v>Movement</x:v>
      </x:c>
      <x:c r="P151" s="27" t="str">
        <x:v>Reflection, Connection</x:v>
      </x:c>
      <x:c r="Q151" s="27" t="str">
        <x:v>Dynamic Probability Tree</x:v>
      </x:c>
      <x:c r="R151" s="27" t="str">
        <x:v>Evidence Lab</x:v>
      </x:c>
      <x:c r="S151" s="27" t="str">
        <x:v>Blank</x:v>
      </x:c>
      <x:c r="T151" s="27" t="str">
        <x:v>Probability Trees and Conditional Change – compare independent and dependent situations</x:v>
      </x:c>
      <x:c r="U151" s="27" t="str">
        <x:v>Two-route comparison for compare independent and dependent situations</x:v>
      </x:c>
      <x:c r="V151" s="27" t="str">
        <x:v>Learner can compare independent and dependent situations and give a reason or check.</x:v>
      </x:c>
      <x:c r="W151" s="27" t="str">
        <x:v>Connect 5 / Explore 20 / Create or Apply 12 / Reflect 8</x:v>
      </x:c>
      <x:c r="X151" s="27" t="str">
        <x:v>NC KS3; 4MA1 1.5, 7.1</x:v>
      </x:c>
      <x:c r="Y151" s="27" t="str">
        <x:v>High; branch reveal</x:v>
      </x:c>
      <x:c r="Z151" s="27" t="str">
        <x:v>Live, Asynchronous, Independent</x:v>
      </x:c>
      <x:c r="AA151" s="27" t="str">
        <x:v>Architecture mapped</x:v>
      </x:c>
      <x:c r="AB151" s="27" t="str">
        <x:v>Part of the canonical Y9 route. May pause or branch to a Reconnection lesson before returning.</x:v>
      </x:c>
    </x:row>
    <x:row r="152" ht="44" customHeight="1">
      <x:c r="A152" s="27" t="str">
        <x:v>NEO-MATH-Y9-149</x:v>
      </x:c>
      <x:c r="B152" s="27" t="n">
        <x:v>149</x:v>
      </x:c>
      <x:c r="C152" s="27" t="str">
        <x:v>NEO-MATH-Y9-10</x:v>
      </x:c>
      <x:c r="D152" s="27" t="n">
        <x:v>10</x:v>
      </x:c>
      <x:c r="E152" s="27" t="str">
        <x:v>Probability Trees and Conditional Change</x:v>
      </x:c>
      <x:c r="F152" s="27" t="str">
        <x:v>Data &amp; Uncertainty</x:v>
      </x:c>
      <x:c r="G152" s="27" t="n">
        <x:v>10</x:v>
      </x:c>
      <x:c r="H152" s="27" t="str">
        <x:v>Core</x:v>
      </x:c>
      <x:c r="I152" s="27" t="str">
        <x:v>Practice with choice: Compare experimental and theoretical probability</x:v>
      </x:c>
      <x:c r="J152" s="27" t="str">
        <x:v>Can I use compare experimental and theoretical probability without being told the method?</x:v>
      </x:c>
      <x:c r="K152" s="27" t="str">
        <x:v>compare experimental and theoretical probability</x:v>
      </x:c>
      <x:c r="L152" s="27" t="str">
        <x:v>compare experimental and theoretical probability</x:v>
      </x:c>
      <x:c r="M152" s="27" t="str">
        <x:v>compare independent and dependent situations</x:v>
      </x:c>
      <x:c r="N152" s="27" t="str"/>
      <x:c r="O152" s="27" t="str">
        <x:v>Movement</x:v>
      </x:c>
      <x:c r="P152" s="27" t="str">
        <x:v>Reflection, Connection</x:v>
      </x:c>
      <x:c r="Q152" s="27" t="str">
        <x:v>Dynamic Probability Tree</x:v>
      </x:c>
      <x:c r="R152" s="27" t="str">
        <x:v>Evidence Lab</x:v>
      </x:c>
      <x:c r="S152" s="27" t="str">
        <x:v>Blank</x:v>
      </x:c>
      <x:c r="T152" s="27" t="str">
        <x:v>Probability Trees and Conditional Change – compare experimental and theoretical probability</x:v>
      </x:c>
      <x:c r="U152" s="27" t="str">
        <x:v>Practice Companion evidence for compare experimental and theoretical probability</x:v>
      </x:c>
      <x:c r="V152" s="27" t="str">
        <x:v>Learner can compare experimental and theoretical probability and give a reason or check.</x:v>
      </x:c>
      <x:c r="W152" s="27" t="str">
        <x:v>Reconnect 5 / Practice 25 / Check 10 / Reflect 5</x:v>
      </x:c>
      <x:c r="X152" s="27" t="str">
        <x:v>NC KS3; 4MA1 1.5, 7.1</x:v>
      </x:c>
      <x:c r="Y152" s="27" t="str">
        <x:v>High; branch reveal</x:v>
      </x:c>
      <x:c r="Z152" s="27" t="str">
        <x:v>Live, Asynchronous, Independent</x:v>
      </x:c>
      <x:c r="AA152" s="27" t="str">
        <x:v>Architecture mapped</x:v>
      </x:c>
      <x:c r="AB152" s="27" t="str">
        <x:v>Part of the canonical Y9 route. May pause or branch to a Reconnection lesson before returning.</x:v>
      </x:c>
    </x:row>
    <x:row r="153" ht="44" customHeight="1">
      <x:c r="A153" s="27" t="str">
        <x:v>NEO-MATH-Y9-150</x:v>
      </x:c>
      <x:c r="B153" s="27" t="n">
        <x:v>150</x:v>
      </x:c>
      <x:c r="C153" s="27" t="str">
        <x:v>NEO-MATH-Y9-10</x:v>
      </x:c>
      <x:c r="D153" s="27" t="n">
        <x:v>10</x:v>
      </x:c>
      <x:c r="E153" s="27" t="str">
        <x:v>Probability Trees and Conditional Change</x:v>
      </x:c>
      <x:c r="F153" s="27" t="str">
        <x:v>Data &amp; Uncertainty</x:v>
      </x:c>
      <x:c r="G153" s="27" t="n">
        <x:v>11</x:v>
      </x:c>
      <x:c r="H153" s="27" t="str">
        <x:v>Core</x:v>
      </x:c>
      <x:c r="I153" s="27" t="str">
        <x:v>Mastery checkpoint: Use Venn diagrams and set language</x:v>
      </x:c>
      <x:c r="J153" s="27" t="str">
        <x:v>What can I now explain, apply and check about use Venn diagrams and set language?</x:v>
      </x:c>
      <x:c r="K153" s="27" t="str">
        <x:v>use Venn diagrams and set language</x:v>
      </x:c>
      <x:c r="L153" s="27" t="str">
        <x:v>use Venn diagrams and set language</x:v>
      </x:c>
      <x:c r="M153" s="27" t="str">
        <x:v>compare experimental and theoretical probability</x:v>
      </x:c>
      <x:c r="N153" s="27" t="str"/>
      <x:c r="O153" s="27" t="str">
        <x:v>Movement</x:v>
      </x:c>
      <x:c r="P153" s="27" t="str">
        <x:v>Reflection, Connection</x:v>
      </x:c>
      <x:c r="Q153" s="27" t="str">
        <x:v>Dynamic Probability Tree</x:v>
      </x:c>
      <x:c r="R153" s="27" t="str">
        <x:v>Evidence Lab</x:v>
      </x:c>
      <x:c r="S153" s="27" t="str">
        <x:v>Blank</x:v>
      </x:c>
      <x:c r="T153" s="27" t="str">
        <x:v>Probability Trees and Conditional Change – use Venn diagrams and set language</x:v>
      </x:c>
      <x:c r="U153" s="27" t="str">
        <x:v>Chance Model Explanation</x:v>
      </x:c>
      <x:c r="V153" s="27" t="str">
        <x:v>Learner can use Venn diagrams and set language and give a reason or check.</x:v>
      </x:c>
      <x:c r="W153" s="27" t="str">
        <x:v>Settle 5 / Choose evidence 25 / Mastery check 10 / Reflect 5</x:v>
      </x:c>
      <x:c r="X153" s="27" t="str">
        <x:v>NC KS3; 4MA1 1.5, 7.1</x:v>
      </x:c>
      <x:c r="Y153" s="27" t="str">
        <x:v>High; branch reveal</x:v>
      </x:c>
      <x:c r="Z153" s="27" t="str">
        <x:v>Live, Asynchronous, Independent</x:v>
      </x:c>
      <x:c r="AA153" s="27" t="str">
        <x:v>Architecture mapped</x:v>
      </x:c>
      <x:c r="AB153" s="27" t="str">
        <x:v>Part of the canonical Y9 route. May pause or branch to a Reconnection lesson before returning.</x:v>
      </x:c>
    </x:row>
    <x:row r="154" ht="44" customHeight="1">
      <x:c r="A154" s="27" t="str">
        <x:v>NEO-MATH-Y9-151</x:v>
      </x:c>
      <x:c r="B154" s="27" t="n">
        <x:v>151</x:v>
      </x:c>
      <x:c r="C154" s="27" t="str">
        <x:v>NEO-MATH-Y9-10</x:v>
      </x:c>
      <x:c r="D154" s="27" t="n">
        <x:v>10</x:v>
      </x:c>
      <x:c r="E154" s="27" t="str">
        <x:v>Probability Trees and Conditional Change</x:v>
      </x:c>
      <x:c r="F154" s="27" t="str">
        <x:v>Data &amp; Uncertainty</x:v>
      </x:c>
      <x:c r="G154" s="27" t="n">
        <x:v>14</x:v>
      </x:c>
      <x:c r="H154" s="27" t="str">
        <x:v>Consolidation / Mastery</x:v>
      </x:c>
      <x:c r="I154" s="27" t="str">
        <x:v>Pause, connect and strengthen: Probability Trees and Conditional Change</x:v>
      </x:c>
      <x:c r="J154" s="27" t="str">
        <x:v>Which connection in this unit is now stronger—and which one needs another route?</x:v>
      </x:c>
      <x:c r="K154" s="27" t="str">
        <x:v>review, connect and select evidence across the unit</x:v>
      </x:c>
      <x:c r="L154" s="27" t="str">
        <x:v>unit-level synthesis and self-regulated mathematical learning</x:v>
      </x:c>
      <x:c r="M154" s="27" t="str">
        <x:v>completion of selected core sessions or equivalent evidence</x:v>
      </x:c>
      <x:c r="N154" s="27" t="str">
        <x:v>learner-specific; choose from linked Reconnection Bank</x:v>
      </x:c>
      <x:c r="O154" s="27" t="str">
        <x:v>Reflection</x:v>
      </x:c>
      <x:c r="P154" s="27" t="str">
        <x:v>Rest, Connection</x:v>
      </x:c>
      <x:c r="Q154" s="27" t="str">
        <x:v>Mastery Pathway Review</x:v>
      </x:c>
      <x:c r="R154" s="27" t="str">
        <x:v>Navigation Tool</x:v>
      </x:c>
      <x:c r="S154" s="27" t="str">
        <x:v>Blank</x:v>
      </x:c>
      <x:c r="T154" s="27" t="str">
        <x:v>learner-selected questions from the unit</x:v>
      </x:c>
      <x:c r="U154" s="27" t="str">
        <x:v>Mastery reflection plus one selected piece of unit evidence</x:v>
      </x:c>
      <x:c r="V154" s="27" t="str">
        <x:v>Learner identifies current Emerging / Developing / Secure / Mastering evidence and a useful next step.</x:v>
      </x:c>
      <x:c r="W154" s="27" t="str">
        <x:v>Settle 5 / Review 10 / Strengthen 15 / Evidence 10 / Next step 5</x:v>
      </x:c>
      <x:c r="X154" s="27" t="str">
        <x:v>NC KS3; 4MA1 1.5, 7.1</x:v>
      </x:c>
      <x:c r="Y154" s="27" t="str">
        <x:v>Low-Moderate; learner choice and reduced visual field</x:v>
      </x:c>
      <x:c r="Z154" s="27" t="str">
        <x:v>Live, Asynchronous, Independent</x:v>
      </x:c>
      <x:c r="AA154" s="27" t="str">
        <x:v>Architecture mapped</x:v>
      </x:c>
      <x:c r="AB154" s="27" t="str">
        <x:v>Designed breathing space. May become a return session after absence, a Practice Companion session, or a portfolio checkpoint.</x:v>
      </x:c>
    </x:row>
    <x:row r="155" ht="44" customHeight="1">
      <x:c r="A155" s="27" t="str">
        <x:v>NEO-MATH-Y9-152</x:v>
      </x:c>
      <x:c r="B155" s="27" t="n">
        <x:v>152</x:v>
      </x:c>
      <x:c r="C155" s="27" t="str">
        <x:v>NEO-MATH-Y9-10</x:v>
      </x:c>
      <x:c r="D155" s="27" t="n">
        <x:v>10</x:v>
      </x:c>
      <x:c r="E155" s="27" t="str">
        <x:v>Probability Trees and Conditional Change</x:v>
      </x:c>
      <x:c r="F155" s="27" t="str">
        <x:v>Data &amp; Uncertainty</x:v>
      </x:c>
      <x:c r="G155" s="27" t="n">
        <x:v>15</x:v>
      </x:c>
      <x:c r="H155" s="27" t="str">
        <x:v>Extension / Portfolio</x:v>
      </x:c>
      <x:c r="I155" s="27" t="str">
        <x:v>Open inquiry: Chance Model Explanation</x:v>
      </x:c>
      <x:c r="J155" s="27" t="str">
        <x:v>How far can I take compare experimental and theoretical probability when I choose the model or context?</x:v>
      </x:c>
      <x:c r="K155" s="27" t="str">
        <x:v>generalise and apply compare experimental and theoretical probability in a learner-selected or unfamiliar context</x:v>
      </x:c>
      <x:c r="L155" s="27" t="str">
        <x:v>compare experimental and theoretical probability</x:v>
      </x:c>
      <x:c r="M155" s="27" t="str">
        <x:v>Secure evidence in at least one central unit relationship</x:v>
      </x:c>
      <x:c r="N155" s="27" t="str"/>
      <x:c r="O155" s="27" t="str">
        <x:v>Creativity</x:v>
      </x:c>
      <x:c r="P155" s="27" t="str">
        <x:v>Movement, Reflection</x:v>
      </x:c>
      <x:c r="Q155" s="27" t="str">
        <x:v>Dynamic Probability Tree</x:v>
      </x:c>
      <x:c r="R155" s="27" t="str">
        <x:v>Evidence Lab</x:v>
      </x:c>
      <x:c r="S155" s="27" t="str">
        <x:v>Blank</x:v>
      </x:c>
      <x:c r="T155" s="27" t="str">
        <x:v>optional stretch / unfamiliar-context questions</x:v>
      </x:c>
      <x:c r="U155" s="27" t="str">
        <x:v>Chance Model Explanation</x:v>
      </x:c>
      <x:c r="V155" s="27" t="str">
        <x:v>Learner generalises compare experimental and theoretical probability, tests assumptions and communicates a defensible conclusion.</x:v>
      </x:c>
      <x:c r="W155" s="27" t="str">
        <x:v>Choose 5 / Conjecture 10 / Build or test 20 / Reflect 10</x:v>
      </x:c>
      <x:c r="X155" s="27" t="str">
        <x:v>NC KS3; 4MA1 1.5, 7.1</x:v>
      </x:c>
      <x:c r="Y155" s="27" t="str">
        <x:v>High; branch reveal</x:v>
      </x:c>
      <x:c r="Z155" s="27" t="str">
        <x:v>Live, Asynchronous, Independent</x:v>
      </x:c>
      <x:c r="AA155" s="27" t="str">
        <x:v>Architecture mapped</x:v>
      </x:c>
      <x:c r="AB155" s="27" t="str">
        <x:v>High-ceiling optional route. Can replace repeated practice where Secure evidence is already present.</x:v>
      </x:c>
    </x:row>
  </x:sheetData>
  <x:mergeCells>
    <x:mergeCell ref="A1:AB1"/>
    <x:mergeCell ref="A2:AB2"/>
  </x:mergeCells>
  <x:conditionalFormatting sqref="H4:H155">
    <x:cfRule type="expression" dxfId="0" priority="1">
      <x:formula>H4="Reconnection"</x:formula>
    </x:cfRule>
    <x:cfRule type="expression" dxfId="1" priority="2">
      <x:formula>H4="Core"</x:formula>
    </x:cfRule>
    <x:cfRule type="expression" dxfId="2" priority="3">
      <x:formula>H4="Consolidation / Mastery"</x:formula>
    </x:cfRule>
    <x:cfRule type="expression" dxfId="3" priority="4">
      <x:formula>H4="Extension / Portfolio"</x:formula>
    </x:cfRule>
    <x:cfRule type="expression" dxfId="4" priority="5">
      <x:formula>H4="Qualification Practice"</x:formula>
    </x:cfRule>
    <x:cfRule type="expression" dxfId="5" priority="6">
      <x:formula>H4="Portfolio / Pathway Review"</x:formula>
    </x:cfRule>
  </x:conditionalFormatting>
  <x:dataValidations count="2">
    <x:dataValidation type="list" sqref="AA4:AA155">
      <x:formula1>"Architecture mapped,Tool designed,HTML built,Guidance built,Reviewed,Locked"</x:formula1>
    </x:dataValidation>
    <x:dataValidation type="list" sqref="H4:H155">
      <x:formula1>"Core,Reconnection,Consolidation / Mastery,Extension / Portfolio,Qualification Practice,Portfolio / Pathway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b087ed77ad4ed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0" hidden="0" customWidth="1"/>
    <x:col min="5" max="5" width="30" hidden="0" customWidth="1"/>
    <x:col min="6" max="6" width="24" hidden="0" customWidth="1"/>
    <x:col min="7" max="7" width="12" hidden="0" customWidth="1"/>
    <x:col min="8" max="8" width="22" hidden="0" customWidth="1"/>
    <x:col min="9" max="9" width="34" hidden="0" customWidth="1"/>
    <x:col min="10" max="10" width="38" hidden="0" customWidth="1"/>
    <x:col min="11" max="11" width="34" hidden="0" customWidth="1"/>
    <x:col min="12" max="12" width="34" hidden="0" customWidth="1"/>
    <x:col min="13" max="13" width="34" hidden="0" customWidth="1"/>
    <x:col min="14" max="14" width="18" hidden="0" customWidth="1"/>
    <x:col min="15" max="15" width="18" hidden="0" customWidth="1"/>
    <x:col min="16" max="16" width="24" hidden="0" customWidth="1"/>
    <x:col min="17" max="17" width="30" hidden="0" customWidth="1"/>
    <x:col min="18" max="18" width="22" hidden="0" customWidth="1"/>
    <x:col min="19" max="19" width="20" hidden="0" customWidth="1"/>
    <x:col min="20" max="20" width="28" hidden="0" customWidth="1"/>
    <x:col min="21" max="21" width="32" hidden="0" customWidth="1"/>
    <x:col min="22" max="22" width="34" hidden="0" customWidth="1"/>
    <x:col min="23" max="23" width="30" hidden="0" customWidth="1"/>
    <x:col min="24" max="24" width="30" hidden="0" customWidth="1"/>
    <x:col min="25" max="25" width="26" hidden="0" customWidth="1"/>
    <x:col min="26" max="26" width="24" hidden="0" customWidth="1"/>
    <x:col min="27" max="27" width="18" hidden="0" customWidth="1"/>
    <x:col min="28" max="28" width="42" hidden="0" customWidth="1"/>
  </x:cols>
  <x:sheetData>
    <x:row r="1" ht="28" customHeight="1">
      <x:c r="A1" s="4" t="str">
        <x:v>NEO Mathematics Year 10 Lesson Architecture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</x:row>
    <x:row r="2" ht="34" customHeight="1">
      <x:c r="A2" s="10" t="str">
        <x:v>152 planned 45-minute session opportunities. A stronger common iGCSE Year 1 spine is supported by targeted prerequisite reconnection, qualification translation and portfolio/pathway review.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</x:row>
    <x:row r="3" ht="40" customHeight="1">
      <x:c r="A3" s="26" t="str">
        <x:v>Lesson ID</x:v>
      </x:c>
      <x:c r="B3" s="26" t="str">
        <x:v>Route Session</x:v>
      </x:c>
      <x:c r="C3" s="26" t="str">
        <x:v>Unit ID</x:v>
      </x:c>
      <x:c r="D3" s="26" t="str">
        <x:v>Unit Sequence</x:v>
      </x:c>
      <x:c r="E3" s="26" t="str">
        <x:v>Unit Title</x:v>
      </x:c>
      <x:c r="F3" s="26" t="str">
        <x:v>Mathematical Strand</x:v>
      </x:c>
      <x:c r="G3" s="26" t="str">
        <x:v>Lesson Sequence in Unit</x:v>
      </x:c>
      <x:c r="H3" s="26" t="str">
        <x:v>Lesson Type</x:v>
      </x:c>
      <x:c r="I3" s="26" t="str">
        <x:v>Lesson Title</x:v>
      </x:c>
      <x:c r="J3" s="26" t="str">
        <x:v>Lesson Driving Question</x:v>
      </x:c>
      <x:c r="K3" s="26" t="str">
        <x:v>Main Mathematical Move</x:v>
      </x:c>
      <x:c r="L3" s="26" t="str">
        <x:v>Stepping Stone Focus</x:v>
      </x:c>
      <x:c r="M3" s="26" t="str">
        <x:v>Prerequisite Check</x:v>
      </x:c>
      <x:c r="N3" s="26" t="str">
        <x:v>Reconnection Route</x:v>
      </x:c>
      <x:c r="O3" s="26" t="str">
        <x:v>Primary Cornerstone</x:v>
      </x:c>
      <x:c r="P3" s="26" t="str">
        <x:v>Secondary Cornerstones</x:v>
      </x:c>
      <x:c r="Q3" s="26" t="str">
        <x:v>Interactive Resource</x:v>
      </x:c>
      <x:c r="R3" s="26" t="str">
        <x:v>Resource / Tool Family</x:v>
      </x:c>
      <x:c r="S3" s="26" t="str">
        <x:v>Scratchpad Preset</x:v>
      </x:c>
      <x:c r="T3" s="26" t="str">
        <x:v>Practice Companion Focus</x:v>
      </x:c>
      <x:c r="U3" s="26" t="str">
        <x:v>Evidence Opportunity</x:v>
      </x:c>
      <x:c r="V3" s="26" t="str">
        <x:v>Mastery Check</x:v>
      </x:c>
      <x:c r="W3" s="26" t="str">
        <x:v>Suggested Session Shape</x:v>
      </x:c>
      <x:c r="X3" s="26" t="str">
        <x:v>Qualification Overlay</x:v>
      </x:c>
      <x:c r="Y3" s="26" t="str">
        <x:v>Sensory / Cognitive Load</x:v>
      </x:c>
      <x:c r="Z3" s="26" t="str">
        <x:v>Delivery Modes</x:v>
      </x:c>
      <x:c r="AA3" s="26" t="str">
        <x:v>Build Status</x:v>
      </x:c>
      <x:c r="AB3" s="26" t="str">
        <x:v>Design Note</x:v>
      </x:c>
    </x:row>
    <x:row r="4" ht="44" customHeight="1">
      <x:c r="A4" s="27" t="str">
        <x:v>NEO-MATH-Y10-001</x:v>
      </x:c>
      <x:c r="B4" s="27" t="n">
        <x:v>1</x:v>
      </x:c>
      <x:c r="C4" s="27" t="str">
        <x:v>NEO-MATH-Y10-01</x:v>
      </x:c>
      <x:c r="D4" s="27" t="n">
        <x:v>1</x:v>
      </x:c>
      <x:c r="E4" s="27" t="str">
        <x:v>Number Systems and Calculator Judgement</x:v>
      </x:c>
      <x:c r="F4" s="27" t="str">
        <x:v>Number Sense</x:v>
      </x:c>
      <x:c r="G4" s="27" t="n">
        <x:v>1</x:v>
      </x:c>
      <x:c r="H4" s="27" t="str">
        <x:v>Core</x:v>
      </x:c>
      <x:c r="I4" s="27" t="str">
        <x:v>Connect &amp; notice: Calculate with integers, fractions and decimals</x:v>
      </x:c>
      <x:c r="J4" s="27" t="str">
        <x:v>What do I already notice about calculate with integers, fractions and decimals?</x:v>
      </x:c>
      <x:c r="K4" s="27" t="str">
        <x:v>calculate with integers, fractions and decimals</x:v>
      </x:c>
      <x:c r="L4" s="27" t="str">
        <x:v>calculate with integers, fractions and decimals</x:v>
      </x:c>
      <x:c r="M4" s="27" t="str">
        <x:v>learner entry knowledge and representation confidence</x:v>
      </x:c>
      <x:c r="N4" s="27" t="str"/>
      <x:c r="O4" s="27" t="str">
        <x:v>Reflection</x:v>
      </x:c>
      <x:c r="P4" s="27" t="str">
        <x:v>Rest, Connection</x:v>
      </x:c>
      <x:c r="Q4" s="27" t="str">
        <x:v>Calculator Input Detective</x:v>
      </x:c>
      <x:c r="R4" s="27" t="str">
        <x:v>Number Explorer</x:v>
      </x:c>
      <x:c r="S4" s="27" t="str">
        <x:v>Blank</x:v>
      </x:c>
      <x:c r="T4" s="27" t="str">
        <x:v>Number Systems and Calculator Judgement – calculate with integers, fractions and decimals</x:v>
      </x:c>
      <x:c r="U4" s="27" t="str">
        <x:v>Scratchpad prediction or notice about calculate with integers, fractions and decimals</x:v>
      </x:c>
      <x:c r="V4" s="27" t="str">
        <x:v>Learner can calculate with integers, fractions and decimals and give a reason or check.</x:v>
      </x:c>
      <x:c r="W4" s="27" t="str">
        <x:v>Connect 8 / Explore 20 / Notice 10 / Reflect 7</x:v>
      </x:c>
      <x:c r="X4" s="27" t="str">
        <x:v>Pearson Edexcel 4MA1 1.1-1.3, 1.8, 1.11</x:v>
      </x:c>
      <x:c r="Y4" s="27" t="str">
        <x:v>Moderate</x:v>
      </x:c>
      <x:c r="Z4" s="27" t="str">
        <x:v>Live, Asynchronous, Independent</x:v>
      </x:c>
      <x:c r="AA4" s="27" t="str">
        <x:v>Architecture mapped</x:v>
      </x:c>
      <x:c r="AB4" s="27" t="str">
        <x:v>Part of the canonical Y10 route. May pause or branch to a Reconnection lesson before returning.</x:v>
      </x:c>
    </x:row>
    <x:row r="5" ht="44" customHeight="1">
      <x:c r="A5" s="27" t="str">
        <x:v>NEO-MATH-Y10-002</x:v>
      </x:c>
      <x:c r="B5" s="27" t="n">
        <x:v>2</x:v>
      </x:c>
      <x:c r="C5" s="27" t="str">
        <x:v>NEO-MATH-Y10-01</x:v>
      </x:c>
      <x:c r="D5" s="27" t="n">
        <x:v>1</x:v>
      </x:c>
      <x:c r="E5" s="27" t="str">
        <x:v>Number Systems and Calculator Judgement</x:v>
      </x:c>
      <x:c r="F5" s="27" t="str">
        <x:v>Number Sense</x:v>
      </x:c>
      <x:c r="G5" s="27" t="n">
        <x:v>2</x:v>
      </x:c>
      <x:c r="H5" s="27" t="str">
        <x:v>Core</x:v>
      </x:c>
      <x:c r="I5" s="27" t="str">
        <x:v>Build the idea: Use BIDMAS</x:v>
      </x:c>
      <x:c r="J5" s="27" t="str">
        <x:v>What does use BIDMAS mean before I use a procedure?</x:v>
      </x:c>
      <x:c r="K5" s="27" t="str">
        <x:v>use BIDMAS</x:v>
      </x:c>
      <x:c r="L5" s="27" t="str">
        <x:v>use BIDMAS</x:v>
      </x:c>
      <x:c r="M5" s="27" t="str">
        <x:v>calculate with integers, fractions and decimals</x:v>
      </x:c>
      <x:c r="N5" s="27" t="str"/>
      <x:c r="O5" s="27" t="str">
        <x:v>Reflection</x:v>
      </x:c>
      <x:c r="P5" s="27" t="str">
        <x:v>Rest, Connection</x:v>
      </x:c>
      <x:c r="Q5" s="27" t="str">
        <x:v>Calculator Input Detective</x:v>
      </x:c>
      <x:c r="R5" s="27" t="str">
        <x:v>Number Explorer</x:v>
      </x:c>
      <x:c r="S5" s="27" t="str">
        <x:v>Blank</x:v>
      </x:c>
      <x:c r="T5" s="27" t="str">
        <x:v>Number Systems and Calculator Judgement – use BIDMAS</x:v>
      </x:c>
      <x:c r="U5" s="27" t="str">
        <x:v>Annotated representation of use BIDMAS</x:v>
      </x:c>
      <x:c r="V5" s="27" t="str">
        <x:v>Learner can use BIDMAS and give a reason or check.</x:v>
      </x:c>
      <x:c r="W5" s="27" t="str">
        <x:v>Connect 5 / Explore 20 / Create or Apply 12 / Reflect 8</x:v>
      </x:c>
      <x:c r="X5" s="27" t="str">
        <x:v>Pearson Edexcel 4MA1 1.1-1.3, 1.8, 1.11</x:v>
      </x:c>
      <x:c r="Y5" s="27" t="str">
        <x:v>Moderate</x:v>
      </x:c>
      <x:c r="Z5" s="27" t="str">
        <x:v>Live, Asynchronous, Independent</x:v>
      </x:c>
      <x:c r="AA5" s="27" t="str">
        <x:v>Architecture mapped</x:v>
      </x:c>
      <x:c r="AB5" s="27" t="str">
        <x:v>Part of the canonical Y10 route. May pause or branch to a Reconnection lesson before returning.</x:v>
      </x:c>
    </x:row>
    <x:row r="6" ht="44" customHeight="1">
      <x:c r="A6" s="27" t="str">
        <x:v>NEO-MATH-Y10-003</x:v>
      </x:c>
      <x:c r="B6" s="27" t="n">
        <x:v>3</x:v>
      </x:c>
      <x:c r="C6" s="27" t="str">
        <x:v>NEO-MATH-Y10-01</x:v>
      </x:c>
      <x:c r="D6" s="27" t="n">
        <x:v>1</x:v>
      </x:c>
      <x:c r="E6" s="27" t="str">
        <x:v>Number Systems and Calculator Judgement</x:v>
      </x:c>
      <x:c r="F6" s="27" t="str">
        <x:v>Number Sense</x:v>
      </x:c>
      <x:c r="G6" s="27" t="n">
        <x:v>3</x:v>
      </x:c>
      <x:c r="H6" s="27" t="str">
        <x:v>Core</x:v>
      </x:c>
      <x:c r="I6" s="27" t="str">
        <x:v>Represent it: Round accurately</x:v>
      </x:c>
      <x:c r="J6" s="27" t="str">
        <x:v>How can I show round accurately in more than one way?</x:v>
      </x:c>
      <x:c r="K6" s="27" t="str">
        <x:v>round accurately</x:v>
      </x:c>
      <x:c r="L6" s="27" t="str">
        <x:v>round accurately</x:v>
      </x:c>
      <x:c r="M6" s="27" t="str">
        <x:v>use BIDMAS</x:v>
      </x:c>
      <x:c r="N6" s="27" t="str"/>
      <x:c r="O6" s="27" t="str">
        <x:v>Reflection</x:v>
      </x:c>
      <x:c r="P6" s="27" t="str">
        <x:v>Rest, Connection</x:v>
      </x:c>
      <x:c r="Q6" s="27" t="str">
        <x:v>Calculator Input Detective</x:v>
      </x:c>
      <x:c r="R6" s="27" t="str">
        <x:v>Number Explorer</x:v>
      </x:c>
      <x:c r="S6" s="27" t="str">
        <x:v>Blank</x:v>
      </x:c>
      <x:c r="T6" s="27" t="str">
        <x:v>Number Systems and Calculator Judgement – round accurately</x:v>
      </x:c>
      <x:c r="U6" s="27" t="str">
        <x:v>Annotated representation of round accurately</x:v>
      </x:c>
      <x:c r="V6" s="27" t="str">
        <x:v>Learner can round accurately and give a reason or check.</x:v>
      </x:c>
      <x:c r="W6" s="27" t="str">
        <x:v>Connect 5 / Explore 20 / Create or Apply 12 / Reflect 8</x:v>
      </x:c>
      <x:c r="X6" s="27" t="str">
        <x:v>Pearson Edexcel 4MA1 1.1-1.3, 1.8, 1.11</x:v>
      </x:c>
      <x:c r="Y6" s="27" t="str">
        <x:v>Moderate</x:v>
      </x:c>
      <x:c r="Z6" s="27" t="str">
        <x:v>Live, Asynchronous, Independent</x:v>
      </x:c>
      <x:c r="AA6" s="27" t="str">
        <x:v>Architecture mapped</x:v>
      </x:c>
      <x:c r="AB6" s="27" t="str">
        <x:v>Part of the canonical Y10 route. May pause or branch to a Reconnection lesson before returning.</x:v>
      </x:c>
    </x:row>
    <x:row r="7" ht="44" customHeight="1">
      <x:c r="A7" s="27" t="str">
        <x:v>NEO-MATH-Y10-004</x:v>
      </x:c>
      <x:c r="B7" s="27" t="n">
        <x:v>4</x:v>
      </x:c>
      <x:c r="C7" s="27" t="str">
        <x:v>NEO-MATH-Y10-01</x:v>
      </x:c>
      <x:c r="D7" s="27" t="n">
        <x:v>1</x:v>
      </x:c>
      <x:c r="E7" s="27" t="str">
        <x:v>Number Systems and Calculator Judgement</x:v>
      </x:c>
      <x:c r="F7" s="27" t="str">
        <x:v>Number Sense</x:v>
      </x:c>
      <x:c r="G7" s="27" t="n">
        <x:v>4</x:v>
      </x:c>
      <x:c r="H7" s="27" t="str">
        <x:v>Reconnection</x:v>
      </x:c>
      <x:c r="I7" s="27" t="str">
        <x:v>Reconnection: Four operations and inverse checks</x:v>
      </x:c>
      <x:c r="J7" s="27" t="str">
        <x:v>How can an inverse catch a convincing mistake?</x:v>
      </x:c>
      <x:c r="K7" s="27" t="str">
        <x:v>use operations and inverse checks</x:v>
      </x:c>
      <x:c r="L7" s="27" t="str">
        <x:v>use operations and inverse checks</x:v>
      </x:c>
      <x:c r="M7" s="27" t="str">
        <x:v>Branch triggered when use operations and inverse checks is not yet secure enough for the current unit.</x:v>
      </x:c>
      <x:c r="N7" s="27" t="str">
        <x:v>REC-NUM-03</x:v>
      </x:c>
      <x:c r="O7" s="27" t="str">
        <x:v>Connection</x:v>
      </x:c>
      <x:c r="P7" s="27" t="str">
        <x:v>Reflection, Rest</x:v>
      </x:c>
      <x:c r="Q7" s="27" t="str">
        <x:v>Estimate–Calculate–Check Lab</x:v>
      </x:c>
      <x:c r="R7" s="27" t="str">
        <x:v>Number Explorer</x:v>
      </x:c>
      <x:c r="S7" s="27" t="str">
        <x:v>Blank</x:v>
      </x:c>
      <x:c r="T7" s="27" t="str">
        <x:v>Four operations and inverse checks targeted practice</x:v>
      </x:c>
      <x:c r="U7" s="27" t="str">
        <x:v>Short reconnection evidence: use operations and inverse checks</x:v>
      </x:c>
      <x:c r="V7" s="27" t="str">
        <x:v>Learner can use operations and inverse checks sufficiently to return to Number Systems and Calculator Judgement.</x:v>
      </x:c>
      <x:c r="W7" s="27" t="str">
        <x:v>Arrive 5 / Reconnect 20 / Test 10 / Return link 10</x:v>
      </x:c>
      <x:c r="X7" s="27" t="str">
        <x:v>Pearson Edexcel 4MA1 1.1-1.3, 1.8, 1.11</x:v>
      </x:c>
      <x:c r="Y7" s="27" t="str">
        <x:v>Low-Moderate; targeted prerequisite repair</x:v>
      </x:c>
      <x:c r="Z7" s="27" t="str">
        <x:v>Live, Asynchronous, Independent</x:v>
      </x:c>
      <x:c r="AA7" s="27" t="str">
        <x:v>Architecture mapped</x:v>
      </x:c>
      <x:c r="AB7" s="27" t="str">
        <x:v>Not 'catch-up'. A targeted route from Year 7 learning that reconnects the learner to NEO-MATH-Y10-01.</x:v>
      </x:c>
    </x:row>
    <x:row r="8" ht="44" customHeight="1">
      <x:c r="A8" s="27" t="str">
        <x:v>NEO-MATH-Y10-005</x:v>
      </x:c>
      <x:c r="B8" s="27" t="n">
        <x:v>5</x:v>
      </x:c>
      <x:c r="C8" s="27" t="str">
        <x:v>NEO-MATH-Y10-01</x:v>
      </x:c>
      <x:c r="D8" s="27" t="n">
        <x:v>1</x:v>
      </x:c>
      <x:c r="E8" s="27" t="str">
        <x:v>Number Systems and Calculator Judgement</x:v>
      </x:c>
      <x:c r="F8" s="27" t="str">
        <x:v>Number Sense</x:v>
      </x:c>
      <x:c r="G8" s="27" t="n">
        <x:v>4</x:v>
      </x:c>
      <x:c r="H8" s="27" t="str">
        <x:v>Core</x:v>
      </x:c>
      <x:c r="I8" s="27" t="str">
        <x:v>Try one change: Estimate</x:v>
      </x:c>
      <x:c r="J8" s="27" t="str">
        <x:v>What changes when I adjust one part of estimate?</x:v>
      </x:c>
      <x:c r="K8" s="27" t="str">
        <x:v>estimate</x:v>
      </x:c>
      <x:c r="L8" s="27" t="str">
        <x:v>estimate</x:v>
      </x:c>
      <x:c r="M8" s="27" t="str">
        <x:v>round accurately</x:v>
      </x:c>
      <x:c r="N8" s="27" t="str"/>
      <x:c r="O8" s="27" t="str">
        <x:v>Reflection</x:v>
      </x:c>
      <x:c r="P8" s="27" t="str">
        <x:v>Rest, Connection</x:v>
      </x:c>
      <x:c r="Q8" s="27" t="str">
        <x:v>Calculator Input Detective</x:v>
      </x:c>
      <x:c r="R8" s="27" t="str">
        <x:v>Number Explorer</x:v>
      </x:c>
      <x:c r="S8" s="27" t="str">
        <x:v>Blank</x:v>
      </x:c>
      <x:c r="T8" s="27" t="str">
        <x:v>Number Systems and Calculator Judgement – estimate</x:v>
      </x:c>
      <x:c r="U8" s="27" t="str">
        <x:v>Annotated representation of estimate</x:v>
      </x:c>
      <x:c r="V8" s="27" t="str">
        <x:v>Learner can estimate and give a reason or check.</x:v>
      </x:c>
      <x:c r="W8" s="27" t="str">
        <x:v>Connect 5 / Explore 20 / Create or Apply 12 / Reflect 8</x:v>
      </x:c>
      <x:c r="X8" s="27" t="str">
        <x:v>Pearson Edexcel 4MA1 1.1-1.3, 1.8, 1.11</x:v>
      </x:c>
      <x:c r="Y8" s="27" t="str">
        <x:v>Moderate</x:v>
      </x:c>
      <x:c r="Z8" s="27" t="str">
        <x:v>Live, Asynchronous, Independent</x:v>
      </x:c>
      <x:c r="AA8" s="27" t="str">
        <x:v>Architecture mapped</x:v>
      </x:c>
      <x:c r="AB8" s="27" t="str">
        <x:v>Part of the canonical Y10 route. May pause or branch to a Reconnection lesson before returning.</x:v>
      </x:c>
    </x:row>
    <x:row r="9" ht="44" customHeight="1">
      <x:c r="A9" s="27" t="str">
        <x:v>NEO-MATH-Y10-006</x:v>
      </x:c>
      <x:c r="B9" s="27" t="n">
        <x:v>6</x:v>
      </x:c>
      <x:c r="C9" s="27" t="str">
        <x:v>NEO-MATH-Y10-01</x:v>
      </x:c>
      <x:c r="D9" s="27" t="n">
        <x:v>1</x:v>
      </x:c>
      <x:c r="E9" s="27" t="str">
        <x:v>Number Systems and Calculator Judgement</x:v>
      </x:c>
      <x:c r="F9" s="27" t="str">
        <x:v>Number Sense</x:v>
      </x:c>
      <x:c r="G9" s="27" t="n">
        <x:v>5</x:v>
      </x:c>
      <x:c r="H9" s="27" t="str">
        <x:v>Core</x:v>
      </x:c>
      <x:c r="I9" s="27" t="str">
        <x:v>Connect ideas: Use a scientific calculator</x:v>
      </x:c>
      <x:c r="J9" s="27" t="str">
        <x:v>How does use a scientific calculator connect to the earlier relationship?</x:v>
      </x:c>
      <x:c r="K9" s="27" t="str">
        <x:v>use a scientific calculator</x:v>
      </x:c>
      <x:c r="L9" s="27" t="str">
        <x:v>use a scientific calculator</x:v>
      </x:c>
      <x:c r="M9" s="27" t="str">
        <x:v>estimate</x:v>
      </x:c>
      <x:c r="N9" s="27" t="str"/>
      <x:c r="O9" s="27" t="str">
        <x:v>Reflection</x:v>
      </x:c>
      <x:c r="P9" s="27" t="str">
        <x:v>Rest, Connection</x:v>
      </x:c>
      <x:c r="Q9" s="27" t="str">
        <x:v>Calculator Input Detective</x:v>
      </x:c>
      <x:c r="R9" s="27" t="str">
        <x:v>Number Explorer</x:v>
      </x:c>
      <x:c r="S9" s="27" t="str">
        <x:v>Blank</x:v>
      </x:c>
      <x:c r="T9" s="27" t="str">
        <x:v>Number Systems and Calculator Judgement – use a scientific calculator</x:v>
      </x:c>
      <x:c r="U9" s="27" t="str">
        <x:v>Annotated representation of use a scientific calculator</x:v>
      </x:c>
      <x:c r="V9" s="27" t="str">
        <x:v>Learner can use a scientific calculator and give a reason or check.</x:v>
      </x:c>
      <x:c r="W9" s="27" t="str">
        <x:v>Connect 8 / Explore 20 / Notice 10 / Reflect 7</x:v>
      </x:c>
      <x:c r="X9" s="27" t="str">
        <x:v>Pearson Edexcel 4MA1 1.1-1.3, 1.8, 1.11</x:v>
      </x:c>
      <x:c r="Y9" s="27" t="str">
        <x:v>Moderate</x:v>
      </x:c>
      <x:c r="Z9" s="27" t="str">
        <x:v>Live, Asynchronous, Independent</x:v>
      </x:c>
      <x:c r="AA9" s="27" t="str">
        <x:v>Architecture mapped</x:v>
      </x:c>
      <x:c r="AB9" s="27" t="str">
        <x:v>Part of the canonical Y10 route. May pause or branch to a Reconnection lesson before returning.</x:v>
      </x:c>
    </x:row>
    <x:row r="10" ht="44" customHeight="1">
      <x:c r="A10" s="27" t="str">
        <x:v>NEO-MATH-Y10-007</x:v>
      </x:c>
      <x:c r="B10" s="27" t="n">
        <x:v>7</x:v>
      </x:c>
      <x:c r="C10" s="27" t="str">
        <x:v>NEO-MATH-Y10-01</x:v>
      </x:c>
      <x:c r="D10" s="27" t="n">
        <x:v>1</x:v>
      </x:c>
      <x:c r="E10" s="27" t="str">
        <x:v>Number Systems and Calculator Judgement</x:v>
      </x:c>
      <x:c r="F10" s="27" t="str">
        <x:v>Number Sense</x:v>
      </x:c>
      <x:c r="G10" s="27" t="n">
        <x:v>6</x:v>
      </x:c>
      <x:c r="H10" s="27" t="str">
        <x:v>Core</x:v>
      </x:c>
      <x:c r="I10" s="27" t="str">
        <x:v>Repair a misconception: Judge reasonableness</x:v>
      </x:c>
      <x:c r="J10" s="27" t="str">
        <x:v>What tempting mistake can judge reasonableness create?</x:v>
      </x:c>
      <x:c r="K10" s="27" t="str">
        <x:v>judge reasonableness</x:v>
      </x:c>
      <x:c r="L10" s="27" t="str">
        <x:v>judge reasonableness</x:v>
      </x:c>
      <x:c r="M10" s="27" t="str">
        <x:v>use a scientific calculator</x:v>
      </x:c>
      <x:c r="N10" s="27" t="str"/>
      <x:c r="O10" s="27" t="str">
        <x:v>Reflection</x:v>
      </x:c>
      <x:c r="P10" s="27" t="str">
        <x:v>Rest, Connection</x:v>
      </x:c>
      <x:c r="Q10" s="27" t="str">
        <x:v>Calculator Input Detective</x:v>
      </x:c>
      <x:c r="R10" s="27" t="str">
        <x:v>Number Explorer</x:v>
      </x:c>
      <x:c r="S10" s="27" t="str">
        <x:v>Blank</x:v>
      </x:c>
      <x:c r="T10" s="27" t="str">
        <x:v>Number Systems and Calculator Judgement – judge reasonableness</x:v>
      </x:c>
      <x:c r="U10" s="27" t="str">
        <x:v>Corrected misconception note: judge reasonableness</x:v>
      </x:c>
      <x:c r="V10" s="27" t="str">
        <x:v>Learner can judge reasonableness and give a reason or check.</x:v>
      </x:c>
      <x:c r="W10" s="27" t="str">
        <x:v>Connect 5 / Explore 20 / Create or Apply 12 / Reflect 8</x:v>
      </x:c>
      <x:c r="X10" s="27" t="str">
        <x:v>Pearson Edexcel 4MA1 1.1-1.3, 1.8, 1.11</x:v>
      </x:c>
      <x:c r="Y10" s="27" t="str">
        <x:v>Moderate</x:v>
      </x:c>
      <x:c r="Z10" s="27" t="str">
        <x:v>Live, Asynchronous, Independent</x:v>
      </x:c>
      <x:c r="AA10" s="27" t="str">
        <x:v>Architecture mapped</x:v>
      </x:c>
      <x:c r="AB10" s="27" t="str">
        <x:v>Part of the canonical Y10 route. May pause or branch to a Reconnection lesson before returning.</x:v>
      </x:c>
    </x:row>
    <x:row r="11" ht="44" customHeight="1">
      <x:c r="A11" s="27" t="str">
        <x:v>NEO-MATH-Y10-008</x:v>
      </x:c>
      <x:c r="B11" s="27" t="n">
        <x:v>8</x:v>
      </x:c>
      <x:c r="C11" s="27" t="str">
        <x:v>NEO-MATH-Y10-01</x:v>
      </x:c>
      <x:c r="D11" s="27" t="n">
        <x:v>1</x:v>
      </x:c>
      <x:c r="E11" s="27" t="str">
        <x:v>Number Systems and Calculator Judgement</x:v>
      </x:c>
      <x:c r="F11" s="27" t="str">
        <x:v>Number Sense</x:v>
      </x:c>
      <x:c r="G11" s="27" t="n">
        <x:v>7</x:v>
      </x:c>
      <x:c r="H11" s="27" t="str">
        <x:v>Core</x:v>
      </x:c>
      <x:c r="I11" s="27" t="str">
        <x:v>Apply in context: Calculate with integers, fractions and decimals</x:v>
      </x:c>
      <x:c r="J11" s="27" t="str">
        <x:v>Where might calculate with integers, fractions and decimals help with a real decision?</x:v>
      </x:c>
      <x:c r="K11" s="27" t="str">
        <x:v>calculate with integers, fractions and decimals</x:v>
      </x:c>
      <x:c r="L11" s="27" t="str">
        <x:v>calculate with integers, fractions and decimals</x:v>
      </x:c>
      <x:c r="M11" s="27" t="str">
        <x:v>judge reasonableness</x:v>
      </x:c>
      <x:c r="N11" s="27" t="str"/>
      <x:c r="O11" s="27" t="str">
        <x:v>Reflection</x:v>
      </x:c>
      <x:c r="P11" s="27" t="str">
        <x:v>Rest, Connection</x:v>
      </x:c>
      <x:c r="Q11" s="27" t="str">
        <x:v>Calculator Input Detective</x:v>
      </x:c>
      <x:c r="R11" s="27" t="str">
        <x:v>Number Explorer</x:v>
      </x:c>
      <x:c r="S11" s="27" t="str">
        <x:v>Blank</x:v>
      </x:c>
      <x:c r="T11" s="27" t="str">
        <x:v>Number Systems and Calculator Judgement – calculate with integers, fractions and decimals</x:v>
      </x:c>
      <x:c r="U11" s="27" t="str">
        <x:v>Short contextual application of calculate with integers, fractions and decimals</x:v>
      </x:c>
      <x:c r="V11" s="27" t="str">
        <x:v>Learner can calculate with integers, fractions and decimals and give a reason or check.</x:v>
      </x:c>
      <x:c r="W11" s="27" t="str">
        <x:v>Connect 5 / Explore 20 / Create or Apply 12 / Reflect 8</x:v>
      </x:c>
      <x:c r="X11" s="27" t="str">
        <x:v>Pearson Edexcel 4MA1 1.1-1.3, 1.8, 1.11</x:v>
      </x:c>
      <x:c r="Y11" s="27" t="str">
        <x:v>Moderate</x:v>
      </x:c>
      <x:c r="Z11" s="27" t="str">
        <x:v>Live, Asynchronous, Independent</x:v>
      </x:c>
      <x:c r="AA11" s="27" t="str">
        <x:v>Architecture mapped</x:v>
      </x:c>
      <x:c r="AB11" s="27" t="str">
        <x:v>Part of the canonical Y10 route. May pause or branch to a Reconnection lesson before returning.</x:v>
      </x:c>
    </x:row>
    <x:row r="12" ht="44" customHeight="1">
      <x:c r="A12" s="27" t="str">
        <x:v>NEO-MATH-Y10-009</x:v>
      </x:c>
      <x:c r="B12" s="27" t="n">
        <x:v>9</x:v>
      </x:c>
      <x:c r="C12" s="27" t="str">
        <x:v>NEO-MATH-Y10-01</x:v>
      </x:c>
      <x:c r="D12" s="27" t="n">
        <x:v>1</x:v>
      </x:c>
      <x:c r="E12" s="27" t="str">
        <x:v>Number Systems and Calculator Judgement</x:v>
      </x:c>
      <x:c r="F12" s="27" t="str">
        <x:v>Number Sense</x:v>
      </x:c>
      <x:c r="G12" s="27" t="n">
        <x:v>8</x:v>
      </x:c>
      <x:c r="H12" s="27" t="str">
        <x:v>Core</x:v>
      </x:c>
      <x:c r="I12" s="27" t="str">
        <x:v>Model and test: Use BIDMAS</x:v>
      </x:c>
      <x:c r="J12" s="27" t="str">
        <x:v>Can I build a model using use BIDMAS and test it?</x:v>
      </x:c>
      <x:c r="K12" s="27" t="str">
        <x:v>use BIDMAS</x:v>
      </x:c>
      <x:c r="L12" s="27" t="str">
        <x:v>use BIDMAS</x:v>
      </x:c>
      <x:c r="M12" s="27" t="str">
        <x:v>calculate with integers, fractions and decimals</x:v>
      </x:c>
      <x:c r="N12" s="27" t="str"/>
      <x:c r="O12" s="27" t="str">
        <x:v>Reflection</x:v>
      </x:c>
      <x:c r="P12" s="27" t="str">
        <x:v>Rest, Connection</x:v>
      </x:c>
      <x:c r="Q12" s="27" t="str">
        <x:v>Calculator Input Detective</x:v>
      </x:c>
      <x:c r="R12" s="27" t="str">
        <x:v>Number Explorer</x:v>
      </x:c>
      <x:c r="S12" s="27" t="str">
        <x:v>Blank</x:v>
      </x:c>
      <x:c r="T12" s="27" t="str">
        <x:v>Number Systems and Calculator Judgement – use BIDMAS</x:v>
      </x:c>
      <x:c r="U12" s="27" t="str">
        <x:v>Tested model using use BIDMAS</x:v>
      </x:c>
      <x:c r="V12" s="27" t="str">
        <x:v>Learner can use BIDMAS and give a reason or check.</x:v>
      </x:c>
      <x:c r="W12" s="27" t="str">
        <x:v>Connect 5 / Explore 20 / Create or Apply 12 / Reflect 8</x:v>
      </x:c>
      <x:c r="X12" s="27" t="str">
        <x:v>Pearson Edexcel 4MA1 1.1-1.3, 1.8, 1.11</x:v>
      </x:c>
      <x:c r="Y12" s="27" t="str">
        <x:v>Moderate</x:v>
      </x:c>
      <x:c r="Z12" s="27" t="str">
        <x:v>Live, Asynchronous, Independent</x:v>
      </x:c>
      <x:c r="AA12" s="27" t="str">
        <x:v>Architecture mapped</x:v>
      </x:c>
      <x:c r="AB12" s="27" t="str">
        <x:v>Part of the canonical Y10 route. May pause or branch to a Reconnection lesson before returning.</x:v>
      </x:c>
    </x:row>
    <x:row r="13" ht="44" customHeight="1">
      <x:c r="A13" s="27" t="str">
        <x:v>NEO-MATH-Y10-010</x:v>
      </x:c>
      <x:c r="B13" s="27" t="n">
        <x:v>10</x:v>
      </x:c>
      <x:c r="C13" s="27" t="str">
        <x:v>NEO-MATH-Y10-01</x:v>
      </x:c>
      <x:c r="D13" s="27" t="n">
        <x:v>1</x:v>
      </x:c>
      <x:c r="E13" s="27" t="str">
        <x:v>Number Systems and Calculator Judgement</x:v>
      </x:c>
      <x:c r="F13" s="27" t="str">
        <x:v>Number Sense</x:v>
      </x:c>
      <x:c r="G13" s="27" t="n">
        <x:v>9</x:v>
      </x:c>
      <x:c r="H13" s="27" t="str">
        <x:v>Core</x:v>
      </x:c>
      <x:c r="I13" s="27" t="str">
        <x:v>Compare strategies: Round accurately</x:v>
      </x:c>
      <x:c r="J13" s="27" t="str">
        <x:v>Which route through round accurately is clearest or most efficient?</x:v>
      </x:c>
      <x:c r="K13" s="27" t="str">
        <x:v>round accurately</x:v>
      </x:c>
      <x:c r="L13" s="27" t="str">
        <x:v>round accurately</x:v>
      </x:c>
      <x:c r="M13" s="27" t="str">
        <x:v>use BIDMAS</x:v>
      </x:c>
      <x:c r="N13" s="27" t="str"/>
      <x:c r="O13" s="27" t="str">
        <x:v>Reflection</x:v>
      </x:c>
      <x:c r="P13" s="27" t="str">
        <x:v>Rest, Connection</x:v>
      </x:c>
      <x:c r="Q13" s="27" t="str">
        <x:v>Calculator Input Detective</x:v>
      </x:c>
      <x:c r="R13" s="27" t="str">
        <x:v>Number Explorer</x:v>
      </x:c>
      <x:c r="S13" s="27" t="str">
        <x:v>Blank</x:v>
      </x:c>
      <x:c r="T13" s="27" t="str">
        <x:v>Number Systems and Calculator Judgement – round accurately</x:v>
      </x:c>
      <x:c r="U13" s="27" t="str">
        <x:v>Two-route comparison for round accurately</x:v>
      </x:c>
      <x:c r="V13" s="27" t="str">
        <x:v>Learner can round accurately and give a reason or check.</x:v>
      </x:c>
      <x:c r="W13" s="27" t="str">
        <x:v>Connect 5 / Explore 20 / Create or Apply 12 / Reflect 8</x:v>
      </x:c>
      <x:c r="X13" s="27" t="str">
        <x:v>Pearson Edexcel 4MA1 1.1-1.3, 1.8, 1.11</x:v>
      </x:c>
      <x:c r="Y13" s="27" t="str">
        <x:v>Moderate</x:v>
      </x:c>
      <x:c r="Z13" s="27" t="str">
        <x:v>Live, Asynchronous, Independent</x:v>
      </x:c>
      <x:c r="AA13" s="27" t="str">
        <x:v>Architecture mapped</x:v>
      </x:c>
      <x:c r="AB13" s="27" t="str">
        <x:v>Part of the canonical Y10 route. May pause or branch to a Reconnection lesson before returning.</x:v>
      </x:c>
    </x:row>
    <x:row r="14" ht="44" customHeight="1">
      <x:c r="A14" s="27" t="str">
        <x:v>NEO-MATH-Y10-011</x:v>
      </x:c>
      <x:c r="B14" s="27" t="n">
        <x:v>11</x:v>
      </x:c>
      <x:c r="C14" s="27" t="str">
        <x:v>NEO-MATH-Y10-01</x:v>
      </x:c>
      <x:c r="D14" s="27" t="n">
        <x:v>1</x:v>
      </x:c>
      <x:c r="E14" s="27" t="str">
        <x:v>Number Systems and Calculator Judgement</x:v>
      </x:c>
      <x:c r="F14" s="27" t="str">
        <x:v>Number Sense</x:v>
      </x:c>
      <x:c r="G14" s="27" t="n">
        <x:v>11</x:v>
      </x:c>
      <x:c r="H14" s="27" t="str">
        <x:v>Qualification Practice</x:v>
      </x:c>
      <x:c r="I14" s="27" t="str">
        <x:v>Assessment translation 1: Calculate with integers, fractions and decimals</x:v>
      </x:c>
      <x:c r="J14" s="27" t="str">
        <x:v>How might a qualification question hide the need to calculate with integers, fractions and decimals?</x:v>
      </x:c>
      <x:c r="K14" s="27" t="str">
        <x:v>translate assessed wording into the canonical move: calculate with integers, fractions and decimals</x:v>
      </x:c>
      <x:c r="L14" s="27" t="str">
        <x:v>calculate with integers, fractions and decimals</x:v>
      </x:c>
      <x:c r="M14" s="27" t="str">
        <x:v>relevant core concept plus question-reading routine</x:v>
      </x:c>
      <x:c r="N14" s="27" t="str">
        <x:v>REC-SRL-01 if wording blocks mathematical access</x:v>
      </x:c>
      <x:c r="O14" s="27" t="str">
        <x:v>Reflection</x:v>
      </x:c>
      <x:c r="P14" s="27" t="str">
        <x:v>Connection, Rest</x:v>
      </x:c>
      <x:c r="Q14" s="27" t="str">
        <x:v>Question Translation Studio</x:v>
      </x:c>
      <x:c r="R14" s="27" t="str">
        <x:v>Navigation Tool</x:v>
      </x:c>
      <x:c r="S14" s="27" t="str">
        <x:v>Blank</x:v>
      </x:c>
      <x:c r="T14" s="27" t="str">
        <x:v>4MA1-style mixed questions: calculate with integers, fractions and decimals</x:v>
      </x:c>
      <x:c r="U14" s="27" t="str">
        <x:v>Annotated assessed-world question showing givens, goal, route and check for calculate with integers, fractions and decimals</x:v>
      </x:c>
      <x:c r="V14" s="27" t="str">
        <x:v>Learner identifies the mathematics, selects a route and checks a solution involving calculate with integers, fractions and decimals.</x:v>
      </x:c>
      <x:c r="W14" s="27" t="str">
        <x:v>Decode 10 / Solve 20 / Compare 10 / Reflect 5</x:v>
      </x:c>
      <x:c r="X14" s="27" t="str">
        <x:v>Pearson Edexcel 4MA1 1.1-1.3, 1.8, 1.11</x:v>
      </x:c>
      <x:c r="Y14" s="27" t="str">
        <x:v>Moderate-High; wording chunked before calculation</x:v>
      </x:c>
      <x:c r="Z14" s="27" t="str">
        <x:v>Live, Asynchronous, Independent</x:v>
      </x:c>
      <x:c r="AA14" s="27" t="str">
        <x:v>Architecture mapped</x:v>
      </x:c>
      <x:c r="AB14" s="27" t="str">
        <x:v>Qualification overlay lesson. Exam wording is translated into mathematics already present in the canonical spine.</x:v>
      </x:c>
    </x:row>
    <x:row r="15" ht="44" customHeight="1">
      <x:c r="A15" s="27" t="str">
        <x:v>NEO-MATH-Y10-012</x:v>
      </x:c>
      <x:c r="B15" s="27" t="n">
        <x:v>12</x:v>
      </x:c>
      <x:c r="C15" s="27" t="str">
        <x:v>NEO-MATH-Y10-01</x:v>
      </x:c>
      <x:c r="D15" s="27" t="n">
        <x:v>1</x:v>
      </x:c>
      <x:c r="E15" s="27" t="str">
        <x:v>Number Systems and Calculator Judgement</x:v>
      </x:c>
      <x:c r="F15" s="27" t="str">
        <x:v>Number Sense</x:v>
      </x:c>
      <x:c r="G15" s="27" t="n">
        <x:v>10</x:v>
      </x:c>
      <x:c r="H15" s="27" t="str">
        <x:v>Core</x:v>
      </x:c>
      <x:c r="I15" s="27" t="str">
        <x:v>Practice with choice: Estimate</x:v>
      </x:c>
      <x:c r="J15" s="27" t="str">
        <x:v>Can I use estimate without being told the method?</x:v>
      </x:c>
      <x:c r="K15" s="27" t="str">
        <x:v>estimate</x:v>
      </x:c>
      <x:c r="L15" s="27" t="str">
        <x:v>estimate</x:v>
      </x:c>
      <x:c r="M15" s="27" t="str">
        <x:v>round accurately</x:v>
      </x:c>
      <x:c r="N15" s="27" t="str"/>
      <x:c r="O15" s="27" t="str">
        <x:v>Reflection</x:v>
      </x:c>
      <x:c r="P15" s="27" t="str">
        <x:v>Rest, Connection</x:v>
      </x:c>
      <x:c r="Q15" s="27" t="str">
        <x:v>Calculator Input Detective</x:v>
      </x:c>
      <x:c r="R15" s="27" t="str">
        <x:v>Number Explorer</x:v>
      </x:c>
      <x:c r="S15" s="27" t="str">
        <x:v>Blank</x:v>
      </x:c>
      <x:c r="T15" s="27" t="str">
        <x:v>Number Systems and Calculator Judgement – estimate</x:v>
      </x:c>
      <x:c r="U15" s="27" t="str">
        <x:v>Practice Companion evidence for estimate</x:v>
      </x:c>
      <x:c r="V15" s="27" t="str">
        <x:v>Learner can estimate and give a reason or check.</x:v>
      </x:c>
      <x:c r="W15" s="27" t="str">
        <x:v>Reconnect 5 / Practice 25 / Check 10 / Reflect 5</x:v>
      </x:c>
      <x:c r="X15" s="27" t="str">
        <x:v>Pearson Edexcel 4MA1 1.1-1.3, 1.8, 1.11</x:v>
      </x:c>
      <x:c r="Y15" s="27" t="str">
        <x:v>Moderate</x:v>
      </x:c>
      <x:c r="Z15" s="27" t="str">
        <x:v>Live, Asynchronous, Independent</x:v>
      </x:c>
      <x:c r="AA15" s="27" t="str">
        <x:v>Architecture mapped</x:v>
      </x:c>
      <x:c r="AB15" s="27" t="str">
        <x:v>Part of the canonical Y10 route. May pause or branch to a Reconnection lesson before returning.</x:v>
      </x:c>
    </x:row>
    <x:row r="16" ht="44" customHeight="1">
      <x:c r="A16" s="27" t="str">
        <x:v>NEO-MATH-Y10-013</x:v>
      </x:c>
      <x:c r="B16" s="27" t="n">
        <x:v>13</x:v>
      </x:c>
      <x:c r="C16" s="27" t="str">
        <x:v>NEO-MATH-Y10-01</x:v>
      </x:c>
      <x:c r="D16" s="27" t="n">
        <x:v>1</x:v>
      </x:c>
      <x:c r="E16" s="27" t="str">
        <x:v>Number Systems and Calculator Judgement</x:v>
      </x:c>
      <x:c r="F16" s="27" t="str">
        <x:v>Number Sense</x:v>
      </x:c>
      <x:c r="G16" s="27" t="n">
        <x:v>11</x:v>
      </x:c>
      <x:c r="H16" s="27" t="str">
        <x:v>Core</x:v>
      </x:c>
      <x:c r="I16" s="27" t="str">
        <x:v>Qualification translation: Use a scientific calculator</x:v>
      </x:c>
      <x:c r="J16" s="27" t="str">
        <x:v>How might an assessed question disguise use a scientific calculator?</x:v>
      </x:c>
      <x:c r="K16" s="27" t="str">
        <x:v>use a scientific calculator</x:v>
      </x:c>
      <x:c r="L16" s="27" t="str">
        <x:v>use a scientific calculator</x:v>
      </x:c>
      <x:c r="M16" s="27" t="str">
        <x:v>estimate</x:v>
      </x:c>
      <x:c r="N16" s="27" t="str"/>
      <x:c r="O16" s="27" t="str">
        <x:v>Reflection</x:v>
      </x:c>
      <x:c r="P16" s="27" t="str">
        <x:v>Rest, Connection</x:v>
      </x:c>
      <x:c r="Q16" s="27" t="str">
        <x:v>Calculator Input Detective</x:v>
      </x:c>
      <x:c r="R16" s="27" t="str">
        <x:v>Number Explorer</x:v>
      </x:c>
      <x:c r="S16" s="27" t="str">
        <x:v>Blank</x:v>
      </x:c>
      <x:c r="T16" s="27" t="str">
        <x:v>Number Systems and Calculator Judgement – use a scientific calculator</x:v>
      </x:c>
      <x:c r="U16" s="27" t="str">
        <x:v>Annotated question translation for use a scientific calculator</x:v>
      </x:c>
      <x:c r="V16" s="27" t="str">
        <x:v>Learner can use a scientific calculator and give a reason or check.</x:v>
      </x:c>
      <x:c r="W16" s="27" t="str">
        <x:v>Translate 10 / Solve 20 / Compare 10 / Reflect 5</x:v>
      </x:c>
      <x:c r="X16" s="27" t="str">
        <x:v>Pearson Edexcel 4MA1 1.1-1.3, 1.8, 1.11</x:v>
      </x:c>
      <x:c r="Y16" s="27" t="str">
        <x:v>Moderate</x:v>
      </x:c>
      <x:c r="Z16" s="27" t="str">
        <x:v>Live, Asynchronous, Independent</x:v>
      </x:c>
      <x:c r="AA16" s="27" t="str">
        <x:v>Architecture mapped</x:v>
      </x:c>
      <x:c r="AB16" s="27" t="str">
        <x:v>Part of the canonical Y10 route. May pause or branch to a Reconnection lesson before returning.</x:v>
      </x:c>
    </x:row>
    <x:row r="17" ht="44" customHeight="1">
      <x:c r="A17" s="27" t="str">
        <x:v>NEO-MATH-Y10-014</x:v>
      </x:c>
      <x:c r="B17" s="27" t="n">
        <x:v>14</x:v>
      </x:c>
      <x:c r="C17" s="27" t="str">
        <x:v>NEO-MATH-Y10-01</x:v>
      </x:c>
      <x:c r="D17" s="27" t="n">
        <x:v>1</x:v>
      </x:c>
      <x:c r="E17" s="27" t="str">
        <x:v>Number Systems and Calculator Judgement</x:v>
      </x:c>
      <x:c r="F17" s="27" t="str">
        <x:v>Number Sense</x:v>
      </x:c>
      <x:c r="G17" s="27" t="n">
        <x:v>12</x:v>
      </x:c>
      <x:c r="H17" s="27" t="str">
        <x:v>Core</x:v>
      </x:c>
      <x:c r="I17" s="27" t="str">
        <x:v>Mastery checkpoint: Judge reasonableness</x:v>
      </x:c>
      <x:c r="J17" s="27" t="str">
        <x:v>What can I now explain, apply and check about judge reasonableness?</x:v>
      </x:c>
      <x:c r="K17" s="27" t="str">
        <x:v>judge reasonableness</x:v>
      </x:c>
      <x:c r="L17" s="27" t="str">
        <x:v>judge reasonableness</x:v>
      </x:c>
      <x:c r="M17" s="27" t="str">
        <x:v>use a scientific calculator</x:v>
      </x:c>
      <x:c r="N17" s="27" t="str"/>
      <x:c r="O17" s="27" t="str">
        <x:v>Reflection</x:v>
      </x:c>
      <x:c r="P17" s="27" t="str">
        <x:v>Rest, Connection</x:v>
      </x:c>
      <x:c r="Q17" s="27" t="str">
        <x:v>Calculator Input Detective</x:v>
      </x:c>
      <x:c r="R17" s="27" t="str">
        <x:v>Number Explorer</x:v>
      </x:c>
      <x:c r="S17" s="27" t="str">
        <x:v>Blank</x:v>
      </x:c>
      <x:c r="T17" s="27" t="str">
        <x:v>Number Systems and Calculator Judgement – judge reasonableness</x:v>
      </x:c>
      <x:c r="U17" s="27" t="str">
        <x:v>Calculator Error Audit</x:v>
      </x:c>
      <x:c r="V17" s="27" t="str">
        <x:v>Learner can judge reasonableness and give a reason or check.</x:v>
      </x:c>
      <x:c r="W17" s="27" t="str">
        <x:v>Settle 5 / Choose evidence 25 / Mastery check 10 / Reflect 5</x:v>
      </x:c>
      <x:c r="X17" s="27" t="str">
        <x:v>Pearson Edexcel 4MA1 1.1-1.3, 1.8, 1.11</x:v>
      </x:c>
      <x:c r="Y17" s="27" t="str">
        <x:v>Moderate</x:v>
      </x:c>
      <x:c r="Z17" s="27" t="str">
        <x:v>Live, Asynchronous, Independent</x:v>
      </x:c>
      <x:c r="AA17" s="27" t="str">
        <x:v>Architecture mapped</x:v>
      </x:c>
      <x:c r="AB17" s="27" t="str">
        <x:v>Part of the canonical Y10 route. May pause or branch to a Reconnection lesson before returning.</x:v>
      </x:c>
    </x:row>
    <x:row r="18" ht="44" customHeight="1">
      <x:c r="A18" s="27" t="str">
        <x:v>NEO-MATH-Y10-015</x:v>
      </x:c>
      <x:c r="B18" s="27" t="n">
        <x:v>15</x:v>
      </x:c>
      <x:c r="C18" s="27" t="str">
        <x:v>NEO-MATH-Y10-01</x:v>
      </x:c>
      <x:c r="D18" s="27" t="n">
        <x:v>1</x:v>
      </x:c>
      <x:c r="E18" s="27" t="str">
        <x:v>Number Systems and Calculator Judgement</x:v>
      </x:c>
      <x:c r="F18" s="27" t="str">
        <x:v>Number Sense</x:v>
      </x:c>
      <x:c r="G18" s="27" t="n">
        <x:v>15</x:v>
      </x:c>
      <x:c r="H18" s="27" t="str">
        <x:v>Portfolio / Pathway Review</x:v>
      </x:c>
      <x:c r="I18" s="27" t="str">
        <x:v>Evidence and next step: Number Systems and Calculator Judgement</x:v>
      </x:c>
      <x:c r="J18" s="27" t="str">
        <x:v>What evidence shows what I can now do—and what would be a useful next mathematical move?</x:v>
      </x:c>
      <x:c r="K18" s="27" t="str">
        <x:v>select, annotate and reflect on unit evidence</x:v>
      </x:c>
      <x:c r="L18" s="27" t="str">
        <x:v>unit-level synthesis, communication and self-regulation</x:v>
      </x:c>
      <x:c r="M18" s="27" t="str">
        <x:v>any meaningful participation or evidence from the unit</x:v>
      </x:c>
      <x:c r="N18" s="27" t="str">
        <x:v>learner-specific</x:v>
      </x:c>
      <x:c r="O18" s="27" t="str">
        <x:v>Reflection</x:v>
      </x:c>
      <x:c r="P18" s="27" t="str">
        <x:v>Rest, Connection</x:v>
      </x:c>
      <x:c r="Q18" s="27" t="str">
        <x:v>Portfolio Evidence Selector</x:v>
      </x:c>
      <x:c r="R18" s="27" t="str">
        <x:v>Navigation Tool</x:v>
      </x:c>
      <x:c r="S18" s="27" t="str">
        <x:v>Blank</x:v>
      </x:c>
      <x:c r="T18" s="27" t="str">
        <x:v>learner-selected gap or stretch</x:v>
      </x:c>
      <x:c r="U18" s="27" t="str">
        <x:v>Calculator Error Audit</x:v>
      </x:c>
      <x:c r="V18" s="27" t="str">
        <x:v>Learner can point to evidence for current mastery and agree a next step.</x:v>
      </x:c>
      <x:c r="W18" s="27" t="str">
        <x:v>Settle 5 / Select 10 / Annotate 15 / Strengthen 10 / Next step 5</x:v>
      </x:c>
      <x:c r="X18" s="27" t="str">
        <x:v>Pearson Edexcel 4MA1 1.1-1.3, 1.8, 1.11</x:v>
      </x:c>
      <x:c r="Y18" s="27" t="str">
        <x:v>Low-Moderate; learner choice</x:v>
      </x:c>
      <x:c r="Z18" s="27" t="str">
        <x:v>Live, Asynchronous, Independent</x:v>
      </x:c>
      <x:c r="AA18" s="27" t="str">
        <x:v>Architecture mapped</x:v>
      </x:c>
      <x:c r="AB18" s="27" t="str">
        <x:v>Portfolio and pathway review. Completion volume is not used as a proxy for mastery.</x:v>
      </x:c>
    </x:row>
    <x:row r="19" ht="44" customHeight="1">
      <x:c r="A19" s="27" t="str">
        <x:v>NEO-MATH-Y10-016</x:v>
      </x:c>
      <x:c r="B19" s="27" t="n">
        <x:v>16</x:v>
      </x:c>
      <x:c r="C19" s="27" t="str">
        <x:v>NEO-MATH-Y10-02</x:v>
      </x:c>
      <x:c r="D19" s="27" t="n">
        <x:v>2</x:v>
      </x:c>
      <x:c r="E19" s="27" t="str">
        <x:v>Algebraic Expressions and Identities</x:v>
      </x:c>
      <x:c r="F19" s="27" t="str">
        <x:v>Structure &amp; Generalisation</x:v>
      </x:c>
      <x:c r="G19" s="27" t="n">
        <x:v>1</x:v>
      </x:c>
      <x:c r="H19" s="27" t="str">
        <x:v>Core</x:v>
      </x:c>
      <x:c r="I19" s="27" t="str">
        <x:v>Connect &amp; notice: Use algebraic symbols</x:v>
      </x:c>
      <x:c r="J19" s="27" t="str">
        <x:v>What do I already notice about use algebraic symbols?</x:v>
      </x:c>
      <x:c r="K19" s="27" t="str">
        <x:v>use algebraic symbols</x:v>
      </x:c>
      <x:c r="L19" s="27" t="str">
        <x:v>use algebraic symbols</x:v>
      </x:c>
      <x:c r="M19" s="27" t="str">
        <x:v>learner entry knowledge and representation confidence</x:v>
      </x:c>
      <x:c r="N19" s="27" t="str"/>
      <x:c r="O19" s="27" t="str">
        <x:v>Connection</x:v>
      </x:c>
      <x:c r="P19" s="27" t="str">
        <x:v>Reflection, Creativity</x:v>
      </x:c>
      <x:c r="Q19" s="27" t="str">
        <x:v>Algebra Structure Lens</x:v>
      </x:c>
      <x:c r="R19" s="27" t="str">
        <x:v>Structure Lab</x:v>
      </x:c>
      <x:c r="S19" s="27" t="str">
        <x:v>Blank</x:v>
      </x:c>
      <x:c r="T19" s="27" t="str">
        <x:v>Algebraic Expressions and Identities – use algebraic symbols</x:v>
      </x:c>
      <x:c r="U19" s="27" t="str">
        <x:v>Scratchpad prediction or notice about use algebraic symbols</x:v>
      </x:c>
      <x:c r="V19" s="27" t="str">
        <x:v>Learner can use algebraic symbols and give a reason or check.</x:v>
      </x:c>
      <x:c r="W19" s="27" t="str">
        <x:v>Connect 8 / Explore 20 / Notice 10 / Reflect 7</x:v>
      </x:c>
      <x:c r="X19" s="27" t="str">
        <x:v>Pearson Edexcel 4MA1 2.1-2.3</x:v>
      </x:c>
      <x:c r="Y19" s="27" t="str">
        <x:v>High; tiered reveal</x:v>
      </x:c>
      <x:c r="Z19" s="27" t="str">
        <x:v>Live, Asynchronous, Independent</x:v>
      </x:c>
      <x:c r="AA19" s="27" t="str">
        <x:v>Architecture mapped</x:v>
      </x:c>
      <x:c r="AB19" s="27" t="str">
        <x:v>Part of the canonical Y10 route. May pause or branch to a Reconnection lesson before returning.</x:v>
      </x:c>
    </x:row>
    <x:row r="20" ht="44" customHeight="1">
      <x:c r="A20" s="27" t="str">
        <x:v>NEO-MATH-Y10-017</x:v>
      </x:c>
      <x:c r="B20" s="27" t="n">
        <x:v>17</x:v>
      </x:c>
      <x:c r="C20" s="27" t="str">
        <x:v>NEO-MATH-Y10-02</x:v>
      </x:c>
      <x:c r="D20" s="27" t="n">
        <x:v>2</x:v>
      </x:c>
      <x:c r="E20" s="27" t="str">
        <x:v>Algebraic Expressions and Identities</x:v>
      </x:c>
      <x:c r="F20" s="27" t="str">
        <x:v>Structure &amp; Generalisation</x:v>
      </x:c>
      <x:c r="G20" s="27" t="n">
        <x:v>2</x:v>
      </x:c>
      <x:c r="H20" s="27" t="str">
        <x:v>Core</x:v>
      </x:c>
      <x:c r="I20" s="27" t="str">
        <x:v>Build the idea: Substitute</x:v>
      </x:c>
      <x:c r="J20" s="27" t="str">
        <x:v>What does substitute mean before I use a procedure?</x:v>
      </x:c>
      <x:c r="K20" s="27" t="str">
        <x:v>substitute</x:v>
      </x:c>
      <x:c r="L20" s="27" t="str">
        <x:v>substitute</x:v>
      </x:c>
      <x:c r="M20" s="27" t="str">
        <x:v>use algebraic symbols</x:v>
      </x:c>
      <x:c r="N20" s="27" t="str"/>
      <x:c r="O20" s="27" t="str">
        <x:v>Connection</x:v>
      </x:c>
      <x:c r="P20" s="27" t="str">
        <x:v>Reflection, Creativity</x:v>
      </x:c>
      <x:c r="Q20" s="27" t="str">
        <x:v>Algebra Structure Lens</x:v>
      </x:c>
      <x:c r="R20" s="27" t="str">
        <x:v>Structure Lab</x:v>
      </x:c>
      <x:c r="S20" s="27" t="str">
        <x:v>Blank</x:v>
      </x:c>
      <x:c r="T20" s="27" t="str">
        <x:v>Algebraic Expressions and Identities – substitute</x:v>
      </x:c>
      <x:c r="U20" s="27" t="str">
        <x:v>Annotated representation of substitute</x:v>
      </x:c>
      <x:c r="V20" s="27" t="str">
        <x:v>Learner can substitute and give a reason or check.</x:v>
      </x:c>
      <x:c r="W20" s="27" t="str">
        <x:v>Connect 5 / Explore 20 / Create or Apply 12 / Reflect 8</x:v>
      </x:c>
      <x:c r="X20" s="27" t="str">
        <x:v>Pearson Edexcel 4MA1 2.1-2.3</x:v>
      </x:c>
      <x:c r="Y20" s="27" t="str">
        <x:v>High; tiered reveal</x:v>
      </x:c>
      <x:c r="Z20" s="27" t="str">
        <x:v>Live, Asynchronous, Independent</x:v>
      </x:c>
      <x:c r="AA20" s="27" t="str">
        <x:v>Architecture mapped</x:v>
      </x:c>
      <x:c r="AB20" s="27" t="str">
        <x:v>Part of the canonical Y10 route. May pause or branch to a Reconnection lesson before returning.</x:v>
      </x:c>
    </x:row>
    <x:row r="21" ht="44" customHeight="1">
      <x:c r="A21" s="27" t="str">
        <x:v>NEO-MATH-Y10-018</x:v>
      </x:c>
      <x:c r="B21" s="27" t="n">
        <x:v>18</x:v>
      </x:c>
      <x:c r="C21" s="27" t="str">
        <x:v>NEO-MATH-Y10-02</x:v>
      </x:c>
      <x:c r="D21" s="27" t="n">
        <x:v>2</x:v>
      </x:c>
      <x:c r="E21" s="27" t="str">
        <x:v>Algebraic Expressions and Identities</x:v>
      </x:c>
      <x:c r="F21" s="27" t="str">
        <x:v>Structure &amp; Generalisation</x:v>
      </x:c>
      <x:c r="G21" s="27" t="n">
        <x:v>3</x:v>
      </x:c>
      <x:c r="H21" s="27" t="str">
        <x:v>Core</x:v>
      </x:c>
      <x:c r="I21" s="27" t="str">
        <x:v>Represent it: Collect like terms</x:v>
      </x:c>
      <x:c r="J21" s="27" t="str">
        <x:v>How can I show collect like terms in more than one way?</x:v>
      </x:c>
      <x:c r="K21" s="27" t="str">
        <x:v>collect like terms</x:v>
      </x:c>
      <x:c r="L21" s="27" t="str">
        <x:v>collect like terms</x:v>
      </x:c>
      <x:c r="M21" s="27" t="str">
        <x:v>substitute</x:v>
      </x:c>
      <x:c r="N21" s="27" t="str"/>
      <x:c r="O21" s="27" t="str">
        <x:v>Connection</x:v>
      </x:c>
      <x:c r="P21" s="27" t="str">
        <x:v>Reflection, Creativity</x:v>
      </x:c>
      <x:c r="Q21" s="27" t="str">
        <x:v>Algebra Structure Lens</x:v>
      </x:c>
      <x:c r="R21" s="27" t="str">
        <x:v>Structure Lab</x:v>
      </x:c>
      <x:c r="S21" s="27" t="str">
        <x:v>Blank</x:v>
      </x:c>
      <x:c r="T21" s="27" t="str">
        <x:v>Algebraic Expressions and Identities – collect like terms</x:v>
      </x:c>
      <x:c r="U21" s="27" t="str">
        <x:v>Annotated representation of collect like terms</x:v>
      </x:c>
      <x:c r="V21" s="27" t="str">
        <x:v>Learner can collect like terms and give a reason or check.</x:v>
      </x:c>
      <x:c r="W21" s="27" t="str">
        <x:v>Connect 5 / Explore 20 / Create or Apply 12 / Reflect 8</x:v>
      </x:c>
      <x:c r="X21" s="27" t="str">
        <x:v>Pearson Edexcel 4MA1 2.1-2.3</x:v>
      </x:c>
      <x:c r="Y21" s="27" t="str">
        <x:v>High; tiered reveal</x:v>
      </x:c>
      <x:c r="Z21" s="27" t="str">
        <x:v>Live, Asynchronous, Independent</x:v>
      </x:c>
      <x:c r="AA21" s="27" t="str">
        <x:v>Architecture mapped</x:v>
      </x:c>
      <x:c r="AB21" s="27" t="str">
        <x:v>Part of the canonical Y10 route. May pause or branch to a Reconnection lesson before returning.</x:v>
      </x:c>
    </x:row>
    <x:row r="22" ht="44" customHeight="1">
      <x:c r="A22" s="27" t="str">
        <x:v>NEO-MATH-Y10-019</x:v>
      </x:c>
      <x:c r="B22" s="27" t="n">
        <x:v>19</x:v>
      </x:c>
      <x:c r="C22" s="27" t="str">
        <x:v>NEO-MATH-Y10-02</x:v>
      </x:c>
      <x:c r="D22" s="27" t="n">
        <x:v>2</x:v>
      </x:c>
      <x:c r="E22" s="27" t="str">
        <x:v>Algebraic Expressions and Identities</x:v>
      </x:c>
      <x:c r="F22" s="27" t="str">
        <x:v>Structure &amp; Generalisation</x:v>
      </x:c>
      <x:c r="G22" s="27" t="n">
        <x:v>4</x:v>
      </x:c>
      <x:c r="H22" s="27" t="str">
        <x:v>Reconnection</x:v>
      </x:c>
      <x:c r="I22" s="27" t="str">
        <x:v>Reconnection: Collecting like terms</x:v>
      </x:c>
      <x:c r="J22" s="27" t="str">
        <x:v>Which algebraic terms really belong together?</x:v>
      </x:c>
      <x:c r="K22" s="27" t="str">
        <x:v>simplify by collecting like terms</x:v>
      </x:c>
      <x:c r="L22" s="27" t="str">
        <x:v>simplify by collecting like terms</x:v>
      </x:c>
      <x:c r="M22" s="27" t="str">
        <x:v>Branch triggered when simplify by collecting like terms is not yet secure enough for the current unit.</x:v>
      </x:c>
      <x:c r="N22" s="27" t="str">
        <x:v>REC-ALG-02</x:v>
      </x:c>
      <x:c r="O22" s="27" t="str">
        <x:v>Connection</x:v>
      </x:c>
      <x:c r="P22" s="27" t="str">
        <x:v>Reflection, Rest</x:v>
      </x:c>
      <x:c r="Q22" s="27" t="str">
        <x:v>Expression Equivalence Lab</x:v>
      </x:c>
      <x:c r="R22" s="27" t="str">
        <x:v>Structure Lab</x:v>
      </x:c>
      <x:c r="S22" s="27" t="str">
        <x:v>Blank</x:v>
      </x:c>
      <x:c r="T22" s="27" t="str">
        <x:v>Collecting like terms targeted practice</x:v>
      </x:c>
      <x:c r="U22" s="27" t="str">
        <x:v>Short reconnection evidence: simplify by collecting like terms</x:v>
      </x:c>
      <x:c r="V22" s="27" t="str">
        <x:v>Learner can simplify by collecting like terms sufficiently to return to Algebraic Expressions and Identities.</x:v>
      </x:c>
      <x:c r="W22" s="27" t="str">
        <x:v>Arrive 5 / Reconnect 20 / Test 10 / Return link 10</x:v>
      </x:c>
      <x:c r="X22" s="27" t="str">
        <x:v>Pearson Edexcel 4MA1 2.1-2.3</x:v>
      </x:c>
      <x:c r="Y22" s="27" t="str">
        <x:v>Low-Moderate; targeted prerequisite repair</x:v>
      </x:c>
      <x:c r="Z22" s="27" t="str">
        <x:v>Live, Asynchronous, Independent</x:v>
      </x:c>
      <x:c r="AA22" s="27" t="str">
        <x:v>Architecture mapped</x:v>
      </x:c>
      <x:c r="AB22" s="27" t="str">
        <x:v>Not 'catch-up'. A targeted route from Year 8 learning that reconnects the learner to NEO-MATH-Y10-02.</x:v>
      </x:c>
    </x:row>
    <x:row r="23" ht="44" customHeight="1">
      <x:c r="A23" s="27" t="str">
        <x:v>NEO-MATH-Y10-020</x:v>
      </x:c>
      <x:c r="B23" s="27" t="n">
        <x:v>20</x:v>
      </x:c>
      <x:c r="C23" s="27" t="str">
        <x:v>NEO-MATH-Y10-02</x:v>
      </x:c>
      <x:c r="D23" s="27" t="n">
        <x:v>2</x:v>
      </x:c>
      <x:c r="E23" s="27" t="str">
        <x:v>Algebraic Expressions and Identities</x:v>
      </x:c>
      <x:c r="F23" s="27" t="str">
        <x:v>Structure &amp; Generalisation</x:v>
      </x:c>
      <x:c r="G23" s="27" t="n">
        <x:v>4</x:v>
      </x:c>
      <x:c r="H23" s="27" t="str">
        <x:v>Core</x:v>
      </x:c>
      <x:c r="I23" s="27" t="str">
        <x:v>Try one change: Expand brackets</x:v>
      </x:c>
      <x:c r="J23" s="27" t="str">
        <x:v>What changes when I adjust one part of expand brackets?</x:v>
      </x:c>
      <x:c r="K23" s="27" t="str">
        <x:v>expand brackets</x:v>
      </x:c>
      <x:c r="L23" s="27" t="str">
        <x:v>expand brackets</x:v>
      </x:c>
      <x:c r="M23" s="27" t="str">
        <x:v>collect like terms</x:v>
      </x:c>
      <x:c r="N23" s="27" t="str"/>
      <x:c r="O23" s="27" t="str">
        <x:v>Connection</x:v>
      </x:c>
      <x:c r="P23" s="27" t="str">
        <x:v>Reflection, Creativity</x:v>
      </x:c>
      <x:c r="Q23" s="27" t="str">
        <x:v>Algebra Structure Lens</x:v>
      </x:c>
      <x:c r="R23" s="27" t="str">
        <x:v>Structure Lab</x:v>
      </x:c>
      <x:c r="S23" s="27" t="str">
        <x:v>Blank</x:v>
      </x:c>
      <x:c r="T23" s="27" t="str">
        <x:v>Algebraic Expressions and Identities – expand brackets</x:v>
      </x:c>
      <x:c r="U23" s="27" t="str">
        <x:v>Annotated representation of expand brackets</x:v>
      </x:c>
      <x:c r="V23" s="27" t="str">
        <x:v>Learner can expand brackets and give a reason or check.</x:v>
      </x:c>
      <x:c r="W23" s="27" t="str">
        <x:v>Connect 5 / Explore 20 / Create or Apply 12 / Reflect 8</x:v>
      </x:c>
      <x:c r="X23" s="27" t="str">
        <x:v>Pearson Edexcel 4MA1 2.1-2.3</x:v>
      </x:c>
      <x:c r="Y23" s="27" t="str">
        <x:v>High; tiered reveal</x:v>
      </x:c>
      <x:c r="Z23" s="27" t="str">
        <x:v>Live, Asynchronous, Independent</x:v>
      </x:c>
      <x:c r="AA23" s="27" t="str">
        <x:v>Architecture mapped</x:v>
      </x:c>
      <x:c r="AB23" s="27" t="str">
        <x:v>Part of the canonical Y10 route. May pause or branch to a Reconnection lesson before returning.</x:v>
      </x:c>
    </x:row>
    <x:row r="24" ht="44" customHeight="1">
      <x:c r="A24" s="27" t="str">
        <x:v>NEO-MATH-Y10-021</x:v>
      </x:c>
      <x:c r="B24" s="27" t="n">
        <x:v>21</x:v>
      </x:c>
      <x:c r="C24" s="27" t="str">
        <x:v>NEO-MATH-Y10-02</x:v>
      </x:c>
      <x:c r="D24" s="27" t="n">
        <x:v>2</x:v>
      </x:c>
      <x:c r="E24" s="27" t="str">
        <x:v>Algebraic Expressions and Identities</x:v>
      </x:c>
      <x:c r="F24" s="27" t="str">
        <x:v>Structure &amp; Generalisation</x:v>
      </x:c>
      <x:c r="G24" s="27" t="n">
        <x:v>5</x:v>
      </x:c>
      <x:c r="H24" s="27" t="str">
        <x:v>Core</x:v>
      </x:c>
      <x:c r="I24" s="27" t="str">
        <x:v>Connect ideas: Factorise</x:v>
      </x:c>
      <x:c r="J24" s="27" t="str">
        <x:v>How does factorise connect to the earlier relationship?</x:v>
      </x:c>
      <x:c r="K24" s="27" t="str">
        <x:v>factorise</x:v>
      </x:c>
      <x:c r="L24" s="27" t="str">
        <x:v>factorise</x:v>
      </x:c>
      <x:c r="M24" s="27" t="str">
        <x:v>expand brackets</x:v>
      </x:c>
      <x:c r="N24" s="27" t="str"/>
      <x:c r="O24" s="27" t="str">
        <x:v>Connection</x:v>
      </x:c>
      <x:c r="P24" s="27" t="str">
        <x:v>Reflection, Creativity</x:v>
      </x:c>
      <x:c r="Q24" s="27" t="str">
        <x:v>Algebra Structure Lens</x:v>
      </x:c>
      <x:c r="R24" s="27" t="str">
        <x:v>Structure Lab</x:v>
      </x:c>
      <x:c r="S24" s="27" t="str">
        <x:v>Blank</x:v>
      </x:c>
      <x:c r="T24" s="27" t="str">
        <x:v>Algebraic Expressions and Identities – factorise</x:v>
      </x:c>
      <x:c r="U24" s="27" t="str">
        <x:v>Annotated representation of factorise</x:v>
      </x:c>
      <x:c r="V24" s="27" t="str">
        <x:v>Learner can factorise and give a reason or check.</x:v>
      </x:c>
      <x:c r="W24" s="27" t="str">
        <x:v>Connect 8 / Explore 20 / Notice 10 / Reflect 7</x:v>
      </x:c>
      <x:c r="X24" s="27" t="str">
        <x:v>Pearson Edexcel 4MA1 2.1-2.3</x:v>
      </x:c>
      <x:c r="Y24" s="27" t="str">
        <x:v>High; tiered reveal</x:v>
      </x:c>
      <x:c r="Z24" s="27" t="str">
        <x:v>Live, Asynchronous, Independent</x:v>
      </x:c>
      <x:c r="AA24" s="27" t="str">
        <x:v>Architecture mapped</x:v>
      </x:c>
      <x:c r="AB24" s="27" t="str">
        <x:v>Part of the canonical Y10 route. May pause or branch to a Reconnection lesson before returning.</x:v>
      </x:c>
    </x:row>
    <x:row r="25" ht="44" customHeight="1">
      <x:c r="A25" s="27" t="str">
        <x:v>NEO-MATH-Y10-022</x:v>
      </x:c>
      <x:c r="B25" s="27" t="n">
        <x:v>22</x:v>
      </x:c>
      <x:c r="C25" s="27" t="str">
        <x:v>NEO-MATH-Y10-02</x:v>
      </x:c>
      <x:c r="D25" s="27" t="n">
        <x:v>2</x:v>
      </x:c>
      <x:c r="E25" s="27" t="str">
        <x:v>Algebraic Expressions and Identities</x:v>
      </x:c>
      <x:c r="F25" s="27" t="str">
        <x:v>Structure &amp; Generalisation</x:v>
      </x:c>
      <x:c r="G25" s="27" t="n">
        <x:v>6</x:v>
      </x:c>
      <x:c r="H25" s="27" t="str">
        <x:v>Core</x:v>
      </x:c>
      <x:c r="I25" s="27" t="str">
        <x:v>Repair a misconception: Manipulate algebraic fractions at tier</x:v>
      </x:c>
      <x:c r="J25" s="27" t="str">
        <x:v>What tempting mistake can manipulate algebraic fractions at tier create?</x:v>
      </x:c>
      <x:c r="K25" s="27" t="str">
        <x:v>manipulate algebraic fractions at tier</x:v>
      </x:c>
      <x:c r="L25" s="27" t="str">
        <x:v>manipulate algebraic fractions at tier</x:v>
      </x:c>
      <x:c r="M25" s="27" t="str">
        <x:v>factorise</x:v>
      </x:c>
      <x:c r="N25" s="27" t="str"/>
      <x:c r="O25" s="27" t="str">
        <x:v>Connection</x:v>
      </x:c>
      <x:c r="P25" s="27" t="str">
        <x:v>Reflection, Creativity</x:v>
      </x:c>
      <x:c r="Q25" s="27" t="str">
        <x:v>Algebra Structure Lens</x:v>
      </x:c>
      <x:c r="R25" s="27" t="str">
        <x:v>Structure Lab</x:v>
      </x:c>
      <x:c r="S25" s="27" t="str">
        <x:v>Blank</x:v>
      </x:c>
      <x:c r="T25" s="27" t="str">
        <x:v>Algebraic Expressions and Identities – manipulate algebraic fractions at tier</x:v>
      </x:c>
      <x:c r="U25" s="27" t="str">
        <x:v>Corrected misconception note: manipulate algebraic fractions at tier</x:v>
      </x:c>
      <x:c r="V25" s="27" t="str">
        <x:v>Learner can manipulate algebraic fractions at tier and give a reason or check.</x:v>
      </x:c>
      <x:c r="W25" s="27" t="str">
        <x:v>Connect 5 / Explore 20 / Create or Apply 12 / Reflect 8</x:v>
      </x:c>
      <x:c r="X25" s="27" t="str">
        <x:v>Pearson Edexcel 4MA1 2.1-2.3</x:v>
      </x:c>
      <x:c r="Y25" s="27" t="str">
        <x:v>High; tiered reveal</x:v>
      </x:c>
      <x:c r="Z25" s="27" t="str">
        <x:v>Live, Asynchronous, Independent</x:v>
      </x:c>
      <x:c r="AA25" s="27" t="str">
        <x:v>Architecture mapped</x:v>
      </x:c>
      <x:c r="AB25" s="27" t="str">
        <x:v>Part of the canonical Y10 route. May pause or branch to a Reconnection lesson before returning.</x:v>
      </x:c>
    </x:row>
    <x:row r="26" ht="44" customHeight="1">
      <x:c r="A26" s="27" t="str">
        <x:v>NEO-MATH-Y10-023</x:v>
      </x:c>
      <x:c r="B26" s="27" t="n">
        <x:v>23</x:v>
      </x:c>
      <x:c r="C26" s="27" t="str">
        <x:v>NEO-MATH-Y10-02</x:v>
      </x:c>
      <x:c r="D26" s="27" t="n">
        <x:v>2</x:v>
      </x:c>
      <x:c r="E26" s="27" t="str">
        <x:v>Algebraic Expressions and Identities</x:v>
      </x:c>
      <x:c r="F26" s="27" t="str">
        <x:v>Structure &amp; Generalisation</x:v>
      </x:c>
      <x:c r="G26" s="27" t="n">
        <x:v>7</x:v>
      </x:c>
      <x:c r="H26" s="27" t="str">
        <x:v>Core</x:v>
      </x:c>
      <x:c r="I26" s="27" t="str">
        <x:v>Apply in context: Distinguish expression, equation and identity</x:v>
      </x:c>
      <x:c r="J26" s="27" t="str">
        <x:v>Where might distinguish expression, equation and identity help with a real decision?</x:v>
      </x:c>
      <x:c r="K26" s="27" t="str">
        <x:v>distinguish expression, equation and identity</x:v>
      </x:c>
      <x:c r="L26" s="27" t="str">
        <x:v>distinguish expression, equation and identity</x:v>
      </x:c>
      <x:c r="M26" s="27" t="str">
        <x:v>manipulate algebraic fractions at tier</x:v>
      </x:c>
      <x:c r="N26" s="27" t="str"/>
      <x:c r="O26" s="27" t="str">
        <x:v>Connection</x:v>
      </x:c>
      <x:c r="P26" s="27" t="str">
        <x:v>Reflection, Creativity</x:v>
      </x:c>
      <x:c r="Q26" s="27" t="str">
        <x:v>Algebra Structure Lens</x:v>
      </x:c>
      <x:c r="R26" s="27" t="str">
        <x:v>Structure Lab</x:v>
      </x:c>
      <x:c r="S26" s="27" t="str">
        <x:v>Blank</x:v>
      </x:c>
      <x:c r="T26" s="27" t="str">
        <x:v>Algebraic Expressions and Identities – distinguish expression, equation and identity</x:v>
      </x:c>
      <x:c r="U26" s="27" t="str">
        <x:v>Short contextual application of distinguish expression, equation and identity</x:v>
      </x:c>
      <x:c r="V26" s="27" t="str">
        <x:v>Learner can distinguish expression, equation and identity and give a reason or check.</x:v>
      </x:c>
      <x:c r="W26" s="27" t="str">
        <x:v>Connect 5 / Explore 20 / Create or Apply 12 / Reflect 8</x:v>
      </x:c>
      <x:c r="X26" s="27" t="str">
        <x:v>Pearson Edexcel 4MA1 2.1-2.3</x:v>
      </x:c>
      <x:c r="Y26" s="27" t="str">
        <x:v>High; tiered reveal</x:v>
      </x:c>
      <x:c r="Z26" s="27" t="str">
        <x:v>Live, Asynchronous, Independent</x:v>
      </x:c>
      <x:c r="AA26" s="27" t="str">
        <x:v>Architecture mapped</x:v>
      </x:c>
      <x:c r="AB26" s="27" t="str">
        <x:v>Part of the canonical Y10 route. May pause or branch to a Reconnection lesson before returning.</x:v>
      </x:c>
    </x:row>
    <x:row r="27" ht="44" customHeight="1">
      <x:c r="A27" s="27" t="str">
        <x:v>NEO-MATH-Y10-024</x:v>
      </x:c>
      <x:c r="B27" s="27" t="n">
        <x:v>24</x:v>
      </x:c>
      <x:c r="C27" s="27" t="str">
        <x:v>NEO-MATH-Y10-02</x:v>
      </x:c>
      <x:c r="D27" s="27" t="n">
        <x:v>2</x:v>
      </x:c>
      <x:c r="E27" s="27" t="str">
        <x:v>Algebraic Expressions and Identities</x:v>
      </x:c>
      <x:c r="F27" s="27" t="str">
        <x:v>Structure &amp; Generalisation</x:v>
      </x:c>
      <x:c r="G27" s="27" t="n">
        <x:v>8</x:v>
      </x:c>
      <x:c r="H27" s="27" t="str">
        <x:v>Core</x:v>
      </x:c>
      <x:c r="I27" s="27" t="str">
        <x:v>Model and test: Use algebraic symbols</x:v>
      </x:c>
      <x:c r="J27" s="27" t="str">
        <x:v>Can I build a model using use algebraic symbols and test it?</x:v>
      </x:c>
      <x:c r="K27" s="27" t="str">
        <x:v>use algebraic symbols</x:v>
      </x:c>
      <x:c r="L27" s="27" t="str">
        <x:v>use algebraic symbols</x:v>
      </x:c>
      <x:c r="M27" s="27" t="str">
        <x:v>distinguish expression, equation and identity</x:v>
      </x:c>
      <x:c r="N27" s="27" t="str"/>
      <x:c r="O27" s="27" t="str">
        <x:v>Connection</x:v>
      </x:c>
      <x:c r="P27" s="27" t="str">
        <x:v>Reflection, Creativity</x:v>
      </x:c>
      <x:c r="Q27" s="27" t="str">
        <x:v>Algebra Structure Lens</x:v>
      </x:c>
      <x:c r="R27" s="27" t="str">
        <x:v>Structure Lab</x:v>
      </x:c>
      <x:c r="S27" s="27" t="str">
        <x:v>Blank</x:v>
      </x:c>
      <x:c r="T27" s="27" t="str">
        <x:v>Algebraic Expressions and Identities – use algebraic symbols</x:v>
      </x:c>
      <x:c r="U27" s="27" t="str">
        <x:v>Tested model using use algebraic symbols</x:v>
      </x:c>
      <x:c r="V27" s="27" t="str">
        <x:v>Learner can use algebraic symbols and give a reason or check.</x:v>
      </x:c>
      <x:c r="W27" s="27" t="str">
        <x:v>Connect 5 / Explore 20 / Create or Apply 12 / Reflect 8</x:v>
      </x:c>
      <x:c r="X27" s="27" t="str">
        <x:v>Pearson Edexcel 4MA1 2.1-2.3</x:v>
      </x:c>
      <x:c r="Y27" s="27" t="str">
        <x:v>High; tiered reveal</x:v>
      </x:c>
      <x:c r="Z27" s="27" t="str">
        <x:v>Live, Asynchronous, Independent</x:v>
      </x:c>
      <x:c r="AA27" s="27" t="str">
        <x:v>Architecture mapped</x:v>
      </x:c>
      <x:c r="AB27" s="27" t="str">
        <x:v>Part of the canonical Y10 route. May pause or branch to a Reconnection lesson before returning.</x:v>
      </x:c>
    </x:row>
    <x:row r="28" ht="44" customHeight="1">
      <x:c r="A28" s="27" t="str">
        <x:v>NEO-MATH-Y10-025</x:v>
      </x:c>
      <x:c r="B28" s="27" t="n">
        <x:v>25</x:v>
      </x:c>
      <x:c r="C28" s="27" t="str">
        <x:v>NEO-MATH-Y10-02</x:v>
      </x:c>
      <x:c r="D28" s="27" t="n">
        <x:v>2</x:v>
      </x:c>
      <x:c r="E28" s="27" t="str">
        <x:v>Algebraic Expressions and Identities</x:v>
      </x:c>
      <x:c r="F28" s="27" t="str">
        <x:v>Structure &amp; Generalisation</x:v>
      </x:c>
      <x:c r="G28" s="27" t="n">
        <x:v>9</x:v>
      </x:c>
      <x:c r="H28" s="27" t="str">
        <x:v>Core</x:v>
      </x:c>
      <x:c r="I28" s="27" t="str">
        <x:v>Compare strategies: Substitute</x:v>
      </x:c>
      <x:c r="J28" s="27" t="str">
        <x:v>Which route through substitute is clearest or most efficient?</x:v>
      </x:c>
      <x:c r="K28" s="27" t="str">
        <x:v>substitute</x:v>
      </x:c>
      <x:c r="L28" s="27" t="str">
        <x:v>substitute</x:v>
      </x:c>
      <x:c r="M28" s="27" t="str">
        <x:v>use algebraic symbols</x:v>
      </x:c>
      <x:c r="N28" s="27" t="str"/>
      <x:c r="O28" s="27" t="str">
        <x:v>Connection</x:v>
      </x:c>
      <x:c r="P28" s="27" t="str">
        <x:v>Reflection, Creativity</x:v>
      </x:c>
      <x:c r="Q28" s="27" t="str">
        <x:v>Algebra Structure Lens</x:v>
      </x:c>
      <x:c r="R28" s="27" t="str">
        <x:v>Structure Lab</x:v>
      </x:c>
      <x:c r="S28" s="27" t="str">
        <x:v>Blank</x:v>
      </x:c>
      <x:c r="T28" s="27" t="str">
        <x:v>Algebraic Expressions and Identities – substitute</x:v>
      </x:c>
      <x:c r="U28" s="27" t="str">
        <x:v>Two-route comparison for substitute</x:v>
      </x:c>
      <x:c r="V28" s="27" t="str">
        <x:v>Learner can substitute and give a reason or check.</x:v>
      </x:c>
      <x:c r="W28" s="27" t="str">
        <x:v>Connect 5 / Explore 20 / Create or Apply 12 / Reflect 8</x:v>
      </x:c>
      <x:c r="X28" s="27" t="str">
        <x:v>Pearson Edexcel 4MA1 2.1-2.3</x:v>
      </x:c>
      <x:c r="Y28" s="27" t="str">
        <x:v>High; tiered reveal</x:v>
      </x:c>
      <x:c r="Z28" s="27" t="str">
        <x:v>Live, Asynchronous, Independent</x:v>
      </x:c>
      <x:c r="AA28" s="27" t="str">
        <x:v>Architecture mapped</x:v>
      </x:c>
      <x:c r="AB28" s="27" t="str">
        <x:v>Part of the canonical Y10 route. May pause or branch to a Reconnection lesson before returning.</x:v>
      </x:c>
    </x:row>
    <x:row r="29" ht="44" customHeight="1">
      <x:c r="A29" s="27" t="str">
        <x:v>NEO-MATH-Y10-026</x:v>
      </x:c>
      <x:c r="B29" s="27" t="n">
        <x:v>26</x:v>
      </x:c>
      <x:c r="C29" s="27" t="str">
        <x:v>NEO-MATH-Y10-02</x:v>
      </x:c>
      <x:c r="D29" s="27" t="n">
        <x:v>2</x:v>
      </x:c>
      <x:c r="E29" s="27" t="str">
        <x:v>Algebraic Expressions and Identities</x:v>
      </x:c>
      <x:c r="F29" s="27" t="str">
        <x:v>Structure &amp; Generalisation</x:v>
      </x:c>
      <x:c r="G29" s="27" t="n">
        <x:v>11</x:v>
      </x:c>
      <x:c r="H29" s="27" t="str">
        <x:v>Qualification Practice</x:v>
      </x:c>
      <x:c r="I29" s="27" t="str">
        <x:v>Assessment translation 1: Use algebraic symbols</x:v>
      </x:c>
      <x:c r="J29" s="27" t="str">
        <x:v>How might a qualification question hide the need to use algebraic symbols?</x:v>
      </x:c>
      <x:c r="K29" s="27" t="str">
        <x:v>translate assessed wording into the canonical move: use algebraic symbols</x:v>
      </x:c>
      <x:c r="L29" s="27" t="str">
        <x:v>use algebraic symbols</x:v>
      </x:c>
      <x:c r="M29" s="27" t="str">
        <x:v>relevant core concept plus question-reading routine</x:v>
      </x:c>
      <x:c r="N29" s="27" t="str">
        <x:v>REC-SRL-01 if wording blocks mathematical access</x:v>
      </x:c>
      <x:c r="O29" s="27" t="str">
        <x:v>Reflection</x:v>
      </x:c>
      <x:c r="P29" s="27" t="str">
        <x:v>Connection, Rest</x:v>
      </x:c>
      <x:c r="Q29" s="27" t="str">
        <x:v>Question Translation Studio</x:v>
      </x:c>
      <x:c r="R29" s="27" t="str">
        <x:v>Navigation Tool</x:v>
      </x:c>
      <x:c r="S29" s="27" t="str">
        <x:v>Blank</x:v>
      </x:c>
      <x:c r="T29" s="27" t="str">
        <x:v>4MA1-style mixed questions: use algebraic symbols</x:v>
      </x:c>
      <x:c r="U29" s="27" t="str">
        <x:v>Annotated assessed-world question showing givens, goal, route and check for use algebraic symbols</x:v>
      </x:c>
      <x:c r="V29" s="27" t="str">
        <x:v>Learner identifies the mathematics, selects a route and checks a solution involving use algebraic symbols.</x:v>
      </x:c>
      <x:c r="W29" s="27" t="str">
        <x:v>Decode 10 / Solve 20 / Compare 10 / Reflect 5</x:v>
      </x:c>
      <x:c r="X29" s="27" t="str">
        <x:v>Pearson Edexcel 4MA1 2.1-2.3</x:v>
      </x:c>
      <x:c r="Y29" s="27" t="str">
        <x:v>Moderate-High; wording chunked before calculation</x:v>
      </x:c>
      <x:c r="Z29" s="27" t="str">
        <x:v>Live, Asynchronous, Independent</x:v>
      </x:c>
      <x:c r="AA29" s="27" t="str">
        <x:v>Architecture mapped</x:v>
      </x:c>
      <x:c r="AB29" s="27" t="str">
        <x:v>Qualification overlay lesson. Exam wording is translated into mathematics already present in the canonical spine.</x:v>
      </x:c>
    </x:row>
    <x:row r="30" ht="44" customHeight="1">
      <x:c r="A30" s="27" t="str">
        <x:v>NEO-MATH-Y10-027</x:v>
      </x:c>
      <x:c r="B30" s="27" t="n">
        <x:v>27</x:v>
      </x:c>
      <x:c r="C30" s="27" t="str">
        <x:v>NEO-MATH-Y10-02</x:v>
      </x:c>
      <x:c r="D30" s="27" t="n">
        <x:v>2</x:v>
      </x:c>
      <x:c r="E30" s="27" t="str">
        <x:v>Algebraic Expressions and Identities</x:v>
      </x:c>
      <x:c r="F30" s="27" t="str">
        <x:v>Structure &amp; Generalisation</x:v>
      </x:c>
      <x:c r="G30" s="27" t="n">
        <x:v>10</x:v>
      </x:c>
      <x:c r="H30" s="27" t="str">
        <x:v>Core</x:v>
      </x:c>
      <x:c r="I30" s="27" t="str">
        <x:v>Practice with choice: Collect like terms</x:v>
      </x:c>
      <x:c r="J30" s="27" t="str">
        <x:v>Can I use collect like terms without being told the method?</x:v>
      </x:c>
      <x:c r="K30" s="27" t="str">
        <x:v>collect like terms</x:v>
      </x:c>
      <x:c r="L30" s="27" t="str">
        <x:v>collect like terms</x:v>
      </x:c>
      <x:c r="M30" s="27" t="str">
        <x:v>substitute</x:v>
      </x:c>
      <x:c r="N30" s="27" t="str"/>
      <x:c r="O30" s="27" t="str">
        <x:v>Connection</x:v>
      </x:c>
      <x:c r="P30" s="27" t="str">
        <x:v>Reflection, Creativity</x:v>
      </x:c>
      <x:c r="Q30" s="27" t="str">
        <x:v>Algebra Structure Lens</x:v>
      </x:c>
      <x:c r="R30" s="27" t="str">
        <x:v>Structure Lab</x:v>
      </x:c>
      <x:c r="S30" s="27" t="str">
        <x:v>Blank</x:v>
      </x:c>
      <x:c r="T30" s="27" t="str">
        <x:v>Algebraic Expressions and Identities – collect like terms</x:v>
      </x:c>
      <x:c r="U30" s="27" t="str">
        <x:v>Practice Companion evidence for collect like terms</x:v>
      </x:c>
      <x:c r="V30" s="27" t="str">
        <x:v>Learner can collect like terms and give a reason or check.</x:v>
      </x:c>
      <x:c r="W30" s="27" t="str">
        <x:v>Reconnect 5 / Practice 25 / Check 10 / Reflect 5</x:v>
      </x:c>
      <x:c r="X30" s="27" t="str">
        <x:v>Pearson Edexcel 4MA1 2.1-2.3</x:v>
      </x:c>
      <x:c r="Y30" s="27" t="str">
        <x:v>High; tiered reveal</x:v>
      </x:c>
      <x:c r="Z30" s="27" t="str">
        <x:v>Live, Asynchronous, Independent</x:v>
      </x:c>
      <x:c r="AA30" s="27" t="str">
        <x:v>Architecture mapped</x:v>
      </x:c>
      <x:c r="AB30" s="27" t="str">
        <x:v>Part of the canonical Y10 route. May pause or branch to a Reconnection lesson before returning.</x:v>
      </x:c>
    </x:row>
    <x:row r="31" ht="44" customHeight="1">
      <x:c r="A31" s="27" t="str">
        <x:v>NEO-MATH-Y10-028</x:v>
      </x:c>
      <x:c r="B31" s="27" t="n">
        <x:v>28</x:v>
      </x:c>
      <x:c r="C31" s="27" t="str">
        <x:v>NEO-MATH-Y10-02</x:v>
      </x:c>
      <x:c r="D31" s="27" t="n">
        <x:v>2</x:v>
      </x:c>
      <x:c r="E31" s="27" t="str">
        <x:v>Algebraic Expressions and Identities</x:v>
      </x:c>
      <x:c r="F31" s="27" t="str">
        <x:v>Structure &amp; Generalisation</x:v>
      </x:c>
      <x:c r="G31" s="27" t="n">
        <x:v>11</x:v>
      </x:c>
      <x:c r="H31" s="27" t="str">
        <x:v>Core</x:v>
      </x:c>
      <x:c r="I31" s="27" t="str">
        <x:v>Qualification translation: Expand brackets</x:v>
      </x:c>
      <x:c r="J31" s="27" t="str">
        <x:v>How might an assessed question disguise expand brackets?</x:v>
      </x:c>
      <x:c r="K31" s="27" t="str">
        <x:v>expand brackets</x:v>
      </x:c>
      <x:c r="L31" s="27" t="str">
        <x:v>expand brackets</x:v>
      </x:c>
      <x:c r="M31" s="27" t="str">
        <x:v>collect like terms</x:v>
      </x:c>
      <x:c r="N31" s="27" t="str"/>
      <x:c r="O31" s="27" t="str">
        <x:v>Connection</x:v>
      </x:c>
      <x:c r="P31" s="27" t="str">
        <x:v>Reflection, Creativity</x:v>
      </x:c>
      <x:c r="Q31" s="27" t="str">
        <x:v>Algebra Structure Lens</x:v>
      </x:c>
      <x:c r="R31" s="27" t="str">
        <x:v>Structure Lab</x:v>
      </x:c>
      <x:c r="S31" s="27" t="str">
        <x:v>Blank</x:v>
      </x:c>
      <x:c r="T31" s="27" t="str">
        <x:v>Algebraic Expressions and Identities – expand brackets</x:v>
      </x:c>
      <x:c r="U31" s="27" t="str">
        <x:v>Annotated question translation for expand brackets</x:v>
      </x:c>
      <x:c r="V31" s="27" t="str">
        <x:v>Learner can expand brackets and give a reason or check.</x:v>
      </x:c>
      <x:c r="W31" s="27" t="str">
        <x:v>Translate 10 / Solve 20 / Compare 10 / Reflect 5</x:v>
      </x:c>
      <x:c r="X31" s="27" t="str">
        <x:v>Pearson Edexcel 4MA1 2.1-2.3</x:v>
      </x:c>
      <x:c r="Y31" s="27" t="str">
        <x:v>High; tiered reveal</x:v>
      </x:c>
      <x:c r="Z31" s="27" t="str">
        <x:v>Live, Asynchronous, Independent</x:v>
      </x:c>
      <x:c r="AA31" s="27" t="str">
        <x:v>Architecture mapped</x:v>
      </x:c>
      <x:c r="AB31" s="27" t="str">
        <x:v>Part of the canonical Y10 route. May pause or branch to a Reconnection lesson before returning.</x:v>
      </x:c>
    </x:row>
    <x:row r="32" ht="44" customHeight="1">
      <x:c r="A32" s="27" t="str">
        <x:v>NEO-MATH-Y10-029</x:v>
      </x:c>
      <x:c r="B32" s="27" t="n">
        <x:v>29</x:v>
      </x:c>
      <x:c r="C32" s="27" t="str">
        <x:v>NEO-MATH-Y10-02</x:v>
      </x:c>
      <x:c r="D32" s="27" t="n">
        <x:v>2</x:v>
      </x:c>
      <x:c r="E32" s="27" t="str">
        <x:v>Algebraic Expressions and Identities</x:v>
      </x:c>
      <x:c r="F32" s="27" t="str">
        <x:v>Structure &amp; Generalisation</x:v>
      </x:c>
      <x:c r="G32" s="27" t="n">
        <x:v>12</x:v>
      </x:c>
      <x:c r="H32" s="27" t="str">
        <x:v>Core</x:v>
      </x:c>
      <x:c r="I32" s="27" t="str">
        <x:v>Mastery checkpoint: Factorise</x:v>
      </x:c>
      <x:c r="J32" s="27" t="str">
        <x:v>What can I now explain, apply and check about factorise?</x:v>
      </x:c>
      <x:c r="K32" s="27" t="str">
        <x:v>factorise</x:v>
      </x:c>
      <x:c r="L32" s="27" t="str">
        <x:v>factorise</x:v>
      </x:c>
      <x:c r="M32" s="27" t="str">
        <x:v>expand brackets</x:v>
      </x:c>
      <x:c r="N32" s="27" t="str"/>
      <x:c r="O32" s="27" t="str">
        <x:v>Connection</x:v>
      </x:c>
      <x:c r="P32" s="27" t="str">
        <x:v>Reflection, Creativity</x:v>
      </x:c>
      <x:c r="Q32" s="27" t="str">
        <x:v>Algebra Structure Lens</x:v>
      </x:c>
      <x:c r="R32" s="27" t="str">
        <x:v>Structure Lab</x:v>
      </x:c>
      <x:c r="S32" s="27" t="str">
        <x:v>Blank</x:v>
      </x:c>
      <x:c r="T32" s="27" t="str">
        <x:v>Algebraic Expressions and Identities – factorise</x:v>
      </x:c>
      <x:c r="U32" s="27" t="str">
        <x:v>Expression Structure Commentary</x:v>
      </x:c>
      <x:c r="V32" s="27" t="str">
        <x:v>Learner can factorise and give a reason or check.</x:v>
      </x:c>
      <x:c r="W32" s="27" t="str">
        <x:v>Settle 5 / Choose evidence 25 / Mastery check 10 / Reflect 5</x:v>
      </x:c>
      <x:c r="X32" s="27" t="str">
        <x:v>Pearson Edexcel 4MA1 2.1-2.3</x:v>
      </x:c>
      <x:c r="Y32" s="27" t="str">
        <x:v>High; tiered reveal</x:v>
      </x:c>
      <x:c r="Z32" s="27" t="str">
        <x:v>Live, Asynchronous, Independent</x:v>
      </x:c>
      <x:c r="AA32" s="27" t="str">
        <x:v>Architecture mapped</x:v>
      </x:c>
      <x:c r="AB32" s="27" t="str">
        <x:v>Part of the canonical Y10 route. May pause or branch to a Reconnection lesson before returning.</x:v>
      </x:c>
    </x:row>
    <x:row r="33" ht="44" customHeight="1">
      <x:c r="A33" s="27" t="str">
        <x:v>NEO-MATH-Y10-030</x:v>
      </x:c>
      <x:c r="B33" s="27" t="n">
        <x:v>30</x:v>
      </x:c>
      <x:c r="C33" s="27" t="str">
        <x:v>NEO-MATH-Y10-02</x:v>
      </x:c>
      <x:c r="D33" s="27" t="n">
        <x:v>2</x:v>
      </x:c>
      <x:c r="E33" s="27" t="str">
        <x:v>Algebraic Expressions and Identities</x:v>
      </x:c>
      <x:c r="F33" s="27" t="str">
        <x:v>Structure &amp; Generalisation</x:v>
      </x:c>
      <x:c r="G33" s="27" t="n">
        <x:v>15</x:v>
      </x:c>
      <x:c r="H33" s="27" t="str">
        <x:v>Portfolio / Pathway Review</x:v>
      </x:c>
      <x:c r="I33" s="27" t="str">
        <x:v>Evidence and next step: Algebraic Expressions and Identities</x:v>
      </x:c>
      <x:c r="J33" s="27" t="str">
        <x:v>What evidence shows what I can now do—and what would be a useful next mathematical move?</x:v>
      </x:c>
      <x:c r="K33" s="27" t="str">
        <x:v>select, annotate and reflect on unit evidence</x:v>
      </x:c>
      <x:c r="L33" s="27" t="str">
        <x:v>unit-level synthesis, communication and self-regulation</x:v>
      </x:c>
      <x:c r="M33" s="27" t="str">
        <x:v>any meaningful participation or evidence from the unit</x:v>
      </x:c>
      <x:c r="N33" s="27" t="str">
        <x:v>learner-specific</x:v>
      </x:c>
      <x:c r="O33" s="27" t="str">
        <x:v>Reflection</x:v>
      </x:c>
      <x:c r="P33" s="27" t="str">
        <x:v>Rest, Connection</x:v>
      </x:c>
      <x:c r="Q33" s="27" t="str">
        <x:v>Portfolio Evidence Selector</x:v>
      </x:c>
      <x:c r="R33" s="27" t="str">
        <x:v>Navigation Tool</x:v>
      </x:c>
      <x:c r="S33" s="27" t="str">
        <x:v>Blank</x:v>
      </x:c>
      <x:c r="T33" s="27" t="str">
        <x:v>learner-selected gap or stretch</x:v>
      </x:c>
      <x:c r="U33" s="27" t="str">
        <x:v>Expression Structure Commentary</x:v>
      </x:c>
      <x:c r="V33" s="27" t="str">
        <x:v>Learner can point to evidence for current mastery and agree a next step.</x:v>
      </x:c>
      <x:c r="W33" s="27" t="str">
        <x:v>Settle 5 / Select 10 / Annotate 15 / Strengthen 10 / Next step 5</x:v>
      </x:c>
      <x:c r="X33" s="27" t="str">
        <x:v>Pearson Edexcel 4MA1 2.1-2.3</x:v>
      </x:c>
      <x:c r="Y33" s="27" t="str">
        <x:v>Low-Moderate; learner choice</x:v>
      </x:c>
      <x:c r="Z33" s="27" t="str">
        <x:v>Live, Asynchronous, Independent</x:v>
      </x:c>
      <x:c r="AA33" s="27" t="str">
        <x:v>Architecture mapped</x:v>
      </x:c>
      <x:c r="AB33" s="27" t="str">
        <x:v>Portfolio and pathway review. Completion volume is not used as a proxy for mastery.</x:v>
      </x:c>
    </x:row>
    <x:row r="34" ht="44" customHeight="1">
      <x:c r="A34" s="27" t="str">
        <x:v>NEO-MATH-Y10-031</x:v>
      </x:c>
      <x:c r="B34" s="27" t="n">
        <x:v>31</x:v>
      </x:c>
      <x:c r="C34" s="27" t="str">
        <x:v>NEO-MATH-Y10-03</x:v>
      </x:c>
      <x:c r="D34" s="27" t="n">
        <x:v>3</x:v>
      </x:c>
      <x:c r="E34" s="27" t="str">
        <x:v>Straight Lines, Sets and Connected Representations</x:v>
      </x:c>
      <x:c r="F34" s="27" t="str">
        <x:v>Change &amp; Functions</x:v>
      </x:c>
      <x:c r="G34" s="27" t="n">
        <x:v>1</x:v>
      </x:c>
      <x:c r="H34" s="27" t="str">
        <x:v>Core</x:v>
      </x:c>
      <x:c r="I34" s="27" t="str">
        <x:v>Connect &amp; notice: Use set notation and Venn diagrams</x:v>
      </x:c>
      <x:c r="J34" s="27" t="str">
        <x:v>What do I already notice about use set notation and Venn diagrams?</x:v>
      </x:c>
      <x:c r="K34" s="27" t="str">
        <x:v>use set notation and Venn diagrams</x:v>
      </x:c>
      <x:c r="L34" s="27" t="str">
        <x:v>use set notation and Venn diagrams</x:v>
      </x:c>
      <x:c r="M34" s="27" t="str">
        <x:v>learner entry knowledge and representation confidence</x:v>
      </x:c>
      <x:c r="N34" s="27" t="str"/>
      <x:c r="O34" s="27" t="str">
        <x:v>Connection</x:v>
      </x:c>
      <x:c r="P34" s="27" t="str">
        <x:v>Movement, Reflection</x:v>
      </x:c>
      <x:c r="Q34" s="27" t="str">
        <x:v>Gradient Explorer + Venn Set Builder</x:v>
      </x:c>
      <x:c r="R34" s="27" t="str">
        <x:v>Dynamic Graph Lab</x:v>
      </x:c>
      <x:c r="S34" s="27" t="str">
        <x:v>Coordinate grid</x:v>
      </x:c>
      <x:c r="T34" s="27" t="str">
        <x:v>Straight Lines, Sets and Connected Representations – use set notation and Venn diagrams</x:v>
      </x:c>
      <x:c r="U34" s="27" t="str">
        <x:v>Scratchpad prediction or notice about use set notation and Venn diagrams</x:v>
      </x:c>
      <x:c r="V34" s="27" t="str">
        <x:v>Learner can use set notation and Venn diagrams and give a reason or check.</x:v>
      </x:c>
      <x:c r="W34" s="27" t="str">
        <x:v>Connect 8 / Explore 20 / Notice 10 / Reflect 7</x:v>
      </x:c>
      <x:c r="X34" s="27" t="str">
        <x:v>Pearson Edexcel 4MA1 1.5, 3.3</x:v>
      </x:c>
      <x:c r="Y34" s="27" t="str">
        <x:v>Moderate-High</x:v>
      </x:c>
      <x:c r="Z34" s="27" t="str">
        <x:v>Live, Asynchronous, Independent</x:v>
      </x:c>
      <x:c r="AA34" s="27" t="str">
        <x:v>Architecture mapped</x:v>
      </x:c>
      <x:c r="AB34" s="27" t="str">
        <x:v>Part of the canonical Y10 route. May pause or branch to a Reconnection lesson before returning.</x:v>
      </x:c>
    </x:row>
    <x:row r="35" ht="44" customHeight="1">
      <x:c r="A35" s="27" t="str">
        <x:v>NEO-MATH-Y10-032</x:v>
      </x:c>
      <x:c r="B35" s="27" t="n">
        <x:v>32</x:v>
      </x:c>
      <x:c r="C35" s="27" t="str">
        <x:v>NEO-MATH-Y10-03</x:v>
      </x:c>
      <x:c r="D35" s="27" t="n">
        <x:v>3</x:v>
      </x:c>
      <x:c r="E35" s="27" t="str">
        <x:v>Straight Lines, Sets and Connected Representations</x:v>
      </x:c>
      <x:c r="F35" s="27" t="str">
        <x:v>Change &amp; Functions</x:v>
      </x:c>
      <x:c r="G35" s="27" t="n">
        <x:v>2</x:v>
      </x:c>
      <x:c r="H35" s="27" t="str">
        <x:v>Core</x:v>
      </x:c>
      <x:c r="I35" s="27" t="str">
        <x:v>Build the idea: Generate graph points</x:v>
      </x:c>
      <x:c r="J35" s="27" t="str">
        <x:v>What does generate graph points mean before I use a procedure?</x:v>
      </x:c>
      <x:c r="K35" s="27" t="str">
        <x:v>generate graph points</x:v>
      </x:c>
      <x:c r="L35" s="27" t="str">
        <x:v>generate graph points</x:v>
      </x:c>
      <x:c r="M35" s="27" t="str">
        <x:v>use set notation and Venn diagrams</x:v>
      </x:c>
      <x:c r="N35" s="27" t="str"/>
      <x:c r="O35" s="27" t="str">
        <x:v>Connection</x:v>
      </x:c>
      <x:c r="P35" s="27" t="str">
        <x:v>Movement, Reflection</x:v>
      </x:c>
      <x:c r="Q35" s="27" t="str">
        <x:v>Gradient Explorer + Venn Set Builder</x:v>
      </x:c>
      <x:c r="R35" s="27" t="str">
        <x:v>Dynamic Graph Lab</x:v>
      </x:c>
      <x:c r="S35" s="27" t="str">
        <x:v>Coordinate grid</x:v>
      </x:c>
      <x:c r="T35" s="27" t="str">
        <x:v>Straight Lines, Sets and Connected Representations – generate graph points</x:v>
      </x:c>
      <x:c r="U35" s="27" t="str">
        <x:v>Annotated representation of generate graph points</x:v>
      </x:c>
      <x:c r="V35" s="27" t="str">
        <x:v>Learner can generate graph points and give a reason or check.</x:v>
      </x:c>
      <x:c r="W35" s="27" t="str">
        <x:v>Connect 5 / Explore 20 / Create or Apply 12 / Reflect 8</x:v>
      </x:c>
      <x:c r="X35" s="27" t="str">
        <x:v>Pearson Edexcel 4MA1 1.5, 3.3</x:v>
      </x:c>
      <x:c r="Y35" s="27" t="str">
        <x:v>Moderate-High</x:v>
      </x:c>
      <x:c r="Z35" s="27" t="str">
        <x:v>Live, Asynchronous, Independent</x:v>
      </x:c>
      <x:c r="AA35" s="27" t="str">
        <x:v>Architecture mapped</x:v>
      </x:c>
      <x:c r="AB35" s="27" t="str">
        <x:v>Part of the canonical Y10 route. May pause or branch to a Reconnection lesson before returning.</x:v>
      </x:c>
    </x:row>
    <x:row r="36" ht="44" customHeight="1">
      <x:c r="A36" s="27" t="str">
        <x:v>NEO-MATH-Y10-033</x:v>
      </x:c>
      <x:c r="B36" s="27" t="n">
        <x:v>33</x:v>
      </x:c>
      <x:c r="C36" s="27" t="str">
        <x:v>NEO-MATH-Y10-03</x:v>
      </x:c>
      <x:c r="D36" s="27" t="n">
        <x:v>3</x:v>
      </x:c>
      <x:c r="E36" s="27" t="str">
        <x:v>Straight Lines, Sets and Connected Representations</x:v>
      </x:c>
      <x:c r="F36" s="27" t="str">
        <x:v>Change &amp; Functions</x:v>
      </x:c>
      <x:c r="G36" s="27" t="n">
        <x:v>3</x:v>
      </x:c>
      <x:c r="H36" s="27" t="str">
        <x:v>Core</x:v>
      </x:c>
      <x:c r="I36" s="27" t="str">
        <x:v>Represent it: Find gradient and intercept</x:v>
      </x:c>
      <x:c r="J36" s="27" t="str">
        <x:v>How can I show find gradient and intercept in more than one way?</x:v>
      </x:c>
      <x:c r="K36" s="27" t="str">
        <x:v>find gradient and intercept</x:v>
      </x:c>
      <x:c r="L36" s="27" t="str">
        <x:v>find gradient and intercept</x:v>
      </x:c>
      <x:c r="M36" s="27" t="str">
        <x:v>generate graph points</x:v>
      </x:c>
      <x:c r="N36" s="27" t="str"/>
      <x:c r="O36" s="27" t="str">
        <x:v>Connection</x:v>
      </x:c>
      <x:c r="P36" s="27" t="str">
        <x:v>Movement, Reflection</x:v>
      </x:c>
      <x:c r="Q36" s="27" t="str">
        <x:v>Gradient Explorer + Venn Set Builder</x:v>
      </x:c>
      <x:c r="R36" s="27" t="str">
        <x:v>Dynamic Graph Lab</x:v>
      </x:c>
      <x:c r="S36" s="27" t="str">
        <x:v>Coordinate grid</x:v>
      </x:c>
      <x:c r="T36" s="27" t="str">
        <x:v>Straight Lines, Sets and Connected Representations – find gradient and intercept</x:v>
      </x:c>
      <x:c r="U36" s="27" t="str">
        <x:v>Annotated representation of find gradient and intercept</x:v>
      </x:c>
      <x:c r="V36" s="27" t="str">
        <x:v>Learner can find gradient and intercept and give a reason or check.</x:v>
      </x:c>
      <x:c r="W36" s="27" t="str">
        <x:v>Connect 5 / Explore 20 / Create or Apply 12 / Reflect 8</x:v>
      </x:c>
      <x:c r="X36" s="27" t="str">
        <x:v>Pearson Edexcel 4MA1 1.5, 3.3</x:v>
      </x:c>
      <x:c r="Y36" s="27" t="str">
        <x:v>Moderate-High</x:v>
      </x:c>
      <x:c r="Z36" s="27" t="str">
        <x:v>Live, Asynchronous, Independent</x:v>
      </x:c>
      <x:c r="AA36" s="27" t="str">
        <x:v>Architecture mapped</x:v>
      </x:c>
      <x:c r="AB36" s="27" t="str">
        <x:v>Part of the canonical Y10 route. May pause or branch to a Reconnection lesson before returning.</x:v>
      </x:c>
    </x:row>
    <x:row r="37" ht="44" customHeight="1">
      <x:c r="A37" s="27" t="str">
        <x:v>NEO-MATH-Y10-034</x:v>
      </x:c>
      <x:c r="B37" s="27" t="n">
        <x:v>34</x:v>
      </x:c>
      <x:c r="C37" s="27" t="str">
        <x:v>NEO-MATH-Y10-03</x:v>
      </x:c>
      <x:c r="D37" s="27" t="n">
        <x:v>3</x:v>
      </x:c>
      <x:c r="E37" s="27" t="str">
        <x:v>Straight Lines, Sets and Connected Representations</x:v>
      </x:c>
      <x:c r="F37" s="27" t="str">
        <x:v>Change &amp; Functions</x:v>
      </x:c>
      <x:c r="G37" s="27" t="n">
        <x:v>4</x:v>
      </x:c>
      <x:c r="H37" s="27" t="str">
        <x:v>Reconnection</x:v>
      </x:c>
      <x:c r="I37" s="27" t="str">
        <x:v>Reconnection: Linear table to graph</x:v>
      </x:c>
      <x:c r="J37" s="27" t="str">
        <x:v>Can a table predict a line?</x:v>
      </x:c>
      <x:c r="K37" s="27" t="str">
        <x:v>generate coordinates from a linear rule</x:v>
      </x:c>
      <x:c r="L37" s="27" t="str">
        <x:v>generate coordinates from a linear rule</x:v>
      </x:c>
      <x:c r="M37" s="27" t="str">
        <x:v>Branch triggered when generate coordinates from a linear rule is not yet secure enough for the current unit.</x:v>
      </x:c>
      <x:c r="N37" s="27" t="str">
        <x:v>REC-ALG-08</x:v>
      </x:c>
      <x:c r="O37" s="27" t="str">
        <x:v>Connection</x:v>
      </x:c>
      <x:c r="P37" s="27" t="str">
        <x:v>Reflection, Rest</x:v>
      </x:c>
      <x:c r="Q37" s="27" t="str">
        <x:v>Table-to-Line Builder</x:v>
      </x:c>
      <x:c r="R37" s="27" t="str">
        <x:v>Dynamic Graph Lab</x:v>
      </x:c>
      <x:c r="S37" s="27" t="str">
        <x:v>Coordinate grid</x:v>
      </x:c>
      <x:c r="T37" s="27" t="str">
        <x:v>Linear table to graph targeted practice</x:v>
      </x:c>
      <x:c r="U37" s="27" t="str">
        <x:v>Short reconnection evidence: generate coordinates from a linear rule</x:v>
      </x:c>
      <x:c r="V37" s="27" t="str">
        <x:v>Learner can generate coordinates from a linear rule sufficiently to return to Straight Lines, Sets and Connected Representations.</x:v>
      </x:c>
      <x:c r="W37" s="27" t="str">
        <x:v>Arrive 5 / Reconnect 20 / Test 10 / Return link 10</x:v>
      </x:c>
      <x:c r="X37" s="27" t="str">
        <x:v>Pearson Edexcel 4MA1 1.5, 3.3</x:v>
      </x:c>
      <x:c r="Y37" s="27" t="str">
        <x:v>Low-Moderate; targeted prerequisite repair</x:v>
      </x:c>
      <x:c r="Z37" s="27" t="str">
        <x:v>Live, Asynchronous, Independent</x:v>
      </x:c>
      <x:c r="AA37" s="27" t="str">
        <x:v>Architecture mapped</x:v>
      </x:c>
      <x:c r="AB37" s="27" t="str">
        <x:v>Not 'catch-up'. A targeted route from Year 8 learning that reconnects the learner to NEO-MATH-Y10-03.</x:v>
      </x:c>
    </x:row>
    <x:row r="38" ht="44" customHeight="1">
      <x:c r="A38" s="27" t="str">
        <x:v>NEO-MATH-Y10-035</x:v>
      </x:c>
      <x:c r="B38" s="27" t="n">
        <x:v>35</x:v>
      </x:c>
      <x:c r="C38" s="27" t="str">
        <x:v>NEO-MATH-Y10-03</x:v>
      </x:c>
      <x:c r="D38" s="27" t="n">
        <x:v>3</x:v>
      </x:c>
      <x:c r="E38" s="27" t="str">
        <x:v>Straight Lines, Sets and Connected Representations</x:v>
      </x:c>
      <x:c r="F38" s="27" t="str">
        <x:v>Change &amp; Functions</x:v>
      </x:c>
      <x:c r="G38" s="27" t="n">
        <x:v>4</x:v>
      </x:c>
      <x:c r="H38" s="27" t="str">
        <x:v>Core</x:v>
      </x:c>
      <x:c r="I38" s="27" t="str">
        <x:v>Try one change: Write linear equations</x:v>
      </x:c>
      <x:c r="J38" s="27" t="str">
        <x:v>What changes when I adjust one part of write linear equations?</x:v>
      </x:c>
      <x:c r="K38" s="27" t="str">
        <x:v>write linear equations</x:v>
      </x:c>
      <x:c r="L38" s="27" t="str">
        <x:v>write linear equations</x:v>
      </x:c>
      <x:c r="M38" s="27" t="str">
        <x:v>find gradient and intercept</x:v>
      </x:c>
      <x:c r="N38" s="27" t="str"/>
      <x:c r="O38" s="27" t="str">
        <x:v>Connection</x:v>
      </x:c>
      <x:c r="P38" s="27" t="str">
        <x:v>Movement, Reflection</x:v>
      </x:c>
      <x:c r="Q38" s="27" t="str">
        <x:v>Gradient Explorer + Venn Set Builder</x:v>
      </x:c>
      <x:c r="R38" s="27" t="str">
        <x:v>Dynamic Graph Lab</x:v>
      </x:c>
      <x:c r="S38" s="27" t="str">
        <x:v>Coordinate grid</x:v>
      </x:c>
      <x:c r="T38" s="27" t="str">
        <x:v>Straight Lines, Sets and Connected Representations – write linear equations</x:v>
      </x:c>
      <x:c r="U38" s="27" t="str">
        <x:v>Annotated representation of write linear equations</x:v>
      </x:c>
      <x:c r="V38" s="27" t="str">
        <x:v>Learner can write linear equations and give a reason or check.</x:v>
      </x:c>
      <x:c r="W38" s="27" t="str">
        <x:v>Connect 5 / Explore 20 / Create or Apply 12 / Reflect 8</x:v>
      </x:c>
      <x:c r="X38" s="27" t="str">
        <x:v>Pearson Edexcel 4MA1 1.5, 3.3</x:v>
      </x:c>
      <x:c r="Y38" s="27" t="str">
        <x:v>Moderate-High</x:v>
      </x:c>
      <x:c r="Z38" s="27" t="str">
        <x:v>Live, Asynchronous, Independent</x:v>
      </x:c>
      <x:c r="AA38" s="27" t="str">
        <x:v>Architecture mapped</x:v>
      </x:c>
      <x:c r="AB38" s="27" t="str">
        <x:v>Part of the canonical Y10 route. May pause or branch to a Reconnection lesson before returning.</x:v>
      </x:c>
    </x:row>
    <x:row r="39" ht="44" customHeight="1">
      <x:c r="A39" s="27" t="str">
        <x:v>NEO-MATH-Y10-036</x:v>
      </x:c>
      <x:c r="B39" s="27" t="n">
        <x:v>36</x:v>
      </x:c>
      <x:c r="C39" s="27" t="str">
        <x:v>NEO-MATH-Y10-03</x:v>
      </x:c>
      <x:c r="D39" s="27" t="n">
        <x:v>3</x:v>
      </x:c>
      <x:c r="E39" s="27" t="str">
        <x:v>Straight Lines, Sets and Connected Representations</x:v>
      </x:c>
      <x:c r="F39" s="27" t="str">
        <x:v>Change &amp; Functions</x:v>
      </x:c>
      <x:c r="G39" s="27" t="n">
        <x:v>5</x:v>
      </x:c>
      <x:c r="H39" s="27" t="str">
        <x:v>Core</x:v>
      </x:c>
      <x:c r="I39" s="27" t="str">
        <x:v>Connect ideas: Interpret conversion graphs</x:v>
      </x:c>
      <x:c r="J39" s="27" t="str">
        <x:v>How does interpret conversion graphs connect to the earlier relationship?</x:v>
      </x:c>
      <x:c r="K39" s="27" t="str">
        <x:v>interpret conversion graphs</x:v>
      </x:c>
      <x:c r="L39" s="27" t="str">
        <x:v>interpret conversion graphs</x:v>
      </x:c>
      <x:c r="M39" s="27" t="str">
        <x:v>write linear equations</x:v>
      </x:c>
      <x:c r="N39" s="27" t="str"/>
      <x:c r="O39" s="27" t="str">
        <x:v>Connection</x:v>
      </x:c>
      <x:c r="P39" s="27" t="str">
        <x:v>Movement, Reflection</x:v>
      </x:c>
      <x:c r="Q39" s="27" t="str">
        <x:v>Gradient Explorer + Venn Set Builder</x:v>
      </x:c>
      <x:c r="R39" s="27" t="str">
        <x:v>Dynamic Graph Lab</x:v>
      </x:c>
      <x:c r="S39" s="27" t="str">
        <x:v>Coordinate grid</x:v>
      </x:c>
      <x:c r="T39" s="27" t="str">
        <x:v>Straight Lines, Sets and Connected Representations – interpret conversion graphs</x:v>
      </x:c>
      <x:c r="U39" s="27" t="str">
        <x:v>Annotated representation of interpret conversion graphs</x:v>
      </x:c>
      <x:c r="V39" s="27" t="str">
        <x:v>Learner can interpret conversion graphs and give a reason or check.</x:v>
      </x:c>
      <x:c r="W39" s="27" t="str">
        <x:v>Connect 8 / Explore 20 / Notice 10 / Reflect 7</x:v>
      </x:c>
      <x:c r="X39" s="27" t="str">
        <x:v>Pearson Edexcel 4MA1 1.5, 3.3</x:v>
      </x:c>
      <x:c r="Y39" s="27" t="str">
        <x:v>Moderate-High</x:v>
      </x:c>
      <x:c r="Z39" s="27" t="str">
        <x:v>Live, Asynchronous, Independent</x:v>
      </x:c>
      <x:c r="AA39" s="27" t="str">
        <x:v>Architecture mapped</x:v>
      </x:c>
      <x:c r="AB39" s="27" t="str">
        <x:v>Part of the canonical Y10 route. May pause or branch to a Reconnection lesson before returning.</x:v>
      </x:c>
    </x:row>
    <x:row r="40" ht="44" customHeight="1">
      <x:c r="A40" s="27" t="str">
        <x:v>NEO-MATH-Y10-037</x:v>
      </x:c>
      <x:c r="B40" s="27" t="n">
        <x:v>37</x:v>
      </x:c>
      <x:c r="C40" s="27" t="str">
        <x:v>NEO-MATH-Y10-03</x:v>
      </x:c>
      <x:c r="D40" s="27" t="n">
        <x:v>3</x:v>
      </x:c>
      <x:c r="E40" s="27" t="str">
        <x:v>Straight Lines, Sets and Connected Representations</x:v>
      </x:c>
      <x:c r="F40" s="27" t="str">
        <x:v>Change &amp; Functions</x:v>
      </x:c>
      <x:c r="G40" s="27" t="n">
        <x:v>6</x:v>
      </x:c>
      <x:c r="H40" s="27" t="str">
        <x:v>Core</x:v>
      </x:c>
      <x:c r="I40" s="27" t="str">
        <x:v>Repair a misconception: Connect representations</x:v>
      </x:c>
      <x:c r="J40" s="27" t="str">
        <x:v>What tempting mistake can connect representations create?</x:v>
      </x:c>
      <x:c r="K40" s="27" t="str">
        <x:v>connect representations</x:v>
      </x:c>
      <x:c r="L40" s="27" t="str">
        <x:v>connect representations</x:v>
      </x:c>
      <x:c r="M40" s="27" t="str">
        <x:v>interpret conversion graphs</x:v>
      </x:c>
      <x:c r="N40" s="27" t="str"/>
      <x:c r="O40" s="27" t="str">
        <x:v>Connection</x:v>
      </x:c>
      <x:c r="P40" s="27" t="str">
        <x:v>Movement, Reflection</x:v>
      </x:c>
      <x:c r="Q40" s="27" t="str">
        <x:v>Gradient Explorer + Venn Set Builder</x:v>
      </x:c>
      <x:c r="R40" s="27" t="str">
        <x:v>Dynamic Graph Lab</x:v>
      </x:c>
      <x:c r="S40" s="27" t="str">
        <x:v>Coordinate grid</x:v>
      </x:c>
      <x:c r="T40" s="27" t="str">
        <x:v>Straight Lines, Sets and Connected Representations – connect representations</x:v>
      </x:c>
      <x:c r="U40" s="27" t="str">
        <x:v>Corrected misconception note: connect representations</x:v>
      </x:c>
      <x:c r="V40" s="27" t="str">
        <x:v>Learner can connect representations and give a reason or check.</x:v>
      </x:c>
      <x:c r="W40" s="27" t="str">
        <x:v>Connect 5 / Explore 20 / Create or Apply 12 / Reflect 8</x:v>
      </x:c>
      <x:c r="X40" s="27" t="str">
        <x:v>Pearson Edexcel 4MA1 1.5, 3.3</x:v>
      </x:c>
      <x:c r="Y40" s="27" t="str">
        <x:v>Moderate-High</x:v>
      </x:c>
      <x:c r="Z40" s="27" t="str">
        <x:v>Live, Asynchronous, Independent</x:v>
      </x:c>
      <x:c r="AA40" s="27" t="str">
        <x:v>Architecture mapped</x:v>
      </x:c>
      <x:c r="AB40" s="27" t="str">
        <x:v>Part of the canonical Y10 route. May pause or branch to a Reconnection lesson before returning.</x:v>
      </x:c>
    </x:row>
    <x:row r="41" ht="44" customHeight="1">
      <x:c r="A41" s="27" t="str">
        <x:v>NEO-MATH-Y10-038</x:v>
      </x:c>
      <x:c r="B41" s="27" t="n">
        <x:v>38</x:v>
      </x:c>
      <x:c r="C41" s="27" t="str">
        <x:v>NEO-MATH-Y10-03</x:v>
      </x:c>
      <x:c r="D41" s="27" t="n">
        <x:v>3</x:v>
      </x:c>
      <x:c r="E41" s="27" t="str">
        <x:v>Straight Lines, Sets and Connected Representations</x:v>
      </x:c>
      <x:c r="F41" s="27" t="str">
        <x:v>Change &amp; Functions</x:v>
      </x:c>
      <x:c r="G41" s="27" t="n">
        <x:v>7</x:v>
      </x:c>
      <x:c r="H41" s="27" t="str">
        <x:v>Core</x:v>
      </x:c>
      <x:c r="I41" s="27" t="str">
        <x:v>Apply in context: Use set notation and Venn diagrams</x:v>
      </x:c>
      <x:c r="J41" s="27" t="str">
        <x:v>Where might use set notation and Venn diagrams help with a real decision?</x:v>
      </x:c>
      <x:c r="K41" s="27" t="str">
        <x:v>use set notation and Venn diagrams</x:v>
      </x:c>
      <x:c r="L41" s="27" t="str">
        <x:v>use set notation and Venn diagrams</x:v>
      </x:c>
      <x:c r="M41" s="27" t="str">
        <x:v>connect representations</x:v>
      </x:c>
      <x:c r="N41" s="27" t="str"/>
      <x:c r="O41" s="27" t="str">
        <x:v>Connection</x:v>
      </x:c>
      <x:c r="P41" s="27" t="str">
        <x:v>Movement, Reflection</x:v>
      </x:c>
      <x:c r="Q41" s="27" t="str">
        <x:v>Gradient Explorer + Venn Set Builder</x:v>
      </x:c>
      <x:c r="R41" s="27" t="str">
        <x:v>Dynamic Graph Lab</x:v>
      </x:c>
      <x:c r="S41" s="27" t="str">
        <x:v>Coordinate grid</x:v>
      </x:c>
      <x:c r="T41" s="27" t="str">
        <x:v>Straight Lines, Sets and Connected Representations – use set notation and Venn diagrams</x:v>
      </x:c>
      <x:c r="U41" s="27" t="str">
        <x:v>Short contextual application of use set notation and Venn diagrams</x:v>
      </x:c>
      <x:c r="V41" s="27" t="str">
        <x:v>Learner can use set notation and Venn diagrams and give a reason or check.</x:v>
      </x:c>
      <x:c r="W41" s="27" t="str">
        <x:v>Connect 5 / Explore 20 / Create or Apply 12 / Reflect 8</x:v>
      </x:c>
      <x:c r="X41" s="27" t="str">
        <x:v>Pearson Edexcel 4MA1 1.5, 3.3</x:v>
      </x:c>
      <x:c r="Y41" s="27" t="str">
        <x:v>Moderate-High</x:v>
      </x:c>
      <x:c r="Z41" s="27" t="str">
        <x:v>Live, Asynchronous, Independent</x:v>
      </x:c>
      <x:c r="AA41" s="27" t="str">
        <x:v>Architecture mapped</x:v>
      </x:c>
      <x:c r="AB41" s="27" t="str">
        <x:v>Part of the canonical Y10 route. May pause or branch to a Reconnection lesson before returning.</x:v>
      </x:c>
    </x:row>
    <x:row r="42" ht="44" customHeight="1">
      <x:c r="A42" s="27" t="str">
        <x:v>NEO-MATH-Y10-039</x:v>
      </x:c>
      <x:c r="B42" s="27" t="n">
        <x:v>39</x:v>
      </x:c>
      <x:c r="C42" s="27" t="str">
        <x:v>NEO-MATH-Y10-03</x:v>
      </x:c>
      <x:c r="D42" s="27" t="n">
        <x:v>3</x:v>
      </x:c>
      <x:c r="E42" s="27" t="str">
        <x:v>Straight Lines, Sets and Connected Representations</x:v>
      </x:c>
      <x:c r="F42" s="27" t="str">
        <x:v>Change &amp; Functions</x:v>
      </x:c>
      <x:c r="G42" s="27" t="n">
        <x:v>8</x:v>
      </x:c>
      <x:c r="H42" s="27" t="str">
        <x:v>Core</x:v>
      </x:c>
      <x:c r="I42" s="27" t="str">
        <x:v>Model and test: Generate graph points</x:v>
      </x:c>
      <x:c r="J42" s="27" t="str">
        <x:v>Can I build a model using generate graph points and test it?</x:v>
      </x:c>
      <x:c r="K42" s="27" t="str">
        <x:v>generate graph points</x:v>
      </x:c>
      <x:c r="L42" s="27" t="str">
        <x:v>generate graph points</x:v>
      </x:c>
      <x:c r="M42" s="27" t="str">
        <x:v>use set notation and Venn diagrams</x:v>
      </x:c>
      <x:c r="N42" s="27" t="str"/>
      <x:c r="O42" s="27" t="str">
        <x:v>Connection</x:v>
      </x:c>
      <x:c r="P42" s="27" t="str">
        <x:v>Movement, Reflection</x:v>
      </x:c>
      <x:c r="Q42" s="27" t="str">
        <x:v>Gradient Explorer + Venn Set Builder</x:v>
      </x:c>
      <x:c r="R42" s="27" t="str">
        <x:v>Dynamic Graph Lab</x:v>
      </x:c>
      <x:c r="S42" s="27" t="str">
        <x:v>Coordinate grid</x:v>
      </x:c>
      <x:c r="T42" s="27" t="str">
        <x:v>Straight Lines, Sets and Connected Representations – generate graph points</x:v>
      </x:c>
      <x:c r="U42" s="27" t="str">
        <x:v>Tested model using generate graph points</x:v>
      </x:c>
      <x:c r="V42" s="27" t="str">
        <x:v>Learner can generate graph points and give a reason or check.</x:v>
      </x:c>
      <x:c r="W42" s="27" t="str">
        <x:v>Connect 5 / Explore 20 / Create or Apply 12 / Reflect 8</x:v>
      </x:c>
      <x:c r="X42" s="27" t="str">
        <x:v>Pearson Edexcel 4MA1 1.5, 3.3</x:v>
      </x:c>
      <x:c r="Y42" s="27" t="str">
        <x:v>Moderate-High</x:v>
      </x:c>
      <x:c r="Z42" s="27" t="str">
        <x:v>Live, Asynchronous, Independent</x:v>
      </x:c>
      <x:c r="AA42" s="27" t="str">
        <x:v>Architecture mapped</x:v>
      </x:c>
      <x:c r="AB42" s="27" t="str">
        <x:v>Part of the canonical Y10 route. May pause or branch to a Reconnection lesson before returning.</x:v>
      </x:c>
    </x:row>
    <x:row r="43" ht="44" customHeight="1">
      <x:c r="A43" s="27" t="str">
        <x:v>NEO-MATH-Y10-040</x:v>
      </x:c>
      <x:c r="B43" s="27" t="n">
        <x:v>40</x:v>
      </x:c>
      <x:c r="C43" s="27" t="str">
        <x:v>NEO-MATH-Y10-03</x:v>
      </x:c>
      <x:c r="D43" s="27" t="n">
        <x:v>3</x:v>
      </x:c>
      <x:c r="E43" s="27" t="str">
        <x:v>Straight Lines, Sets and Connected Representations</x:v>
      </x:c>
      <x:c r="F43" s="27" t="str">
        <x:v>Change &amp; Functions</x:v>
      </x:c>
      <x:c r="G43" s="27" t="n">
        <x:v>9</x:v>
      </x:c>
      <x:c r="H43" s="27" t="str">
        <x:v>Core</x:v>
      </x:c>
      <x:c r="I43" s="27" t="str">
        <x:v>Compare strategies: Find gradient and intercept</x:v>
      </x:c>
      <x:c r="J43" s="27" t="str">
        <x:v>Which route through find gradient and intercept is clearest or most efficient?</x:v>
      </x:c>
      <x:c r="K43" s="27" t="str">
        <x:v>find gradient and intercept</x:v>
      </x:c>
      <x:c r="L43" s="27" t="str">
        <x:v>find gradient and intercept</x:v>
      </x:c>
      <x:c r="M43" s="27" t="str">
        <x:v>generate graph points</x:v>
      </x:c>
      <x:c r="N43" s="27" t="str"/>
      <x:c r="O43" s="27" t="str">
        <x:v>Connection</x:v>
      </x:c>
      <x:c r="P43" s="27" t="str">
        <x:v>Movement, Reflection</x:v>
      </x:c>
      <x:c r="Q43" s="27" t="str">
        <x:v>Gradient Explorer + Venn Set Builder</x:v>
      </x:c>
      <x:c r="R43" s="27" t="str">
        <x:v>Dynamic Graph Lab</x:v>
      </x:c>
      <x:c r="S43" s="27" t="str">
        <x:v>Coordinate grid</x:v>
      </x:c>
      <x:c r="T43" s="27" t="str">
        <x:v>Straight Lines, Sets and Connected Representations – find gradient and intercept</x:v>
      </x:c>
      <x:c r="U43" s="27" t="str">
        <x:v>Two-route comparison for find gradient and intercept</x:v>
      </x:c>
      <x:c r="V43" s="27" t="str">
        <x:v>Learner can find gradient and intercept and give a reason or check.</x:v>
      </x:c>
      <x:c r="W43" s="27" t="str">
        <x:v>Connect 5 / Explore 20 / Create or Apply 12 / Reflect 8</x:v>
      </x:c>
      <x:c r="X43" s="27" t="str">
        <x:v>Pearson Edexcel 4MA1 1.5, 3.3</x:v>
      </x:c>
      <x:c r="Y43" s="27" t="str">
        <x:v>Moderate-High</x:v>
      </x:c>
      <x:c r="Z43" s="27" t="str">
        <x:v>Live, Asynchronous, Independent</x:v>
      </x:c>
      <x:c r="AA43" s="27" t="str">
        <x:v>Architecture mapped</x:v>
      </x:c>
      <x:c r="AB43" s="27" t="str">
        <x:v>Part of the canonical Y10 route. May pause or branch to a Reconnection lesson before returning.</x:v>
      </x:c>
    </x:row>
    <x:row r="44" ht="44" customHeight="1">
      <x:c r="A44" s="27" t="str">
        <x:v>NEO-MATH-Y10-041</x:v>
      </x:c>
      <x:c r="B44" s="27" t="n">
        <x:v>41</x:v>
      </x:c>
      <x:c r="C44" s="27" t="str">
        <x:v>NEO-MATH-Y10-03</x:v>
      </x:c>
      <x:c r="D44" s="27" t="n">
        <x:v>3</x:v>
      </x:c>
      <x:c r="E44" s="27" t="str">
        <x:v>Straight Lines, Sets and Connected Representations</x:v>
      </x:c>
      <x:c r="F44" s="27" t="str">
        <x:v>Change &amp; Functions</x:v>
      </x:c>
      <x:c r="G44" s="27" t="n">
        <x:v>11</x:v>
      </x:c>
      <x:c r="H44" s="27" t="str">
        <x:v>Qualification Practice</x:v>
      </x:c>
      <x:c r="I44" s="27" t="str">
        <x:v>Assessment translation 1: Use set notation and Venn diagrams</x:v>
      </x:c>
      <x:c r="J44" s="27" t="str">
        <x:v>How might a qualification question hide the need to use set notation and Venn diagrams?</x:v>
      </x:c>
      <x:c r="K44" s="27" t="str">
        <x:v>translate assessed wording into the canonical move: use set notation and Venn diagrams</x:v>
      </x:c>
      <x:c r="L44" s="27" t="str">
        <x:v>use set notation and Venn diagrams</x:v>
      </x:c>
      <x:c r="M44" s="27" t="str">
        <x:v>relevant core concept plus question-reading routine</x:v>
      </x:c>
      <x:c r="N44" s="27" t="str">
        <x:v>REC-SRL-01 if wording blocks mathematical access</x:v>
      </x:c>
      <x:c r="O44" s="27" t="str">
        <x:v>Reflection</x:v>
      </x:c>
      <x:c r="P44" s="27" t="str">
        <x:v>Connection, Rest</x:v>
      </x:c>
      <x:c r="Q44" s="27" t="str">
        <x:v>Question Translation Studio</x:v>
      </x:c>
      <x:c r="R44" s="27" t="str">
        <x:v>Navigation Tool</x:v>
      </x:c>
      <x:c r="S44" s="27" t="str">
        <x:v>Coordinate grid</x:v>
      </x:c>
      <x:c r="T44" s="27" t="str">
        <x:v>4MA1-style mixed questions: use set notation and Venn diagrams</x:v>
      </x:c>
      <x:c r="U44" s="27" t="str">
        <x:v>Annotated assessed-world question showing givens, goal, route and check for use set notation and Venn diagrams</x:v>
      </x:c>
      <x:c r="V44" s="27" t="str">
        <x:v>Learner identifies the mathematics, selects a route and checks a solution involving use set notation and Venn diagrams.</x:v>
      </x:c>
      <x:c r="W44" s="27" t="str">
        <x:v>Decode 10 / Solve 20 / Compare 10 / Reflect 5</x:v>
      </x:c>
      <x:c r="X44" s="27" t="str">
        <x:v>Pearson Edexcel 4MA1 1.5, 3.3</x:v>
      </x:c>
      <x:c r="Y44" s="27" t="str">
        <x:v>Moderate-High; wording chunked before calculation</x:v>
      </x:c>
      <x:c r="Z44" s="27" t="str">
        <x:v>Live, Asynchronous, Independent</x:v>
      </x:c>
      <x:c r="AA44" s="27" t="str">
        <x:v>Architecture mapped</x:v>
      </x:c>
      <x:c r="AB44" s="27" t="str">
        <x:v>Qualification overlay lesson. Exam wording is translated into mathematics already present in the canonical spine.</x:v>
      </x:c>
    </x:row>
    <x:row r="45" ht="44" customHeight="1">
      <x:c r="A45" s="27" t="str">
        <x:v>NEO-MATH-Y10-042</x:v>
      </x:c>
      <x:c r="B45" s="27" t="n">
        <x:v>42</x:v>
      </x:c>
      <x:c r="C45" s="27" t="str">
        <x:v>NEO-MATH-Y10-03</x:v>
      </x:c>
      <x:c r="D45" s="27" t="n">
        <x:v>3</x:v>
      </x:c>
      <x:c r="E45" s="27" t="str">
        <x:v>Straight Lines, Sets and Connected Representations</x:v>
      </x:c>
      <x:c r="F45" s="27" t="str">
        <x:v>Change &amp; Functions</x:v>
      </x:c>
      <x:c r="G45" s="27" t="n">
        <x:v>10</x:v>
      </x:c>
      <x:c r="H45" s="27" t="str">
        <x:v>Core</x:v>
      </x:c>
      <x:c r="I45" s="27" t="str">
        <x:v>Practice with choice: Write linear equations</x:v>
      </x:c>
      <x:c r="J45" s="27" t="str">
        <x:v>Can I use write linear equations without being told the method?</x:v>
      </x:c>
      <x:c r="K45" s="27" t="str">
        <x:v>write linear equations</x:v>
      </x:c>
      <x:c r="L45" s="27" t="str">
        <x:v>write linear equations</x:v>
      </x:c>
      <x:c r="M45" s="27" t="str">
        <x:v>find gradient and intercept</x:v>
      </x:c>
      <x:c r="N45" s="27" t="str"/>
      <x:c r="O45" s="27" t="str">
        <x:v>Connection</x:v>
      </x:c>
      <x:c r="P45" s="27" t="str">
        <x:v>Movement, Reflection</x:v>
      </x:c>
      <x:c r="Q45" s="27" t="str">
        <x:v>Gradient Explorer + Venn Set Builder</x:v>
      </x:c>
      <x:c r="R45" s="27" t="str">
        <x:v>Dynamic Graph Lab</x:v>
      </x:c>
      <x:c r="S45" s="27" t="str">
        <x:v>Coordinate grid</x:v>
      </x:c>
      <x:c r="T45" s="27" t="str">
        <x:v>Straight Lines, Sets and Connected Representations – write linear equations</x:v>
      </x:c>
      <x:c r="U45" s="27" t="str">
        <x:v>Practice Companion evidence for write linear equations</x:v>
      </x:c>
      <x:c r="V45" s="27" t="str">
        <x:v>Learner can write linear equations and give a reason or check.</x:v>
      </x:c>
      <x:c r="W45" s="27" t="str">
        <x:v>Reconnect 5 / Practice 25 / Check 10 / Reflect 5</x:v>
      </x:c>
      <x:c r="X45" s="27" t="str">
        <x:v>Pearson Edexcel 4MA1 1.5, 3.3</x:v>
      </x:c>
      <x:c r="Y45" s="27" t="str">
        <x:v>Moderate-High</x:v>
      </x:c>
      <x:c r="Z45" s="27" t="str">
        <x:v>Live, Asynchronous, Independent</x:v>
      </x:c>
      <x:c r="AA45" s="27" t="str">
        <x:v>Architecture mapped</x:v>
      </x:c>
      <x:c r="AB45" s="27" t="str">
        <x:v>Part of the canonical Y10 route. May pause or branch to a Reconnection lesson before returning.</x:v>
      </x:c>
    </x:row>
    <x:row r="46" ht="44" customHeight="1">
      <x:c r="A46" s="27" t="str">
        <x:v>NEO-MATH-Y10-043</x:v>
      </x:c>
      <x:c r="B46" s="27" t="n">
        <x:v>43</x:v>
      </x:c>
      <x:c r="C46" s="27" t="str">
        <x:v>NEO-MATH-Y10-03</x:v>
      </x:c>
      <x:c r="D46" s="27" t="n">
        <x:v>3</x:v>
      </x:c>
      <x:c r="E46" s="27" t="str">
        <x:v>Straight Lines, Sets and Connected Representations</x:v>
      </x:c>
      <x:c r="F46" s="27" t="str">
        <x:v>Change &amp; Functions</x:v>
      </x:c>
      <x:c r="G46" s="27" t="n">
        <x:v>11</x:v>
      </x:c>
      <x:c r="H46" s="27" t="str">
        <x:v>Core</x:v>
      </x:c>
      <x:c r="I46" s="27" t="str">
        <x:v>Qualification translation: Interpret conversion graphs</x:v>
      </x:c>
      <x:c r="J46" s="27" t="str">
        <x:v>How might an assessed question disguise interpret conversion graphs?</x:v>
      </x:c>
      <x:c r="K46" s="27" t="str">
        <x:v>interpret conversion graphs</x:v>
      </x:c>
      <x:c r="L46" s="27" t="str">
        <x:v>interpret conversion graphs</x:v>
      </x:c>
      <x:c r="M46" s="27" t="str">
        <x:v>write linear equations</x:v>
      </x:c>
      <x:c r="N46" s="27" t="str"/>
      <x:c r="O46" s="27" t="str">
        <x:v>Connection</x:v>
      </x:c>
      <x:c r="P46" s="27" t="str">
        <x:v>Movement, Reflection</x:v>
      </x:c>
      <x:c r="Q46" s="27" t="str">
        <x:v>Gradient Explorer + Venn Set Builder</x:v>
      </x:c>
      <x:c r="R46" s="27" t="str">
        <x:v>Dynamic Graph Lab</x:v>
      </x:c>
      <x:c r="S46" s="27" t="str">
        <x:v>Coordinate grid</x:v>
      </x:c>
      <x:c r="T46" s="27" t="str">
        <x:v>Straight Lines, Sets and Connected Representations – interpret conversion graphs</x:v>
      </x:c>
      <x:c r="U46" s="27" t="str">
        <x:v>Annotated question translation for interpret conversion graphs</x:v>
      </x:c>
      <x:c r="V46" s="27" t="str">
        <x:v>Learner can interpret conversion graphs and give a reason or check.</x:v>
      </x:c>
      <x:c r="W46" s="27" t="str">
        <x:v>Translate 10 / Solve 20 / Compare 10 / Reflect 5</x:v>
      </x:c>
      <x:c r="X46" s="27" t="str">
        <x:v>Pearson Edexcel 4MA1 1.5, 3.3</x:v>
      </x:c>
      <x:c r="Y46" s="27" t="str">
        <x:v>Moderate-High</x:v>
      </x:c>
      <x:c r="Z46" s="27" t="str">
        <x:v>Live, Asynchronous, Independent</x:v>
      </x:c>
      <x:c r="AA46" s="27" t="str">
        <x:v>Architecture mapped</x:v>
      </x:c>
      <x:c r="AB46" s="27" t="str">
        <x:v>Part of the canonical Y10 route. May pause or branch to a Reconnection lesson before returning.</x:v>
      </x:c>
    </x:row>
    <x:row r="47" ht="44" customHeight="1">
      <x:c r="A47" s="27" t="str">
        <x:v>NEO-MATH-Y10-044</x:v>
      </x:c>
      <x:c r="B47" s="27" t="n">
        <x:v>44</x:v>
      </x:c>
      <x:c r="C47" s="27" t="str">
        <x:v>NEO-MATH-Y10-03</x:v>
      </x:c>
      <x:c r="D47" s="27" t="n">
        <x:v>3</x:v>
      </x:c>
      <x:c r="E47" s="27" t="str">
        <x:v>Straight Lines, Sets and Connected Representations</x:v>
      </x:c>
      <x:c r="F47" s="27" t="str">
        <x:v>Change &amp; Functions</x:v>
      </x:c>
      <x:c r="G47" s="27" t="n">
        <x:v>12</x:v>
      </x:c>
      <x:c r="H47" s="27" t="str">
        <x:v>Core</x:v>
      </x:c>
      <x:c r="I47" s="27" t="str">
        <x:v>Mastery checkpoint: Connect representations</x:v>
      </x:c>
      <x:c r="J47" s="27" t="str">
        <x:v>What can I now explain, apply and check about connect representations?</x:v>
      </x:c>
      <x:c r="K47" s="27" t="str">
        <x:v>connect representations</x:v>
      </x:c>
      <x:c r="L47" s="27" t="str">
        <x:v>connect representations</x:v>
      </x:c>
      <x:c r="M47" s="27" t="str">
        <x:v>interpret conversion graphs</x:v>
      </x:c>
      <x:c r="N47" s="27" t="str"/>
      <x:c r="O47" s="27" t="str">
        <x:v>Connection</x:v>
      </x:c>
      <x:c r="P47" s="27" t="str">
        <x:v>Movement, Reflection</x:v>
      </x:c>
      <x:c r="Q47" s="27" t="str">
        <x:v>Gradient Explorer + Venn Set Builder</x:v>
      </x:c>
      <x:c r="R47" s="27" t="str">
        <x:v>Dynamic Graph Lab</x:v>
      </x:c>
      <x:c r="S47" s="27" t="str">
        <x:v>Coordinate grid</x:v>
      </x:c>
      <x:c r="T47" s="27" t="str">
        <x:v>Straight Lines, Sets and Connected Representations – connect representations</x:v>
      </x:c>
      <x:c r="U47" s="27" t="str">
        <x:v>Connected Representation Portfolio</x:v>
      </x:c>
      <x:c r="V47" s="27" t="str">
        <x:v>Learner can connect representations and give a reason or check.</x:v>
      </x:c>
      <x:c r="W47" s="27" t="str">
        <x:v>Settle 5 / Choose evidence 25 / Mastery check 10 / Reflect 5</x:v>
      </x:c>
      <x:c r="X47" s="27" t="str">
        <x:v>Pearson Edexcel 4MA1 1.5, 3.3</x:v>
      </x:c>
      <x:c r="Y47" s="27" t="str">
        <x:v>Moderate-High</x:v>
      </x:c>
      <x:c r="Z47" s="27" t="str">
        <x:v>Live, Asynchronous, Independent</x:v>
      </x:c>
      <x:c r="AA47" s="27" t="str">
        <x:v>Architecture mapped</x:v>
      </x:c>
      <x:c r="AB47" s="27" t="str">
        <x:v>Part of the canonical Y10 route. May pause or branch to a Reconnection lesson before returning.</x:v>
      </x:c>
    </x:row>
    <x:row r="48" ht="44" customHeight="1">
      <x:c r="A48" s="27" t="str">
        <x:v>NEO-MATH-Y10-045</x:v>
      </x:c>
      <x:c r="B48" s="27" t="n">
        <x:v>45</x:v>
      </x:c>
      <x:c r="C48" s="27" t="str">
        <x:v>NEO-MATH-Y10-03</x:v>
      </x:c>
      <x:c r="D48" s="27" t="n">
        <x:v>3</x:v>
      </x:c>
      <x:c r="E48" s="27" t="str">
        <x:v>Straight Lines, Sets and Connected Representations</x:v>
      </x:c>
      <x:c r="F48" s="27" t="str">
        <x:v>Change &amp; Functions</x:v>
      </x:c>
      <x:c r="G48" s="27" t="n">
        <x:v>15</x:v>
      </x:c>
      <x:c r="H48" s="27" t="str">
        <x:v>Portfolio / Pathway Review</x:v>
      </x:c>
      <x:c r="I48" s="27" t="str">
        <x:v>Evidence and next step: Straight Lines, Sets and Connected Representations</x:v>
      </x:c>
      <x:c r="J48" s="27" t="str">
        <x:v>What evidence shows what I can now do—and what would be a useful next mathematical move?</x:v>
      </x:c>
      <x:c r="K48" s="27" t="str">
        <x:v>select, annotate and reflect on unit evidence</x:v>
      </x:c>
      <x:c r="L48" s="27" t="str">
        <x:v>unit-level synthesis, communication and self-regulation</x:v>
      </x:c>
      <x:c r="M48" s="27" t="str">
        <x:v>any meaningful participation or evidence from the unit</x:v>
      </x:c>
      <x:c r="N48" s="27" t="str">
        <x:v>learner-specific</x:v>
      </x:c>
      <x:c r="O48" s="27" t="str">
        <x:v>Reflection</x:v>
      </x:c>
      <x:c r="P48" s="27" t="str">
        <x:v>Rest, Connection</x:v>
      </x:c>
      <x:c r="Q48" s="27" t="str">
        <x:v>Portfolio Evidence Selector</x:v>
      </x:c>
      <x:c r="R48" s="27" t="str">
        <x:v>Navigation Tool</x:v>
      </x:c>
      <x:c r="S48" s="27" t="str">
        <x:v>Blank</x:v>
      </x:c>
      <x:c r="T48" s="27" t="str">
        <x:v>learner-selected gap or stretch</x:v>
      </x:c>
      <x:c r="U48" s="27" t="str">
        <x:v>Connected Representation Portfolio</x:v>
      </x:c>
      <x:c r="V48" s="27" t="str">
        <x:v>Learner can point to evidence for current mastery and agree a next step.</x:v>
      </x:c>
      <x:c r="W48" s="27" t="str">
        <x:v>Settle 5 / Select 10 / Annotate 15 / Strengthen 10 / Next step 5</x:v>
      </x:c>
      <x:c r="X48" s="27" t="str">
        <x:v>Pearson Edexcel 4MA1 1.5, 3.3</x:v>
      </x:c>
      <x:c r="Y48" s="27" t="str">
        <x:v>Low-Moderate; learner choice</x:v>
      </x:c>
      <x:c r="Z48" s="27" t="str">
        <x:v>Live, Asynchronous, Independent</x:v>
      </x:c>
      <x:c r="AA48" s="27" t="str">
        <x:v>Architecture mapped</x:v>
      </x:c>
      <x:c r="AB48" s="27" t="str">
        <x:v>Portfolio and pathway review. Completion volume is not used as a proxy for mastery.</x:v>
      </x:c>
    </x:row>
    <x:row r="49" ht="44" customHeight="1">
      <x:c r="A49" s="27" t="str">
        <x:v>NEO-MATH-Y10-046</x:v>
      </x:c>
      <x:c r="B49" s="27" t="n">
        <x:v>46</x:v>
      </x:c>
      <x:c r="C49" s="27" t="str">
        <x:v>NEO-MATH-Y10-04</x:v>
      </x:c>
      <x:c r="D49" s="27" t="n">
        <x:v>4</x:v>
      </x:c>
      <x:c r="E49" s="27" t="str">
        <x:v>Percentages, Ratio and Growth Models</x:v>
      </x:c>
      <x:c r="F49" s="27" t="str">
        <x:v>Proportional Reasoning</x:v>
      </x:c>
      <x:c r="G49" s="27" t="n">
        <x:v>1</x:v>
      </x:c>
      <x:c r="H49" s="27" t="str">
        <x:v>Core</x:v>
      </x:c>
      <x:c r="I49" s="27" t="str">
        <x:v>Connect &amp; notice: Solve ratio and proportion</x:v>
      </x:c>
      <x:c r="J49" s="27" t="str">
        <x:v>What do I already notice about solve ratio and proportion?</x:v>
      </x:c>
      <x:c r="K49" s="27" t="str">
        <x:v>solve ratio and proportion</x:v>
      </x:c>
      <x:c r="L49" s="27" t="str">
        <x:v>solve ratio and proportion</x:v>
      </x:c>
      <x:c r="M49" s="27" t="str">
        <x:v>learner entry knowledge and representation confidence</x:v>
      </x:c>
      <x:c r="N49" s="27" t="str"/>
      <x:c r="O49" s="27" t="str">
        <x:v>Movement</x:v>
      </x:c>
      <x:c r="P49" s="27" t="str">
        <x:v>Connection, Reflection</x:v>
      </x:c>
      <x:c r="Q49" s="27" t="str">
        <x:v>Growth Multiplier Lab</x:v>
      </x:c>
      <x:c r="R49" s="27" t="str">
        <x:v>Scaling Lab</x:v>
      </x:c>
      <x:c r="S49" s="27" t="str">
        <x:v>Double number line</x:v>
      </x:c>
      <x:c r="T49" s="27" t="str">
        <x:v>Percentages, Ratio and Growth Models – solve ratio and proportion</x:v>
      </x:c>
      <x:c r="U49" s="27" t="str">
        <x:v>Scratchpad prediction or notice about solve ratio and proportion</x:v>
      </x:c>
      <x:c r="V49" s="27" t="str">
        <x:v>Learner can solve ratio and proportion and give a reason or check.</x:v>
      </x:c>
      <x:c r="W49" s="27" t="str">
        <x:v>Connect 8 / Explore 20 / Notice 10 / Reflect 7</x:v>
      </x:c>
      <x:c r="X49" s="27" t="str">
        <x:v>Pearson Edexcel 4MA1 1.6-1.7; FS L2</x:v>
      </x:c>
      <x:c r="Y49" s="27" t="str">
        <x:v>Moderate</x:v>
      </x:c>
      <x:c r="Z49" s="27" t="str">
        <x:v>Live, Asynchronous, Independent</x:v>
      </x:c>
      <x:c r="AA49" s="27" t="str">
        <x:v>Architecture mapped</x:v>
      </x:c>
      <x:c r="AB49" s="27" t="str">
        <x:v>Part of the canonical Y10 route. May pause or branch to a Reconnection lesson before returning.</x:v>
      </x:c>
    </x:row>
    <x:row r="50" ht="44" customHeight="1">
      <x:c r="A50" s="27" t="str">
        <x:v>NEO-MATH-Y10-047</x:v>
      </x:c>
      <x:c r="B50" s="27" t="n">
        <x:v>47</x:v>
      </x:c>
      <x:c r="C50" s="27" t="str">
        <x:v>NEO-MATH-Y10-04</x:v>
      </x:c>
      <x:c r="D50" s="27" t="n">
        <x:v>4</x:v>
      </x:c>
      <x:c r="E50" s="27" t="str">
        <x:v>Percentages, Ratio and Growth Models</x:v>
      </x:c>
      <x:c r="F50" s="27" t="str">
        <x:v>Proportional Reasoning</x:v>
      </x:c>
      <x:c r="G50" s="27" t="n">
        <x:v>2</x:v>
      </x:c>
      <x:c r="H50" s="27" t="str">
        <x:v>Core</x:v>
      </x:c>
      <x:c r="I50" s="27" t="str">
        <x:v>Build the idea: Use percentages</x:v>
      </x:c>
      <x:c r="J50" s="27" t="str">
        <x:v>What does use percentages mean before I use a procedure?</x:v>
      </x:c>
      <x:c r="K50" s="27" t="str">
        <x:v>use percentages</x:v>
      </x:c>
      <x:c r="L50" s="27" t="str">
        <x:v>use percentages</x:v>
      </x:c>
      <x:c r="M50" s="27" t="str">
        <x:v>solve ratio and proportion</x:v>
      </x:c>
      <x:c r="N50" s="27" t="str"/>
      <x:c r="O50" s="27" t="str">
        <x:v>Movement</x:v>
      </x:c>
      <x:c r="P50" s="27" t="str">
        <x:v>Connection, Reflection</x:v>
      </x:c>
      <x:c r="Q50" s="27" t="str">
        <x:v>Growth Multiplier Lab</x:v>
      </x:c>
      <x:c r="R50" s="27" t="str">
        <x:v>Scaling Lab</x:v>
      </x:c>
      <x:c r="S50" s="27" t="str">
        <x:v>Double number line</x:v>
      </x:c>
      <x:c r="T50" s="27" t="str">
        <x:v>Percentages, Ratio and Growth Models – use percentages</x:v>
      </x:c>
      <x:c r="U50" s="27" t="str">
        <x:v>Annotated representation of use percentages</x:v>
      </x:c>
      <x:c r="V50" s="27" t="str">
        <x:v>Learner can use percentages and give a reason or check.</x:v>
      </x:c>
      <x:c r="W50" s="27" t="str">
        <x:v>Connect 5 / Explore 20 / Create or Apply 12 / Reflect 8</x:v>
      </x:c>
      <x:c r="X50" s="27" t="str">
        <x:v>Pearson Edexcel 4MA1 1.6-1.7; FS L2</x:v>
      </x:c>
      <x:c r="Y50" s="27" t="str">
        <x:v>Moderate</x:v>
      </x:c>
      <x:c r="Z50" s="27" t="str">
        <x:v>Live, Asynchronous, Independent</x:v>
      </x:c>
      <x:c r="AA50" s="27" t="str">
        <x:v>Architecture mapped</x:v>
      </x:c>
      <x:c r="AB50" s="27" t="str">
        <x:v>Part of the canonical Y10 route. May pause or branch to a Reconnection lesson before returning.</x:v>
      </x:c>
    </x:row>
    <x:row r="51" ht="44" customHeight="1">
      <x:c r="A51" s="27" t="str">
        <x:v>NEO-MATH-Y10-048</x:v>
      </x:c>
      <x:c r="B51" s="27" t="n">
        <x:v>48</x:v>
      </x:c>
      <x:c r="C51" s="27" t="str">
        <x:v>NEO-MATH-Y10-04</x:v>
      </x:c>
      <x:c r="D51" s="27" t="n">
        <x:v>4</x:v>
      </x:c>
      <x:c r="E51" s="27" t="str">
        <x:v>Percentages, Ratio and Growth Models</x:v>
      </x:c>
      <x:c r="F51" s="27" t="str">
        <x:v>Proportional Reasoning</x:v>
      </x:c>
      <x:c r="G51" s="27" t="n">
        <x:v>3</x:v>
      </x:c>
      <x:c r="H51" s="27" t="str">
        <x:v>Core</x:v>
      </x:c>
      <x:c r="I51" s="27" t="str">
        <x:v>Represent it: Calculate repeated change and compound interest</x:v>
      </x:c>
      <x:c r="J51" s="27" t="str">
        <x:v>How can I show calculate repeated change and compound interest in more than one way?</x:v>
      </x:c>
      <x:c r="K51" s="27" t="str">
        <x:v>calculate repeated change and compound interest</x:v>
      </x:c>
      <x:c r="L51" s="27" t="str">
        <x:v>calculate repeated change and compound interest</x:v>
      </x:c>
      <x:c r="M51" s="27" t="str">
        <x:v>use percentages</x:v>
      </x:c>
      <x:c r="N51" s="27" t="str"/>
      <x:c r="O51" s="27" t="str">
        <x:v>Movement</x:v>
      </x:c>
      <x:c r="P51" s="27" t="str">
        <x:v>Connection, Reflection</x:v>
      </x:c>
      <x:c r="Q51" s="27" t="str">
        <x:v>Growth Multiplier Lab</x:v>
      </x:c>
      <x:c r="R51" s="27" t="str">
        <x:v>Scaling Lab</x:v>
      </x:c>
      <x:c r="S51" s="27" t="str">
        <x:v>Double number line</x:v>
      </x:c>
      <x:c r="T51" s="27" t="str">
        <x:v>Percentages, Ratio and Growth Models – calculate repeated change and compound interest</x:v>
      </x:c>
      <x:c r="U51" s="27" t="str">
        <x:v>Annotated representation of calculate repeated change and compound interest</x:v>
      </x:c>
      <x:c r="V51" s="27" t="str">
        <x:v>Learner can calculate repeated change and compound interest and give a reason or check.</x:v>
      </x:c>
      <x:c r="W51" s="27" t="str">
        <x:v>Connect 5 / Explore 20 / Create or Apply 12 / Reflect 8</x:v>
      </x:c>
      <x:c r="X51" s="27" t="str">
        <x:v>Pearson Edexcel 4MA1 1.6-1.7; FS L2</x:v>
      </x:c>
      <x:c r="Y51" s="27" t="str">
        <x:v>Moderate</x:v>
      </x:c>
      <x:c r="Z51" s="27" t="str">
        <x:v>Live, Asynchronous, Independent</x:v>
      </x:c>
      <x:c r="AA51" s="27" t="str">
        <x:v>Architecture mapped</x:v>
      </x:c>
      <x:c r="AB51" s="27" t="str">
        <x:v>Part of the canonical Y10 route. May pause or branch to a Reconnection lesson before returning.</x:v>
      </x:c>
    </x:row>
    <x:row r="52" ht="44" customHeight="1">
      <x:c r="A52" s="27" t="str">
        <x:v>NEO-MATH-Y10-049</x:v>
      </x:c>
      <x:c r="B52" s="27" t="n">
        <x:v>49</x:v>
      </x:c>
      <x:c r="C52" s="27" t="str">
        <x:v>NEO-MATH-Y10-04</x:v>
      </x:c>
      <x:c r="D52" s="27" t="n">
        <x:v>4</x:v>
      </x:c>
      <x:c r="E52" s="27" t="str">
        <x:v>Percentages, Ratio and Growth Models</x:v>
      </x:c>
      <x:c r="F52" s="27" t="str">
        <x:v>Proportional Reasoning</x:v>
      </x:c>
      <x:c r="G52" s="27" t="n">
        <x:v>4</x:v>
      </x:c>
      <x:c r="H52" s="27" t="str">
        <x:v>Reconnection</x:v>
      </x:c>
      <x:c r="I52" s="27" t="str">
        <x:v>Reconnection: Unitary method</x:v>
      </x:c>
      <x:c r="J52" s="27" t="str">
        <x:v>What does one unit reveal?</x:v>
      </x:c>
      <x:c r="K52" s="27" t="str">
        <x:v>find one unit then scale</x:v>
      </x:c>
      <x:c r="L52" s="27" t="str">
        <x:v>find one unit then scale</x:v>
      </x:c>
      <x:c r="M52" s="27" t="str">
        <x:v>Branch triggered when find one unit then scale is not yet secure enough for the current unit.</x:v>
      </x:c>
      <x:c r="N52" s="27" t="str">
        <x:v>REC-PR-04</x:v>
      </x:c>
      <x:c r="O52" s="27" t="str">
        <x:v>Connection</x:v>
      </x:c>
      <x:c r="P52" s="27" t="str">
        <x:v>Reflection, Rest</x:v>
      </x:c>
      <x:c r="Q52" s="27" t="str">
        <x:v>Unit Rate Builder</x:v>
      </x:c>
      <x:c r="R52" s="27" t="str">
        <x:v>Scaling Lab</x:v>
      </x:c>
      <x:c r="S52" s="27" t="str">
        <x:v>Ratio table</x:v>
      </x:c>
      <x:c r="T52" s="27" t="str">
        <x:v>Unitary method targeted practice</x:v>
      </x:c>
      <x:c r="U52" s="27" t="str">
        <x:v>Short reconnection evidence: find one unit then scale</x:v>
      </x:c>
      <x:c r="V52" s="27" t="str">
        <x:v>Learner can find one unit then scale sufficiently to return to Percentages, Ratio and Growth Models.</x:v>
      </x:c>
      <x:c r="W52" s="27" t="str">
        <x:v>Arrive 5 / Reconnect 20 / Test 10 / Return link 10</x:v>
      </x:c>
      <x:c r="X52" s="27" t="str">
        <x:v>Pearson Edexcel 4MA1 1.6-1.7; FS L2</x:v>
      </x:c>
      <x:c r="Y52" s="27" t="str">
        <x:v>Low-Moderate; targeted prerequisite repair</x:v>
      </x:c>
      <x:c r="Z52" s="27" t="str">
        <x:v>Live, Asynchronous, Independent</x:v>
      </x:c>
      <x:c r="AA52" s="27" t="str">
        <x:v>Architecture mapped</x:v>
      </x:c>
      <x:c r="AB52" s="27" t="str">
        <x:v>Not 'catch-up'. A targeted route from Year 8 learning that reconnects the learner to NEO-MATH-Y10-04.</x:v>
      </x:c>
    </x:row>
    <x:row r="53" ht="44" customHeight="1">
      <x:c r="A53" s="27" t="str">
        <x:v>NEO-MATH-Y10-050</x:v>
      </x:c>
      <x:c r="B53" s="27" t="n">
        <x:v>50</x:v>
      </x:c>
      <x:c r="C53" s="27" t="str">
        <x:v>NEO-MATH-Y10-04</x:v>
      </x:c>
      <x:c r="D53" s="27" t="n">
        <x:v>4</x:v>
      </x:c>
      <x:c r="E53" s="27" t="str">
        <x:v>Percentages, Ratio and Growth Models</x:v>
      </x:c>
      <x:c r="F53" s="27" t="str">
        <x:v>Proportional Reasoning</x:v>
      </x:c>
      <x:c r="G53" s="27" t="n">
        <x:v>4</x:v>
      </x:c>
      <x:c r="H53" s="27" t="str">
        <x:v>Core</x:v>
      </x:c>
      <x:c r="I53" s="27" t="str">
        <x:v>Try one change: Use direct proportion</x:v>
      </x:c>
      <x:c r="J53" s="27" t="str">
        <x:v>What changes when I adjust one part of use direct proportion?</x:v>
      </x:c>
      <x:c r="K53" s="27" t="str">
        <x:v>use direct proportion</x:v>
      </x:c>
      <x:c r="L53" s="27" t="str">
        <x:v>use direct proportion</x:v>
      </x:c>
      <x:c r="M53" s="27" t="str">
        <x:v>calculate repeated change and compound interest</x:v>
      </x:c>
      <x:c r="N53" s="27" t="str"/>
      <x:c r="O53" s="27" t="str">
        <x:v>Movement</x:v>
      </x:c>
      <x:c r="P53" s="27" t="str">
        <x:v>Connection, Reflection</x:v>
      </x:c>
      <x:c r="Q53" s="27" t="str">
        <x:v>Growth Multiplier Lab</x:v>
      </x:c>
      <x:c r="R53" s="27" t="str">
        <x:v>Scaling Lab</x:v>
      </x:c>
      <x:c r="S53" s="27" t="str">
        <x:v>Double number line</x:v>
      </x:c>
      <x:c r="T53" s="27" t="str">
        <x:v>Percentages, Ratio and Growth Models – use direct proportion</x:v>
      </x:c>
      <x:c r="U53" s="27" t="str">
        <x:v>Annotated representation of use direct proportion</x:v>
      </x:c>
      <x:c r="V53" s="27" t="str">
        <x:v>Learner can use direct proportion and give a reason or check.</x:v>
      </x:c>
      <x:c r="W53" s="27" t="str">
        <x:v>Connect 5 / Explore 20 / Create or Apply 12 / Reflect 8</x:v>
      </x:c>
      <x:c r="X53" s="27" t="str">
        <x:v>Pearson Edexcel 4MA1 1.6-1.7; FS L2</x:v>
      </x:c>
      <x:c r="Y53" s="27" t="str">
        <x:v>Moderate</x:v>
      </x:c>
      <x:c r="Z53" s="27" t="str">
        <x:v>Live, Asynchronous, Independent</x:v>
      </x:c>
      <x:c r="AA53" s="27" t="str">
        <x:v>Architecture mapped</x:v>
      </x:c>
      <x:c r="AB53" s="27" t="str">
        <x:v>Part of the canonical Y10 route. May pause or branch to a Reconnection lesson before returning.</x:v>
      </x:c>
    </x:row>
    <x:row r="54" ht="44" customHeight="1">
      <x:c r="A54" s="27" t="str">
        <x:v>NEO-MATH-Y10-051</x:v>
      </x:c>
      <x:c r="B54" s="27" t="n">
        <x:v>51</x:v>
      </x:c>
      <x:c r="C54" s="27" t="str">
        <x:v>NEO-MATH-Y10-04</x:v>
      </x:c>
      <x:c r="D54" s="27" t="n">
        <x:v>4</x:v>
      </x:c>
      <x:c r="E54" s="27" t="str">
        <x:v>Percentages, Ratio and Growth Models</x:v>
      </x:c>
      <x:c r="F54" s="27" t="str">
        <x:v>Proportional Reasoning</x:v>
      </x:c>
      <x:c r="G54" s="27" t="n">
        <x:v>5</x:v>
      </x:c>
      <x:c r="H54" s="27" t="str">
        <x:v>Core</x:v>
      </x:c>
      <x:c r="I54" s="27" t="str">
        <x:v>Connect ideas: Interpret growth models</x:v>
      </x:c>
      <x:c r="J54" s="27" t="str">
        <x:v>How does interpret growth models connect to the earlier relationship?</x:v>
      </x:c>
      <x:c r="K54" s="27" t="str">
        <x:v>interpret growth models</x:v>
      </x:c>
      <x:c r="L54" s="27" t="str">
        <x:v>interpret growth models</x:v>
      </x:c>
      <x:c r="M54" s="27" t="str">
        <x:v>use direct proportion</x:v>
      </x:c>
      <x:c r="N54" s="27" t="str"/>
      <x:c r="O54" s="27" t="str">
        <x:v>Movement</x:v>
      </x:c>
      <x:c r="P54" s="27" t="str">
        <x:v>Connection, Reflection</x:v>
      </x:c>
      <x:c r="Q54" s="27" t="str">
        <x:v>Growth Multiplier Lab</x:v>
      </x:c>
      <x:c r="R54" s="27" t="str">
        <x:v>Scaling Lab</x:v>
      </x:c>
      <x:c r="S54" s="27" t="str">
        <x:v>Double number line</x:v>
      </x:c>
      <x:c r="T54" s="27" t="str">
        <x:v>Percentages, Ratio and Growth Models – interpret growth models</x:v>
      </x:c>
      <x:c r="U54" s="27" t="str">
        <x:v>Annotated representation of interpret growth models</x:v>
      </x:c>
      <x:c r="V54" s="27" t="str">
        <x:v>Learner can interpret growth models and give a reason or check.</x:v>
      </x:c>
      <x:c r="W54" s="27" t="str">
        <x:v>Connect 8 / Explore 20 / Notice 10 / Reflect 7</x:v>
      </x:c>
      <x:c r="X54" s="27" t="str">
        <x:v>Pearson Edexcel 4MA1 1.6-1.7; FS L2</x:v>
      </x:c>
      <x:c r="Y54" s="27" t="str">
        <x:v>Moderate</x:v>
      </x:c>
      <x:c r="Z54" s="27" t="str">
        <x:v>Live, Asynchronous, Independent</x:v>
      </x:c>
      <x:c r="AA54" s="27" t="str">
        <x:v>Architecture mapped</x:v>
      </x:c>
      <x:c r="AB54" s="27" t="str">
        <x:v>Part of the canonical Y10 route. May pause or branch to a Reconnection lesson before returning.</x:v>
      </x:c>
    </x:row>
    <x:row r="55" ht="44" customHeight="1">
      <x:c r="A55" s="27" t="str">
        <x:v>NEO-MATH-Y10-052</x:v>
      </x:c>
      <x:c r="B55" s="27" t="n">
        <x:v>52</x:v>
      </x:c>
      <x:c r="C55" s="27" t="str">
        <x:v>NEO-MATH-Y10-04</x:v>
      </x:c>
      <x:c r="D55" s="27" t="n">
        <x:v>4</x:v>
      </x:c>
      <x:c r="E55" s="27" t="str">
        <x:v>Percentages, Ratio and Growth Models</x:v>
      </x:c>
      <x:c r="F55" s="27" t="str">
        <x:v>Proportional Reasoning</x:v>
      </x:c>
      <x:c r="G55" s="27" t="n">
        <x:v>6</x:v>
      </x:c>
      <x:c r="H55" s="27" t="str">
        <x:v>Core</x:v>
      </x:c>
      <x:c r="I55" s="27" t="str">
        <x:v>Repair a misconception: Reverse percentage changes</x:v>
      </x:c>
      <x:c r="J55" s="27" t="str">
        <x:v>What tempting mistake can reverse percentage changes create?</x:v>
      </x:c>
      <x:c r="K55" s="27" t="str">
        <x:v>reverse percentage changes</x:v>
      </x:c>
      <x:c r="L55" s="27" t="str">
        <x:v>reverse percentage changes</x:v>
      </x:c>
      <x:c r="M55" s="27" t="str">
        <x:v>interpret growth models</x:v>
      </x:c>
      <x:c r="N55" s="27" t="str"/>
      <x:c r="O55" s="27" t="str">
        <x:v>Movement</x:v>
      </x:c>
      <x:c r="P55" s="27" t="str">
        <x:v>Connection, Reflection</x:v>
      </x:c>
      <x:c r="Q55" s="27" t="str">
        <x:v>Growth Multiplier Lab</x:v>
      </x:c>
      <x:c r="R55" s="27" t="str">
        <x:v>Scaling Lab</x:v>
      </x:c>
      <x:c r="S55" s="27" t="str">
        <x:v>Double number line</x:v>
      </x:c>
      <x:c r="T55" s="27" t="str">
        <x:v>Percentages, Ratio and Growth Models – reverse percentage changes</x:v>
      </x:c>
      <x:c r="U55" s="27" t="str">
        <x:v>Corrected misconception note: reverse percentage changes</x:v>
      </x:c>
      <x:c r="V55" s="27" t="str">
        <x:v>Learner can reverse percentage changes and give a reason or check.</x:v>
      </x:c>
      <x:c r="W55" s="27" t="str">
        <x:v>Connect 5 / Explore 20 / Create or Apply 12 / Reflect 8</x:v>
      </x:c>
      <x:c r="X55" s="27" t="str">
        <x:v>Pearson Edexcel 4MA1 1.6-1.7; FS L2</x:v>
      </x:c>
      <x:c r="Y55" s="27" t="str">
        <x:v>Moderate</x:v>
      </x:c>
      <x:c r="Z55" s="27" t="str">
        <x:v>Live, Asynchronous, Independent</x:v>
      </x:c>
      <x:c r="AA55" s="27" t="str">
        <x:v>Architecture mapped</x:v>
      </x:c>
      <x:c r="AB55" s="27" t="str">
        <x:v>Part of the canonical Y10 route. May pause or branch to a Reconnection lesson before returning.</x:v>
      </x:c>
    </x:row>
    <x:row r="56" ht="44" customHeight="1">
      <x:c r="A56" s="27" t="str">
        <x:v>NEO-MATH-Y10-053</x:v>
      </x:c>
      <x:c r="B56" s="27" t="n">
        <x:v>53</x:v>
      </x:c>
      <x:c r="C56" s="27" t="str">
        <x:v>NEO-MATH-Y10-04</x:v>
      </x:c>
      <x:c r="D56" s="27" t="n">
        <x:v>4</x:v>
      </x:c>
      <x:c r="E56" s="27" t="str">
        <x:v>Percentages, Ratio and Growth Models</x:v>
      </x:c>
      <x:c r="F56" s="27" t="str">
        <x:v>Proportional Reasoning</x:v>
      </x:c>
      <x:c r="G56" s="27" t="n">
        <x:v>7</x:v>
      </x:c>
      <x:c r="H56" s="27" t="str">
        <x:v>Core</x:v>
      </x:c>
      <x:c r="I56" s="27" t="str">
        <x:v>Apply in context: Solve ratio and proportion</x:v>
      </x:c>
      <x:c r="J56" s="27" t="str">
        <x:v>Where might solve ratio and proportion help with a real decision?</x:v>
      </x:c>
      <x:c r="K56" s="27" t="str">
        <x:v>solve ratio and proportion</x:v>
      </x:c>
      <x:c r="L56" s="27" t="str">
        <x:v>solve ratio and proportion</x:v>
      </x:c>
      <x:c r="M56" s="27" t="str">
        <x:v>reverse percentage changes</x:v>
      </x:c>
      <x:c r="N56" s="27" t="str"/>
      <x:c r="O56" s="27" t="str">
        <x:v>Movement</x:v>
      </x:c>
      <x:c r="P56" s="27" t="str">
        <x:v>Connection, Reflection</x:v>
      </x:c>
      <x:c r="Q56" s="27" t="str">
        <x:v>Growth Multiplier Lab</x:v>
      </x:c>
      <x:c r="R56" s="27" t="str">
        <x:v>Scaling Lab</x:v>
      </x:c>
      <x:c r="S56" s="27" t="str">
        <x:v>Double number line</x:v>
      </x:c>
      <x:c r="T56" s="27" t="str">
        <x:v>Percentages, Ratio and Growth Models – solve ratio and proportion</x:v>
      </x:c>
      <x:c r="U56" s="27" t="str">
        <x:v>Short contextual application of solve ratio and proportion</x:v>
      </x:c>
      <x:c r="V56" s="27" t="str">
        <x:v>Learner can solve ratio and proportion and give a reason or check.</x:v>
      </x:c>
      <x:c r="W56" s="27" t="str">
        <x:v>Connect 5 / Explore 20 / Create or Apply 12 / Reflect 8</x:v>
      </x:c>
      <x:c r="X56" s="27" t="str">
        <x:v>Pearson Edexcel 4MA1 1.6-1.7; FS L2</x:v>
      </x:c>
      <x:c r="Y56" s="27" t="str">
        <x:v>Moderate</x:v>
      </x:c>
      <x:c r="Z56" s="27" t="str">
        <x:v>Live, Asynchronous, Independent</x:v>
      </x:c>
      <x:c r="AA56" s="27" t="str">
        <x:v>Architecture mapped</x:v>
      </x:c>
      <x:c r="AB56" s="27" t="str">
        <x:v>Part of the canonical Y10 route. May pause or branch to a Reconnection lesson before returning.</x:v>
      </x:c>
    </x:row>
    <x:row r="57" ht="44" customHeight="1">
      <x:c r="A57" s="27" t="str">
        <x:v>NEO-MATH-Y10-054</x:v>
      </x:c>
      <x:c r="B57" s="27" t="n">
        <x:v>54</x:v>
      </x:c>
      <x:c r="C57" s="27" t="str">
        <x:v>NEO-MATH-Y10-04</x:v>
      </x:c>
      <x:c r="D57" s="27" t="n">
        <x:v>4</x:v>
      </x:c>
      <x:c r="E57" s="27" t="str">
        <x:v>Percentages, Ratio and Growth Models</x:v>
      </x:c>
      <x:c r="F57" s="27" t="str">
        <x:v>Proportional Reasoning</x:v>
      </x:c>
      <x:c r="G57" s="27" t="n">
        <x:v>8</x:v>
      </x:c>
      <x:c r="H57" s="27" t="str">
        <x:v>Core</x:v>
      </x:c>
      <x:c r="I57" s="27" t="str">
        <x:v>Model and test: Use percentages</x:v>
      </x:c>
      <x:c r="J57" s="27" t="str">
        <x:v>Can I build a model using use percentages and test it?</x:v>
      </x:c>
      <x:c r="K57" s="27" t="str">
        <x:v>use percentages</x:v>
      </x:c>
      <x:c r="L57" s="27" t="str">
        <x:v>use percentages</x:v>
      </x:c>
      <x:c r="M57" s="27" t="str">
        <x:v>solve ratio and proportion</x:v>
      </x:c>
      <x:c r="N57" s="27" t="str"/>
      <x:c r="O57" s="27" t="str">
        <x:v>Movement</x:v>
      </x:c>
      <x:c r="P57" s="27" t="str">
        <x:v>Connection, Reflection</x:v>
      </x:c>
      <x:c r="Q57" s="27" t="str">
        <x:v>Growth Multiplier Lab</x:v>
      </x:c>
      <x:c r="R57" s="27" t="str">
        <x:v>Scaling Lab</x:v>
      </x:c>
      <x:c r="S57" s="27" t="str">
        <x:v>Double number line</x:v>
      </x:c>
      <x:c r="T57" s="27" t="str">
        <x:v>Percentages, Ratio and Growth Models – use percentages</x:v>
      </x:c>
      <x:c r="U57" s="27" t="str">
        <x:v>Tested model using use percentages</x:v>
      </x:c>
      <x:c r="V57" s="27" t="str">
        <x:v>Learner can use percentages and give a reason or check.</x:v>
      </x:c>
      <x:c r="W57" s="27" t="str">
        <x:v>Connect 5 / Explore 20 / Create or Apply 12 / Reflect 8</x:v>
      </x:c>
      <x:c r="X57" s="27" t="str">
        <x:v>Pearson Edexcel 4MA1 1.6-1.7; FS L2</x:v>
      </x:c>
      <x:c r="Y57" s="27" t="str">
        <x:v>Moderate</x:v>
      </x:c>
      <x:c r="Z57" s="27" t="str">
        <x:v>Live, Asynchronous, Independent</x:v>
      </x:c>
      <x:c r="AA57" s="27" t="str">
        <x:v>Architecture mapped</x:v>
      </x:c>
      <x:c r="AB57" s="27" t="str">
        <x:v>Part of the canonical Y10 route. May pause or branch to a Reconnection lesson before returning.</x:v>
      </x:c>
    </x:row>
    <x:row r="58" ht="44" customHeight="1">
      <x:c r="A58" s="27" t="str">
        <x:v>NEO-MATH-Y10-055</x:v>
      </x:c>
      <x:c r="B58" s="27" t="n">
        <x:v>55</x:v>
      </x:c>
      <x:c r="C58" s="27" t="str">
        <x:v>NEO-MATH-Y10-04</x:v>
      </x:c>
      <x:c r="D58" s="27" t="n">
        <x:v>4</x:v>
      </x:c>
      <x:c r="E58" s="27" t="str">
        <x:v>Percentages, Ratio and Growth Models</x:v>
      </x:c>
      <x:c r="F58" s="27" t="str">
        <x:v>Proportional Reasoning</x:v>
      </x:c>
      <x:c r="G58" s="27" t="n">
        <x:v>9</x:v>
      </x:c>
      <x:c r="H58" s="27" t="str">
        <x:v>Core</x:v>
      </x:c>
      <x:c r="I58" s="27" t="str">
        <x:v>Compare strategies: Calculate repeated change and compound interest</x:v>
      </x:c>
      <x:c r="J58" s="27" t="str">
        <x:v>Which route through calculate repeated change and compound interest is clearest or most efficient?</x:v>
      </x:c>
      <x:c r="K58" s="27" t="str">
        <x:v>calculate repeated change and compound interest</x:v>
      </x:c>
      <x:c r="L58" s="27" t="str">
        <x:v>calculate repeated change and compound interest</x:v>
      </x:c>
      <x:c r="M58" s="27" t="str">
        <x:v>use percentages</x:v>
      </x:c>
      <x:c r="N58" s="27" t="str"/>
      <x:c r="O58" s="27" t="str">
        <x:v>Movement</x:v>
      </x:c>
      <x:c r="P58" s="27" t="str">
        <x:v>Connection, Reflection</x:v>
      </x:c>
      <x:c r="Q58" s="27" t="str">
        <x:v>Growth Multiplier Lab</x:v>
      </x:c>
      <x:c r="R58" s="27" t="str">
        <x:v>Scaling Lab</x:v>
      </x:c>
      <x:c r="S58" s="27" t="str">
        <x:v>Double number line</x:v>
      </x:c>
      <x:c r="T58" s="27" t="str">
        <x:v>Percentages, Ratio and Growth Models – calculate repeated change and compound interest</x:v>
      </x:c>
      <x:c r="U58" s="27" t="str">
        <x:v>Two-route comparison for calculate repeated change and compound interest</x:v>
      </x:c>
      <x:c r="V58" s="27" t="str">
        <x:v>Learner can calculate repeated change and compound interest and give a reason or check.</x:v>
      </x:c>
      <x:c r="W58" s="27" t="str">
        <x:v>Connect 5 / Explore 20 / Create or Apply 12 / Reflect 8</x:v>
      </x:c>
      <x:c r="X58" s="27" t="str">
        <x:v>Pearson Edexcel 4MA1 1.6-1.7; FS L2</x:v>
      </x:c>
      <x:c r="Y58" s="27" t="str">
        <x:v>Moderate</x:v>
      </x:c>
      <x:c r="Z58" s="27" t="str">
        <x:v>Live, Asynchronous, Independent</x:v>
      </x:c>
      <x:c r="AA58" s="27" t="str">
        <x:v>Architecture mapped</x:v>
      </x:c>
      <x:c r="AB58" s="27" t="str">
        <x:v>Part of the canonical Y10 route. May pause or branch to a Reconnection lesson before returning.</x:v>
      </x:c>
    </x:row>
    <x:row r="59" ht="44" customHeight="1">
      <x:c r="A59" s="27" t="str">
        <x:v>NEO-MATH-Y10-056</x:v>
      </x:c>
      <x:c r="B59" s="27" t="n">
        <x:v>56</x:v>
      </x:c>
      <x:c r="C59" s="27" t="str">
        <x:v>NEO-MATH-Y10-04</x:v>
      </x:c>
      <x:c r="D59" s="27" t="n">
        <x:v>4</x:v>
      </x:c>
      <x:c r="E59" s="27" t="str">
        <x:v>Percentages, Ratio and Growth Models</x:v>
      </x:c>
      <x:c r="F59" s="27" t="str">
        <x:v>Proportional Reasoning</x:v>
      </x:c>
      <x:c r="G59" s="27" t="n">
        <x:v>11</x:v>
      </x:c>
      <x:c r="H59" s="27" t="str">
        <x:v>Qualification Practice</x:v>
      </x:c>
      <x:c r="I59" s="27" t="str">
        <x:v>Assessment translation 1: Solve ratio and proportion</x:v>
      </x:c>
      <x:c r="J59" s="27" t="str">
        <x:v>How might a qualification question hide the need to solve ratio and proportion?</x:v>
      </x:c>
      <x:c r="K59" s="27" t="str">
        <x:v>translate assessed wording into the canonical move: solve ratio and proportion</x:v>
      </x:c>
      <x:c r="L59" s="27" t="str">
        <x:v>solve ratio and proportion</x:v>
      </x:c>
      <x:c r="M59" s="27" t="str">
        <x:v>relevant core concept plus question-reading routine</x:v>
      </x:c>
      <x:c r="N59" s="27" t="str">
        <x:v>REC-SRL-01 if wording blocks mathematical access</x:v>
      </x:c>
      <x:c r="O59" s="27" t="str">
        <x:v>Reflection</x:v>
      </x:c>
      <x:c r="P59" s="27" t="str">
        <x:v>Connection, Rest</x:v>
      </x:c>
      <x:c r="Q59" s="27" t="str">
        <x:v>Question Translation Studio</x:v>
      </x:c>
      <x:c r="R59" s="27" t="str">
        <x:v>Navigation Tool</x:v>
      </x:c>
      <x:c r="S59" s="27" t="str">
        <x:v>Double number line</x:v>
      </x:c>
      <x:c r="T59" s="27" t="str">
        <x:v>4MA1-style mixed questions: solve ratio and proportion</x:v>
      </x:c>
      <x:c r="U59" s="27" t="str">
        <x:v>Annotated assessed-world question showing givens, goal, route and check for solve ratio and proportion</x:v>
      </x:c>
      <x:c r="V59" s="27" t="str">
        <x:v>Learner identifies the mathematics, selects a route and checks a solution involving solve ratio and proportion.</x:v>
      </x:c>
      <x:c r="W59" s="27" t="str">
        <x:v>Decode 10 / Solve 20 / Compare 10 / Reflect 5</x:v>
      </x:c>
      <x:c r="X59" s="27" t="str">
        <x:v>Pearson Edexcel 4MA1 1.6-1.7; FS L2</x:v>
      </x:c>
      <x:c r="Y59" s="27" t="str">
        <x:v>Moderate-High; wording chunked before calculation</x:v>
      </x:c>
      <x:c r="Z59" s="27" t="str">
        <x:v>Live, Asynchronous, Independent</x:v>
      </x:c>
      <x:c r="AA59" s="27" t="str">
        <x:v>Architecture mapped</x:v>
      </x:c>
      <x:c r="AB59" s="27" t="str">
        <x:v>Qualification overlay lesson. Exam wording is translated into mathematics already present in the canonical spine.</x:v>
      </x:c>
    </x:row>
    <x:row r="60" ht="44" customHeight="1">
      <x:c r="A60" s="27" t="str">
        <x:v>NEO-MATH-Y10-057</x:v>
      </x:c>
      <x:c r="B60" s="27" t="n">
        <x:v>57</x:v>
      </x:c>
      <x:c r="C60" s="27" t="str">
        <x:v>NEO-MATH-Y10-04</x:v>
      </x:c>
      <x:c r="D60" s="27" t="n">
        <x:v>4</x:v>
      </x:c>
      <x:c r="E60" s="27" t="str">
        <x:v>Percentages, Ratio and Growth Models</x:v>
      </x:c>
      <x:c r="F60" s="27" t="str">
        <x:v>Proportional Reasoning</x:v>
      </x:c>
      <x:c r="G60" s="27" t="n">
        <x:v>10</x:v>
      </x:c>
      <x:c r="H60" s="27" t="str">
        <x:v>Core</x:v>
      </x:c>
      <x:c r="I60" s="27" t="str">
        <x:v>Practice with choice: Use direct proportion</x:v>
      </x:c>
      <x:c r="J60" s="27" t="str">
        <x:v>Can I use use direct proportion without being told the method?</x:v>
      </x:c>
      <x:c r="K60" s="27" t="str">
        <x:v>use direct proportion</x:v>
      </x:c>
      <x:c r="L60" s="27" t="str">
        <x:v>use direct proportion</x:v>
      </x:c>
      <x:c r="M60" s="27" t="str">
        <x:v>calculate repeated change and compound interest</x:v>
      </x:c>
      <x:c r="N60" s="27" t="str"/>
      <x:c r="O60" s="27" t="str">
        <x:v>Movement</x:v>
      </x:c>
      <x:c r="P60" s="27" t="str">
        <x:v>Connection, Reflection</x:v>
      </x:c>
      <x:c r="Q60" s="27" t="str">
        <x:v>Growth Multiplier Lab</x:v>
      </x:c>
      <x:c r="R60" s="27" t="str">
        <x:v>Scaling Lab</x:v>
      </x:c>
      <x:c r="S60" s="27" t="str">
        <x:v>Double number line</x:v>
      </x:c>
      <x:c r="T60" s="27" t="str">
        <x:v>Percentages, Ratio and Growth Models – use direct proportion</x:v>
      </x:c>
      <x:c r="U60" s="27" t="str">
        <x:v>Practice Companion evidence for use direct proportion</x:v>
      </x:c>
      <x:c r="V60" s="27" t="str">
        <x:v>Learner can use direct proportion and give a reason or check.</x:v>
      </x:c>
      <x:c r="W60" s="27" t="str">
        <x:v>Reconnect 5 / Practice 25 / Check 10 / Reflect 5</x:v>
      </x:c>
      <x:c r="X60" s="27" t="str">
        <x:v>Pearson Edexcel 4MA1 1.6-1.7; FS L2</x:v>
      </x:c>
      <x:c r="Y60" s="27" t="str">
        <x:v>Moderate</x:v>
      </x:c>
      <x:c r="Z60" s="27" t="str">
        <x:v>Live, Asynchronous, Independent</x:v>
      </x:c>
      <x:c r="AA60" s="27" t="str">
        <x:v>Architecture mapped</x:v>
      </x:c>
      <x:c r="AB60" s="27" t="str">
        <x:v>Part of the canonical Y10 route. May pause or branch to a Reconnection lesson before returning.</x:v>
      </x:c>
    </x:row>
    <x:row r="61" ht="44" customHeight="1">
      <x:c r="A61" s="27" t="str">
        <x:v>NEO-MATH-Y10-058</x:v>
      </x:c>
      <x:c r="B61" s="27" t="n">
        <x:v>58</x:v>
      </x:c>
      <x:c r="C61" s="27" t="str">
        <x:v>NEO-MATH-Y10-04</x:v>
      </x:c>
      <x:c r="D61" s="27" t="n">
        <x:v>4</x:v>
      </x:c>
      <x:c r="E61" s="27" t="str">
        <x:v>Percentages, Ratio and Growth Models</x:v>
      </x:c>
      <x:c r="F61" s="27" t="str">
        <x:v>Proportional Reasoning</x:v>
      </x:c>
      <x:c r="G61" s="27" t="n">
        <x:v>11</x:v>
      </x:c>
      <x:c r="H61" s="27" t="str">
        <x:v>Core</x:v>
      </x:c>
      <x:c r="I61" s="27" t="str">
        <x:v>Qualification translation: Interpret growth models</x:v>
      </x:c>
      <x:c r="J61" s="27" t="str">
        <x:v>How might an assessed question disguise interpret growth models?</x:v>
      </x:c>
      <x:c r="K61" s="27" t="str">
        <x:v>interpret growth models</x:v>
      </x:c>
      <x:c r="L61" s="27" t="str">
        <x:v>interpret growth models</x:v>
      </x:c>
      <x:c r="M61" s="27" t="str">
        <x:v>use direct proportion</x:v>
      </x:c>
      <x:c r="N61" s="27" t="str"/>
      <x:c r="O61" s="27" t="str">
        <x:v>Movement</x:v>
      </x:c>
      <x:c r="P61" s="27" t="str">
        <x:v>Connection, Reflection</x:v>
      </x:c>
      <x:c r="Q61" s="27" t="str">
        <x:v>Growth Multiplier Lab</x:v>
      </x:c>
      <x:c r="R61" s="27" t="str">
        <x:v>Scaling Lab</x:v>
      </x:c>
      <x:c r="S61" s="27" t="str">
        <x:v>Double number line</x:v>
      </x:c>
      <x:c r="T61" s="27" t="str">
        <x:v>Percentages, Ratio and Growth Models – interpret growth models</x:v>
      </x:c>
      <x:c r="U61" s="27" t="str">
        <x:v>Annotated question translation for interpret growth models</x:v>
      </x:c>
      <x:c r="V61" s="27" t="str">
        <x:v>Learner can interpret growth models and give a reason or check.</x:v>
      </x:c>
      <x:c r="W61" s="27" t="str">
        <x:v>Translate 10 / Solve 20 / Compare 10 / Reflect 5</x:v>
      </x:c>
      <x:c r="X61" s="27" t="str">
        <x:v>Pearson Edexcel 4MA1 1.6-1.7; FS L2</x:v>
      </x:c>
      <x:c r="Y61" s="27" t="str">
        <x:v>Moderate</x:v>
      </x:c>
      <x:c r="Z61" s="27" t="str">
        <x:v>Live, Asynchronous, Independent</x:v>
      </x:c>
      <x:c r="AA61" s="27" t="str">
        <x:v>Architecture mapped</x:v>
      </x:c>
      <x:c r="AB61" s="27" t="str">
        <x:v>Part of the canonical Y10 route. May pause or branch to a Reconnection lesson before returning.</x:v>
      </x:c>
    </x:row>
    <x:row r="62" ht="44" customHeight="1">
      <x:c r="A62" s="27" t="str">
        <x:v>NEO-MATH-Y10-059</x:v>
      </x:c>
      <x:c r="B62" s="27" t="n">
        <x:v>59</x:v>
      </x:c>
      <x:c r="C62" s="27" t="str">
        <x:v>NEO-MATH-Y10-04</x:v>
      </x:c>
      <x:c r="D62" s="27" t="n">
        <x:v>4</x:v>
      </x:c>
      <x:c r="E62" s="27" t="str">
        <x:v>Percentages, Ratio and Growth Models</x:v>
      </x:c>
      <x:c r="F62" s="27" t="str">
        <x:v>Proportional Reasoning</x:v>
      </x:c>
      <x:c r="G62" s="27" t="n">
        <x:v>12</x:v>
      </x:c>
      <x:c r="H62" s="27" t="str">
        <x:v>Core</x:v>
      </x:c>
      <x:c r="I62" s="27" t="str">
        <x:v>Mastery checkpoint: Reverse percentage changes</x:v>
      </x:c>
      <x:c r="J62" s="27" t="str">
        <x:v>What can I now explain, apply and check about reverse percentage changes?</x:v>
      </x:c>
      <x:c r="K62" s="27" t="str">
        <x:v>reverse percentage changes</x:v>
      </x:c>
      <x:c r="L62" s="27" t="str">
        <x:v>reverse percentage changes</x:v>
      </x:c>
      <x:c r="M62" s="27" t="str">
        <x:v>interpret growth models</x:v>
      </x:c>
      <x:c r="N62" s="27" t="str"/>
      <x:c r="O62" s="27" t="str">
        <x:v>Movement</x:v>
      </x:c>
      <x:c r="P62" s="27" t="str">
        <x:v>Connection, Reflection</x:v>
      </x:c>
      <x:c r="Q62" s="27" t="str">
        <x:v>Growth Multiplier Lab</x:v>
      </x:c>
      <x:c r="R62" s="27" t="str">
        <x:v>Scaling Lab</x:v>
      </x:c>
      <x:c r="S62" s="27" t="str">
        <x:v>Double number line</x:v>
      </x:c>
      <x:c r="T62" s="27" t="str">
        <x:v>Percentages, Ratio and Growth Models – reverse percentage changes</x:v>
      </x:c>
      <x:c r="U62" s="27" t="str">
        <x:v>Growth or Decay Model Review</x:v>
      </x:c>
      <x:c r="V62" s="27" t="str">
        <x:v>Learner can reverse percentage changes and give a reason or check.</x:v>
      </x:c>
      <x:c r="W62" s="27" t="str">
        <x:v>Settle 5 / Choose evidence 25 / Mastery check 10 / Reflect 5</x:v>
      </x:c>
      <x:c r="X62" s="27" t="str">
        <x:v>Pearson Edexcel 4MA1 1.6-1.7; FS L2</x:v>
      </x:c>
      <x:c r="Y62" s="27" t="str">
        <x:v>Moderate</x:v>
      </x:c>
      <x:c r="Z62" s="27" t="str">
        <x:v>Live, Asynchronous, Independent</x:v>
      </x:c>
      <x:c r="AA62" s="27" t="str">
        <x:v>Architecture mapped</x:v>
      </x:c>
      <x:c r="AB62" s="27" t="str">
        <x:v>Part of the canonical Y10 route. May pause or branch to a Reconnection lesson before returning.</x:v>
      </x:c>
    </x:row>
    <x:row r="63" ht="44" customHeight="1">
      <x:c r="A63" s="27" t="str">
        <x:v>NEO-MATH-Y10-060</x:v>
      </x:c>
      <x:c r="B63" s="27" t="n">
        <x:v>60</x:v>
      </x:c>
      <x:c r="C63" s="27" t="str">
        <x:v>NEO-MATH-Y10-04</x:v>
      </x:c>
      <x:c r="D63" s="27" t="n">
        <x:v>4</x:v>
      </x:c>
      <x:c r="E63" s="27" t="str">
        <x:v>Percentages, Ratio and Growth Models</x:v>
      </x:c>
      <x:c r="F63" s="27" t="str">
        <x:v>Proportional Reasoning</x:v>
      </x:c>
      <x:c r="G63" s="27" t="n">
        <x:v>15</x:v>
      </x:c>
      <x:c r="H63" s="27" t="str">
        <x:v>Portfolio / Pathway Review</x:v>
      </x:c>
      <x:c r="I63" s="27" t="str">
        <x:v>Evidence and next step: Percentages, Ratio and Growth Models</x:v>
      </x:c>
      <x:c r="J63" s="27" t="str">
        <x:v>What evidence shows what I can now do—and what would be a useful next mathematical move?</x:v>
      </x:c>
      <x:c r="K63" s="27" t="str">
        <x:v>select, annotate and reflect on unit evidence</x:v>
      </x:c>
      <x:c r="L63" s="27" t="str">
        <x:v>unit-level synthesis, communication and self-regulation</x:v>
      </x:c>
      <x:c r="M63" s="27" t="str">
        <x:v>any meaningful participation or evidence from the unit</x:v>
      </x:c>
      <x:c r="N63" s="27" t="str">
        <x:v>learner-specific</x:v>
      </x:c>
      <x:c r="O63" s="27" t="str">
        <x:v>Reflection</x:v>
      </x:c>
      <x:c r="P63" s="27" t="str">
        <x:v>Rest, Connection</x:v>
      </x:c>
      <x:c r="Q63" s="27" t="str">
        <x:v>Portfolio Evidence Selector</x:v>
      </x:c>
      <x:c r="R63" s="27" t="str">
        <x:v>Navigation Tool</x:v>
      </x:c>
      <x:c r="S63" s="27" t="str">
        <x:v>Blank</x:v>
      </x:c>
      <x:c r="T63" s="27" t="str">
        <x:v>learner-selected gap or stretch</x:v>
      </x:c>
      <x:c r="U63" s="27" t="str">
        <x:v>Growth or Decay Model Review</x:v>
      </x:c>
      <x:c r="V63" s="27" t="str">
        <x:v>Learner can point to evidence for current mastery and agree a next step.</x:v>
      </x:c>
      <x:c r="W63" s="27" t="str">
        <x:v>Settle 5 / Select 10 / Annotate 15 / Strengthen 10 / Next step 5</x:v>
      </x:c>
      <x:c r="X63" s="27" t="str">
        <x:v>Pearson Edexcel 4MA1 1.6-1.7; FS L2</x:v>
      </x:c>
      <x:c r="Y63" s="27" t="str">
        <x:v>Low-Moderate; learner choice</x:v>
      </x:c>
      <x:c r="Z63" s="27" t="str">
        <x:v>Live, Asynchronous, Independent</x:v>
      </x:c>
      <x:c r="AA63" s="27" t="str">
        <x:v>Architecture mapped</x:v>
      </x:c>
      <x:c r="AB63" s="27" t="str">
        <x:v>Portfolio and pathway review. Completion volume is not used as a proxy for mastery.</x:v>
      </x:c>
    </x:row>
    <x:row r="64" ht="44" customHeight="1">
      <x:c r="A64" s="27" t="str">
        <x:v>NEO-MATH-Y10-061</x:v>
      </x:c>
      <x:c r="B64" s="27" t="n">
        <x:v>61</x:v>
      </x:c>
      <x:c r="C64" s="27" t="str">
        <x:v>NEO-MATH-Y10-05</x:v>
      </x:c>
      <x:c r="D64" s="27" t="n">
        <x:v>5</x:v>
      </x:c>
      <x:c r="E64" s="27" t="str">
        <x:v>Equations, Inequalities and Simultaneous Relationships</x:v>
      </x:c>
      <x:c r="F64" s="27" t="str">
        <x:v>Structure &amp; Generalisation</x:v>
      </x:c>
      <x:c r="G64" s="27" t="n">
        <x:v>1</x:v>
      </x:c>
      <x:c r="H64" s="27" t="str">
        <x:v>Core</x:v>
      </x:c>
      <x:c r="I64" s="27" t="str">
        <x:v>Connect &amp; notice: Solve linear equations</x:v>
      </x:c>
      <x:c r="J64" s="27" t="str">
        <x:v>What do I already notice about solve linear equations?</x:v>
      </x:c>
      <x:c r="K64" s="27" t="str">
        <x:v>solve linear equations</x:v>
      </x:c>
      <x:c r="L64" s="27" t="str">
        <x:v>solve linear equations</x:v>
      </x:c>
      <x:c r="M64" s="27" t="str">
        <x:v>learner entry knowledge and representation confidence</x:v>
      </x:c>
      <x:c r="N64" s="27" t="str"/>
      <x:c r="O64" s="27" t="str">
        <x:v>Connection</x:v>
      </x:c>
      <x:c r="P64" s="27" t="str">
        <x:v>Reflection, Creativity</x:v>
      </x:c>
      <x:c r="Q64" s="27" t="str">
        <x:v>Intersection and Constraint Studio</x:v>
      </x:c>
      <x:c r="R64" s="27" t="str">
        <x:v>Structure Lab</x:v>
      </x:c>
      <x:c r="S64" s="27" t="str">
        <x:v>Coordinate grid</x:v>
      </x:c>
      <x:c r="T64" s="27" t="str">
        <x:v>Equations, Inequalities and Simultaneous Relationships – solve linear equations</x:v>
      </x:c>
      <x:c r="U64" s="27" t="str">
        <x:v>Scratchpad prediction or notice about solve linear equations</x:v>
      </x:c>
      <x:c r="V64" s="27" t="str">
        <x:v>Learner can solve linear equations and give a reason or check.</x:v>
      </x:c>
      <x:c r="W64" s="27" t="str">
        <x:v>Connect 8 / Explore 20 / Notice 10 / Reflect 7</x:v>
      </x:c>
      <x:c r="X64" s="27" t="str">
        <x:v>Pearson Edexcel 4MA1 2.4, 2.6, 2.8</x:v>
      </x:c>
      <x:c r="Y64" s="27" t="str">
        <x:v>High</x:v>
      </x:c>
      <x:c r="Z64" s="27" t="str">
        <x:v>Live, Asynchronous, Independent</x:v>
      </x:c>
      <x:c r="AA64" s="27" t="str">
        <x:v>Architecture mapped</x:v>
      </x:c>
      <x:c r="AB64" s="27" t="str">
        <x:v>Part of the canonical Y10 route. May pause or branch to a Reconnection lesson before returning.</x:v>
      </x:c>
    </x:row>
    <x:row r="65" ht="44" customHeight="1">
      <x:c r="A65" s="27" t="str">
        <x:v>NEO-MATH-Y10-062</x:v>
      </x:c>
      <x:c r="B65" s="27" t="n">
        <x:v>62</x:v>
      </x:c>
      <x:c r="C65" s="27" t="str">
        <x:v>NEO-MATH-Y10-05</x:v>
      </x:c>
      <x:c r="D65" s="27" t="n">
        <x:v>5</x:v>
      </x:c>
      <x:c r="E65" s="27" t="str">
        <x:v>Equations, Inequalities and Simultaneous Relationships</x:v>
      </x:c>
      <x:c r="F65" s="27" t="str">
        <x:v>Structure &amp; Generalisation</x:v>
      </x:c>
      <x:c r="G65" s="27" t="n">
        <x:v>2</x:v>
      </x:c>
      <x:c r="H65" s="27" t="str">
        <x:v>Core</x:v>
      </x:c>
      <x:c r="I65" s="27" t="str">
        <x:v>Build the idea: Solve simultaneous equations</x:v>
      </x:c>
      <x:c r="J65" s="27" t="str">
        <x:v>What does solve simultaneous equations mean before I use a procedure?</x:v>
      </x:c>
      <x:c r="K65" s="27" t="str">
        <x:v>solve simultaneous equations</x:v>
      </x:c>
      <x:c r="L65" s="27" t="str">
        <x:v>solve simultaneous equations</x:v>
      </x:c>
      <x:c r="M65" s="27" t="str">
        <x:v>solve linear equations</x:v>
      </x:c>
      <x:c r="N65" s="27" t="str"/>
      <x:c r="O65" s="27" t="str">
        <x:v>Connection</x:v>
      </x:c>
      <x:c r="P65" s="27" t="str">
        <x:v>Reflection, Creativity</x:v>
      </x:c>
      <x:c r="Q65" s="27" t="str">
        <x:v>Intersection and Constraint Studio</x:v>
      </x:c>
      <x:c r="R65" s="27" t="str">
        <x:v>Structure Lab</x:v>
      </x:c>
      <x:c r="S65" s="27" t="str">
        <x:v>Coordinate grid</x:v>
      </x:c>
      <x:c r="T65" s="27" t="str">
        <x:v>Equations, Inequalities and Simultaneous Relationships – solve simultaneous equations</x:v>
      </x:c>
      <x:c r="U65" s="27" t="str">
        <x:v>Annotated representation of solve simultaneous equations</x:v>
      </x:c>
      <x:c r="V65" s="27" t="str">
        <x:v>Learner can solve simultaneous equations and give a reason or check.</x:v>
      </x:c>
      <x:c r="W65" s="27" t="str">
        <x:v>Connect 5 / Explore 20 / Create or Apply 12 / Reflect 8</x:v>
      </x:c>
      <x:c r="X65" s="27" t="str">
        <x:v>Pearson Edexcel 4MA1 2.4, 2.6, 2.8</x:v>
      </x:c>
      <x:c r="Y65" s="27" t="str">
        <x:v>High</x:v>
      </x:c>
      <x:c r="Z65" s="27" t="str">
        <x:v>Live, Asynchronous, Independent</x:v>
      </x:c>
      <x:c r="AA65" s="27" t="str">
        <x:v>Architecture mapped</x:v>
      </x:c>
      <x:c r="AB65" s="27" t="str">
        <x:v>Part of the canonical Y10 route. May pause or branch to a Reconnection lesson before returning.</x:v>
      </x:c>
    </x:row>
    <x:row r="66" ht="44" customHeight="1">
      <x:c r="A66" s="27" t="str">
        <x:v>NEO-MATH-Y10-063</x:v>
      </x:c>
      <x:c r="B66" s="27" t="n">
        <x:v>63</x:v>
      </x:c>
      <x:c r="C66" s="27" t="str">
        <x:v>NEO-MATH-Y10-05</x:v>
      </x:c>
      <x:c r="D66" s="27" t="n">
        <x:v>5</x:v>
      </x:c>
      <x:c r="E66" s="27" t="str">
        <x:v>Equations, Inequalities and Simultaneous Relationships</x:v>
      </x:c>
      <x:c r="F66" s="27" t="str">
        <x:v>Structure &amp; Generalisation</x:v>
      </x:c>
      <x:c r="G66" s="27" t="n">
        <x:v>3</x:v>
      </x:c>
      <x:c r="H66" s="27" t="str">
        <x:v>Core</x:v>
      </x:c>
      <x:c r="I66" s="27" t="str">
        <x:v>Represent it: Solve and represent inequalities</x:v>
      </x:c>
      <x:c r="J66" s="27" t="str">
        <x:v>How can I show solve and represent inequalities in more than one way?</x:v>
      </x:c>
      <x:c r="K66" s="27" t="str">
        <x:v>solve and represent inequalities</x:v>
      </x:c>
      <x:c r="L66" s="27" t="str">
        <x:v>solve and represent inequalities</x:v>
      </x:c>
      <x:c r="M66" s="27" t="str">
        <x:v>solve simultaneous equations</x:v>
      </x:c>
      <x:c r="N66" s="27" t="str"/>
      <x:c r="O66" s="27" t="str">
        <x:v>Connection</x:v>
      </x:c>
      <x:c r="P66" s="27" t="str">
        <x:v>Reflection, Creativity</x:v>
      </x:c>
      <x:c r="Q66" s="27" t="str">
        <x:v>Intersection and Constraint Studio</x:v>
      </x:c>
      <x:c r="R66" s="27" t="str">
        <x:v>Structure Lab</x:v>
      </x:c>
      <x:c r="S66" s="27" t="str">
        <x:v>Coordinate grid</x:v>
      </x:c>
      <x:c r="T66" s="27" t="str">
        <x:v>Equations, Inequalities and Simultaneous Relationships – solve and represent inequalities</x:v>
      </x:c>
      <x:c r="U66" s="27" t="str">
        <x:v>Annotated representation of solve and represent inequalities</x:v>
      </x:c>
      <x:c r="V66" s="27" t="str">
        <x:v>Learner can solve and represent inequalities and give a reason or check.</x:v>
      </x:c>
      <x:c r="W66" s="27" t="str">
        <x:v>Connect 5 / Explore 20 / Create or Apply 12 / Reflect 8</x:v>
      </x:c>
      <x:c r="X66" s="27" t="str">
        <x:v>Pearson Edexcel 4MA1 2.4, 2.6, 2.8</x:v>
      </x:c>
      <x:c r="Y66" s="27" t="str">
        <x:v>High</x:v>
      </x:c>
      <x:c r="Z66" s="27" t="str">
        <x:v>Live, Asynchronous, Independent</x:v>
      </x:c>
      <x:c r="AA66" s="27" t="str">
        <x:v>Architecture mapped</x:v>
      </x:c>
      <x:c r="AB66" s="27" t="str">
        <x:v>Part of the canonical Y10 route. May pause or branch to a Reconnection lesson before returning.</x:v>
      </x:c>
    </x:row>
    <x:row r="67" ht="44" customHeight="1">
      <x:c r="A67" s="27" t="str">
        <x:v>NEO-MATH-Y10-064</x:v>
      </x:c>
      <x:c r="B67" s="27" t="n">
        <x:v>64</x:v>
      </x:c>
      <x:c r="C67" s="27" t="str">
        <x:v>NEO-MATH-Y10-05</x:v>
      </x:c>
      <x:c r="D67" s="27" t="n">
        <x:v>5</x:v>
      </x:c>
      <x:c r="E67" s="27" t="str">
        <x:v>Equations, Inequalities and Simultaneous Relationships</x:v>
      </x:c>
      <x:c r="F67" s="27" t="str">
        <x:v>Structure &amp; Generalisation</x:v>
      </x:c>
      <x:c r="G67" s="27" t="n">
        <x:v>4</x:v>
      </x:c>
      <x:c r="H67" s="27" t="str">
        <x:v>Reconnection</x:v>
      </x:c>
      <x:c r="I67" s="27" t="str">
        <x:v>Reconnection: One- and two-step equations</x:v>
      </x:c>
      <x:c r="J67" s="27" t="str">
        <x:v>What can I change without breaking equality?</x:v>
      </x:c>
      <x:c r="K67" s="27" t="str">
        <x:v>solve linear equations using inverse operations</x:v>
      </x:c>
      <x:c r="L67" s="27" t="str">
        <x:v>solve linear equations using inverse operations</x:v>
      </x:c>
      <x:c r="M67" s="27" t="str">
        <x:v>Branch triggered when solve linear equations using inverse operations is not yet secure enough for the current unit.</x:v>
      </x:c>
      <x:c r="N67" s="27" t="str">
        <x:v>REC-ALG-06</x:v>
      </x:c>
      <x:c r="O67" s="27" t="str">
        <x:v>Connection</x:v>
      </x:c>
      <x:c r="P67" s="27" t="str">
        <x:v>Reflection, Rest</x:v>
      </x:c>
      <x:c r="Q67" s="27" t="str">
        <x:v>Balance Equation Simulator</x:v>
      </x:c>
      <x:c r="R67" s="27" t="str">
        <x:v>Structure Lab</x:v>
      </x:c>
      <x:c r="S67" s="27" t="str">
        <x:v>Blank</x:v>
      </x:c>
      <x:c r="T67" s="27" t="str">
        <x:v>One- and two-step equations targeted practice</x:v>
      </x:c>
      <x:c r="U67" s="27" t="str">
        <x:v>Short reconnection evidence: solve linear equations using inverse operations</x:v>
      </x:c>
      <x:c r="V67" s="27" t="str">
        <x:v>Learner can solve linear equations using inverse operations sufficiently to return to Equations, Inequalities and Simultaneous Relationships.</x:v>
      </x:c>
      <x:c r="W67" s="27" t="str">
        <x:v>Arrive 5 / Reconnect 20 / Test 10 / Return link 10</x:v>
      </x:c>
      <x:c r="X67" s="27" t="str">
        <x:v>Pearson Edexcel 4MA1 2.4, 2.6, 2.8</x:v>
      </x:c>
      <x:c r="Y67" s="27" t="str">
        <x:v>Low-Moderate; targeted prerequisite repair</x:v>
      </x:c>
      <x:c r="Z67" s="27" t="str">
        <x:v>Live, Asynchronous, Independent</x:v>
      </x:c>
      <x:c r="AA67" s="27" t="str">
        <x:v>Architecture mapped</x:v>
      </x:c>
      <x:c r="AB67" s="27" t="str">
        <x:v>Not 'catch-up'. A targeted route from Year 8 learning that reconnects the learner to NEO-MATH-Y10-05.</x:v>
      </x:c>
    </x:row>
    <x:row r="68" ht="44" customHeight="1">
      <x:c r="A68" s="27" t="str">
        <x:v>NEO-MATH-Y10-065</x:v>
      </x:c>
      <x:c r="B68" s="27" t="n">
        <x:v>65</x:v>
      </x:c>
      <x:c r="C68" s="27" t="str">
        <x:v>NEO-MATH-Y10-05</x:v>
      </x:c>
      <x:c r="D68" s="27" t="n">
        <x:v>5</x:v>
      </x:c>
      <x:c r="E68" s="27" t="str">
        <x:v>Equations, Inequalities and Simultaneous Relationships</x:v>
      </x:c>
      <x:c r="F68" s="27" t="str">
        <x:v>Structure &amp; Generalisation</x:v>
      </x:c>
      <x:c r="G68" s="27" t="n">
        <x:v>4</x:v>
      </x:c>
      <x:c r="H68" s="27" t="str">
        <x:v>Core</x:v>
      </x:c>
      <x:c r="I68" s="27" t="str">
        <x:v>Try one change: Form equations</x:v>
      </x:c>
      <x:c r="J68" s="27" t="str">
        <x:v>What changes when I adjust one part of form equations?</x:v>
      </x:c>
      <x:c r="K68" s="27" t="str">
        <x:v>form equations</x:v>
      </x:c>
      <x:c r="L68" s="27" t="str">
        <x:v>form equations</x:v>
      </x:c>
      <x:c r="M68" s="27" t="str">
        <x:v>solve and represent inequalities</x:v>
      </x:c>
      <x:c r="N68" s="27" t="str"/>
      <x:c r="O68" s="27" t="str">
        <x:v>Connection</x:v>
      </x:c>
      <x:c r="P68" s="27" t="str">
        <x:v>Reflection, Creativity</x:v>
      </x:c>
      <x:c r="Q68" s="27" t="str">
        <x:v>Intersection and Constraint Studio</x:v>
      </x:c>
      <x:c r="R68" s="27" t="str">
        <x:v>Structure Lab</x:v>
      </x:c>
      <x:c r="S68" s="27" t="str">
        <x:v>Coordinate grid</x:v>
      </x:c>
      <x:c r="T68" s="27" t="str">
        <x:v>Equations, Inequalities and Simultaneous Relationships – form equations</x:v>
      </x:c>
      <x:c r="U68" s="27" t="str">
        <x:v>Annotated representation of form equations</x:v>
      </x:c>
      <x:c r="V68" s="27" t="str">
        <x:v>Learner can form equations and give a reason or check.</x:v>
      </x:c>
      <x:c r="W68" s="27" t="str">
        <x:v>Connect 5 / Explore 20 / Create or Apply 12 / Reflect 8</x:v>
      </x:c>
      <x:c r="X68" s="27" t="str">
        <x:v>Pearson Edexcel 4MA1 2.4, 2.6, 2.8</x:v>
      </x:c>
      <x:c r="Y68" s="27" t="str">
        <x:v>High</x:v>
      </x:c>
      <x:c r="Z68" s="27" t="str">
        <x:v>Live, Asynchronous, Independent</x:v>
      </x:c>
      <x:c r="AA68" s="27" t="str">
        <x:v>Architecture mapped</x:v>
      </x:c>
      <x:c r="AB68" s="27" t="str">
        <x:v>Part of the canonical Y10 route. May pause or branch to a Reconnection lesson before returning.</x:v>
      </x:c>
    </x:row>
    <x:row r="69" ht="44" customHeight="1">
      <x:c r="A69" s="27" t="str">
        <x:v>NEO-MATH-Y10-066</x:v>
      </x:c>
      <x:c r="B69" s="27" t="n">
        <x:v>66</x:v>
      </x:c>
      <x:c r="C69" s="27" t="str">
        <x:v>NEO-MATH-Y10-05</x:v>
      </x:c>
      <x:c r="D69" s="27" t="n">
        <x:v>5</x:v>
      </x:c>
      <x:c r="E69" s="27" t="str">
        <x:v>Equations, Inequalities and Simultaneous Relationships</x:v>
      </x:c>
      <x:c r="F69" s="27" t="str">
        <x:v>Structure &amp; Generalisation</x:v>
      </x:c>
      <x:c r="G69" s="27" t="n">
        <x:v>5</x:v>
      </x:c>
      <x:c r="H69" s="27" t="str">
        <x:v>Core</x:v>
      </x:c>
      <x:c r="I69" s="27" t="str">
        <x:v>Connect ideas: Interpret intersections</x:v>
      </x:c>
      <x:c r="J69" s="27" t="str">
        <x:v>How does interpret intersections connect to the earlier relationship?</x:v>
      </x:c>
      <x:c r="K69" s="27" t="str">
        <x:v>interpret intersections</x:v>
      </x:c>
      <x:c r="L69" s="27" t="str">
        <x:v>interpret intersections</x:v>
      </x:c>
      <x:c r="M69" s="27" t="str">
        <x:v>form equations</x:v>
      </x:c>
      <x:c r="N69" s="27" t="str"/>
      <x:c r="O69" s="27" t="str">
        <x:v>Connection</x:v>
      </x:c>
      <x:c r="P69" s="27" t="str">
        <x:v>Reflection, Creativity</x:v>
      </x:c>
      <x:c r="Q69" s="27" t="str">
        <x:v>Intersection and Constraint Studio</x:v>
      </x:c>
      <x:c r="R69" s="27" t="str">
        <x:v>Structure Lab</x:v>
      </x:c>
      <x:c r="S69" s="27" t="str">
        <x:v>Coordinate grid</x:v>
      </x:c>
      <x:c r="T69" s="27" t="str">
        <x:v>Equations, Inequalities and Simultaneous Relationships – interpret intersections</x:v>
      </x:c>
      <x:c r="U69" s="27" t="str">
        <x:v>Annotated representation of interpret intersections</x:v>
      </x:c>
      <x:c r="V69" s="27" t="str">
        <x:v>Learner can interpret intersections and give a reason or check.</x:v>
      </x:c>
      <x:c r="W69" s="27" t="str">
        <x:v>Connect 8 / Explore 20 / Notice 10 / Reflect 7</x:v>
      </x:c>
      <x:c r="X69" s="27" t="str">
        <x:v>Pearson Edexcel 4MA1 2.4, 2.6, 2.8</x:v>
      </x:c>
      <x:c r="Y69" s="27" t="str">
        <x:v>High</x:v>
      </x:c>
      <x:c r="Z69" s="27" t="str">
        <x:v>Live, Asynchronous, Independent</x:v>
      </x:c>
      <x:c r="AA69" s="27" t="str">
        <x:v>Architecture mapped</x:v>
      </x:c>
      <x:c r="AB69" s="27" t="str">
        <x:v>Part of the canonical Y10 route. May pause or branch to a Reconnection lesson before returning.</x:v>
      </x:c>
    </x:row>
    <x:row r="70" ht="44" customHeight="1">
      <x:c r="A70" s="27" t="str">
        <x:v>NEO-MATH-Y10-067</x:v>
      </x:c>
      <x:c r="B70" s="27" t="n">
        <x:v>67</x:v>
      </x:c>
      <x:c r="C70" s="27" t="str">
        <x:v>NEO-MATH-Y10-05</x:v>
      </x:c>
      <x:c r="D70" s="27" t="n">
        <x:v>5</x:v>
      </x:c>
      <x:c r="E70" s="27" t="str">
        <x:v>Equations, Inequalities and Simultaneous Relationships</x:v>
      </x:c>
      <x:c r="F70" s="27" t="str">
        <x:v>Structure &amp; Generalisation</x:v>
      </x:c>
      <x:c r="G70" s="27" t="n">
        <x:v>6</x:v>
      </x:c>
      <x:c r="H70" s="27" t="str">
        <x:v>Core</x:v>
      </x:c>
      <x:c r="I70" s="27" t="str">
        <x:v>Repair a misconception: Check solutions</x:v>
      </x:c>
      <x:c r="J70" s="27" t="str">
        <x:v>What tempting mistake can check solutions create?</x:v>
      </x:c>
      <x:c r="K70" s="27" t="str">
        <x:v>check solutions</x:v>
      </x:c>
      <x:c r="L70" s="27" t="str">
        <x:v>check solutions</x:v>
      </x:c>
      <x:c r="M70" s="27" t="str">
        <x:v>interpret intersections</x:v>
      </x:c>
      <x:c r="N70" s="27" t="str"/>
      <x:c r="O70" s="27" t="str">
        <x:v>Connection</x:v>
      </x:c>
      <x:c r="P70" s="27" t="str">
        <x:v>Reflection, Creativity</x:v>
      </x:c>
      <x:c r="Q70" s="27" t="str">
        <x:v>Intersection and Constraint Studio</x:v>
      </x:c>
      <x:c r="R70" s="27" t="str">
        <x:v>Structure Lab</x:v>
      </x:c>
      <x:c r="S70" s="27" t="str">
        <x:v>Coordinate grid</x:v>
      </x:c>
      <x:c r="T70" s="27" t="str">
        <x:v>Equations, Inequalities and Simultaneous Relationships – check solutions</x:v>
      </x:c>
      <x:c r="U70" s="27" t="str">
        <x:v>Corrected misconception note: check solutions</x:v>
      </x:c>
      <x:c r="V70" s="27" t="str">
        <x:v>Learner can check solutions and give a reason or check.</x:v>
      </x:c>
      <x:c r="W70" s="27" t="str">
        <x:v>Connect 5 / Explore 20 / Create or Apply 12 / Reflect 8</x:v>
      </x:c>
      <x:c r="X70" s="27" t="str">
        <x:v>Pearson Edexcel 4MA1 2.4, 2.6, 2.8</x:v>
      </x:c>
      <x:c r="Y70" s="27" t="str">
        <x:v>High</x:v>
      </x:c>
      <x:c r="Z70" s="27" t="str">
        <x:v>Live, Asynchronous, Independent</x:v>
      </x:c>
      <x:c r="AA70" s="27" t="str">
        <x:v>Architecture mapped</x:v>
      </x:c>
      <x:c r="AB70" s="27" t="str">
        <x:v>Part of the canonical Y10 route. May pause or branch to a Reconnection lesson before returning.</x:v>
      </x:c>
    </x:row>
    <x:row r="71" ht="44" customHeight="1">
      <x:c r="A71" s="27" t="str">
        <x:v>NEO-MATH-Y10-068</x:v>
      </x:c>
      <x:c r="B71" s="27" t="n">
        <x:v>68</x:v>
      </x:c>
      <x:c r="C71" s="27" t="str">
        <x:v>NEO-MATH-Y10-05</x:v>
      </x:c>
      <x:c r="D71" s="27" t="n">
        <x:v>5</x:v>
      </x:c>
      <x:c r="E71" s="27" t="str">
        <x:v>Equations, Inequalities and Simultaneous Relationships</x:v>
      </x:c>
      <x:c r="F71" s="27" t="str">
        <x:v>Structure &amp; Generalisation</x:v>
      </x:c>
      <x:c r="G71" s="27" t="n">
        <x:v>7</x:v>
      </x:c>
      <x:c r="H71" s="27" t="str">
        <x:v>Core</x:v>
      </x:c>
      <x:c r="I71" s="27" t="str">
        <x:v>Apply in context: Solve linear equations</x:v>
      </x:c>
      <x:c r="J71" s="27" t="str">
        <x:v>Where might solve linear equations help with a real decision?</x:v>
      </x:c>
      <x:c r="K71" s="27" t="str">
        <x:v>solve linear equations</x:v>
      </x:c>
      <x:c r="L71" s="27" t="str">
        <x:v>solve linear equations</x:v>
      </x:c>
      <x:c r="M71" s="27" t="str">
        <x:v>check solutions</x:v>
      </x:c>
      <x:c r="N71" s="27" t="str"/>
      <x:c r="O71" s="27" t="str">
        <x:v>Connection</x:v>
      </x:c>
      <x:c r="P71" s="27" t="str">
        <x:v>Reflection, Creativity</x:v>
      </x:c>
      <x:c r="Q71" s="27" t="str">
        <x:v>Intersection and Constraint Studio</x:v>
      </x:c>
      <x:c r="R71" s="27" t="str">
        <x:v>Structure Lab</x:v>
      </x:c>
      <x:c r="S71" s="27" t="str">
        <x:v>Coordinate grid</x:v>
      </x:c>
      <x:c r="T71" s="27" t="str">
        <x:v>Equations, Inequalities and Simultaneous Relationships – solve linear equations</x:v>
      </x:c>
      <x:c r="U71" s="27" t="str">
        <x:v>Short contextual application of solve linear equations</x:v>
      </x:c>
      <x:c r="V71" s="27" t="str">
        <x:v>Learner can solve linear equations and give a reason or check.</x:v>
      </x:c>
      <x:c r="W71" s="27" t="str">
        <x:v>Connect 5 / Explore 20 / Create or Apply 12 / Reflect 8</x:v>
      </x:c>
      <x:c r="X71" s="27" t="str">
        <x:v>Pearson Edexcel 4MA1 2.4, 2.6, 2.8</x:v>
      </x:c>
      <x:c r="Y71" s="27" t="str">
        <x:v>High</x:v>
      </x:c>
      <x:c r="Z71" s="27" t="str">
        <x:v>Live, Asynchronous, Independent</x:v>
      </x:c>
      <x:c r="AA71" s="27" t="str">
        <x:v>Architecture mapped</x:v>
      </x:c>
      <x:c r="AB71" s="27" t="str">
        <x:v>Part of the canonical Y10 route. May pause or branch to a Reconnection lesson before returning.</x:v>
      </x:c>
    </x:row>
    <x:row r="72" ht="44" customHeight="1">
      <x:c r="A72" s="27" t="str">
        <x:v>NEO-MATH-Y10-069</x:v>
      </x:c>
      <x:c r="B72" s="27" t="n">
        <x:v>69</x:v>
      </x:c>
      <x:c r="C72" s="27" t="str">
        <x:v>NEO-MATH-Y10-05</x:v>
      </x:c>
      <x:c r="D72" s="27" t="n">
        <x:v>5</x:v>
      </x:c>
      <x:c r="E72" s="27" t="str">
        <x:v>Equations, Inequalities and Simultaneous Relationships</x:v>
      </x:c>
      <x:c r="F72" s="27" t="str">
        <x:v>Structure &amp; Generalisation</x:v>
      </x:c>
      <x:c r="G72" s="27" t="n">
        <x:v>8</x:v>
      </x:c>
      <x:c r="H72" s="27" t="str">
        <x:v>Core</x:v>
      </x:c>
      <x:c r="I72" s="27" t="str">
        <x:v>Model and test: Solve simultaneous equations</x:v>
      </x:c>
      <x:c r="J72" s="27" t="str">
        <x:v>Can I build a model using solve simultaneous equations and test it?</x:v>
      </x:c>
      <x:c r="K72" s="27" t="str">
        <x:v>solve simultaneous equations</x:v>
      </x:c>
      <x:c r="L72" s="27" t="str">
        <x:v>solve simultaneous equations</x:v>
      </x:c>
      <x:c r="M72" s="27" t="str">
        <x:v>solve linear equations</x:v>
      </x:c>
      <x:c r="N72" s="27" t="str"/>
      <x:c r="O72" s="27" t="str">
        <x:v>Connection</x:v>
      </x:c>
      <x:c r="P72" s="27" t="str">
        <x:v>Reflection, Creativity</x:v>
      </x:c>
      <x:c r="Q72" s="27" t="str">
        <x:v>Intersection and Constraint Studio</x:v>
      </x:c>
      <x:c r="R72" s="27" t="str">
        <x:v>Structure Lab</x:v>
      </x:c>
      <x:c r="S72" s="27" t="str">
        <x:v>Coordinate grid</x:v>
      </x:c>
      <x:c r="T72" s="27" t="str">
        <x:v>Equations, Inequalities and Simultaneous Relationships – solve simultaneous equations</x:v>
      </x:c>
      <x:c r="U72" s="27" t="str">
        <x:v>Tested model using solve simultaneous equations</x:v>
      </x:c>
      <x:c r="V72" s="27" t="str">
        <x:v>Learner can solve simultaneous equations and give a reason or check.</x:v>
      </x:c>
      <x:c r="W72" s="27" t="str">
        <x:v>Connect 5 / Explore 20 / Create or Apply 12 / Reflect 8</x:v>
      </x:c>
      <x:c r="X72" s="27" t="str">
        <x:v>Pearson Edexcel 4MA1 2.4, 2.6, 2.8</x:v>
      </x:c>
      <x:c r="Y72" s="27" t="str">
        <x:v>High</x:v>
      </x:c>
      <x:c r="Z72" s="27" t="str">
        <x:v>Live, Asynchronous, Independent</x:v>
      </x:c>
      <x:c r="AA72" s="27" t="str">
        <x:v>Architecture mapped</x:v>
      </x:c>
      <x:c r="AB72" s="27" t="str">
        <x:v>Part of the canonical Y10 route. May pause or branch to a Reconnection lesson before returning.</x:v>
      </x:c>
    </x:row>
    <x:row r="73" ht="44" customHeight="1">
      <x:c r="A73" s="27" t="str">
        <x:v>NEO-MATH-Y10-070</x:v>
      </x:c>
      <x:c r="B73" s="27" t="n">
        <x:v>70</x:v>
      </x:c>
      <x:c r="C73" s="27" t="str">
        <x:v>NEO-MATH-Y10-05</x:v>
      </x:c>
      <x:c r="D73" s="27" t="n">
        <x:v>5</x:v>
      </x:c>
      <x:c r="E73" s="27" t="str">
        <x:v>Equations, Inequalities and Simultaneous Relationships</x:v>
      </x:c>
      <x:c r="F73" s="27" t="str">
        <x:v>Structure &amp; Generalisation</x:v>
      </x:c>
      <x:c r="G73" s="27" t="n">
        <x:v>9</x:v>
      </x:c>
      <x:c r="H73" s="27" t="str">
        <x:v>Core</x:v>
      </x:c>
      <x:c r="I73" s="27" t="str">
        <x:v>Compare strategies: Solve and represent inequalities</x:v>
      </x:c>
      <x:c r="J73" s="27" t="str">
        <x:v>Which route through solve and represent inequalities is clearest or most efficient?</x:v>
      </x:c>
      <x:c r="K73" s="27" t="str">
        <x:v>solve and represent inequalities</x:v>
      </x:c>
      <x:c r="L73" s="27" t="str">
        <x:v>solve and represent inequalities</x:v>
      </x:c>
      <x:c r="M73" s="27" t="str">
        <x:v>solve simultaneous equations</x:v>
      </x:c>
      <x:c r="N73" s="27" t="str"/>
      <x:c r="O73" s="27" t="str">
        <x:v>Connection</x:v>
      </x:c>
      <x:c r="P73" s="27" t="str">
        <x:v>Reflection, Creativity</x:v>
      </x:c>
      <x:c r="Q73" s="27" t="str">
        <x:v>Intersection and Constraint Studio</x:v>
      </x:c>
      <x:c r="R73" s="27" t="str">
        <x:v>Structure Lab</x:v>
      </x:c>
      <x:c r="S73" s="27" t="str">
        <x:v>Coordinate grid</x:v>
      </x:c>
      <x:c r="T73" s="27" t="str">
        <x:v>Equations, Inequalities and Simultaneous Relationships – solve and represent inequalities</x:v>
      </x:c>
      <x:c r="U73" s="27" t="str">
        <x:v>Two-route comparison for solve and represent inequalities</x:v>
      </x:c>
      <x:c r="V73" s="27" t="str">
        <x:v>Learner can solve and represent inequalities and give a reason or check.</x:v>
      </x:c>
      <x:c r="W73" s="27" t="str">
        <x:v>Connect 5 / Explore 20 / Create or Apply 12 / Reflect 8</x:v>
      </x:c>
      <x:c r="X73" s="27" t="str">
        <x:v>Pearson Edexcel 4MA1 2.4, 2.6, 2.8</x:v>
      </x:c>
      <x:c r="Y73" s="27" t="str">
        <x:v>High</x:v>
      </x:c>
      <x:c r="Z73" s="27" t="str">
        <x:v>Live, Asynchronous, Independent</x:v>
      </x:c>
      <x:c r="AA73" s="27" t="str">
        <x:v>Architecture mapped</x:v>
      </x:c>
      <x:c r="AB73" s="27" t="str">
        <x:v>Part of the canonical Y10 route. May pause or branch to a Reconnection lesson before returning.</x:v>
      </x:c>
    </x:row>
    <x:row r="74" ht="44" customHeight="1">
      <x:c r="A74" s="27" t="str">
        <x:v>NEO-MATH-Y10-071</x:v>
      </x:c>
      <x:c r="B74" s="27" t="n">
        <x:v>71</x:v>
      </x:c>
      <x:c r="C74" s="27" t="str">
        <x:v>NEO-MATH-Y10-05</x:v>
      </x:c>
      <x:c r="D74" s="27" t="n">
        <x:v>5</x:v>
      </x:c>
      <x:c r="E74" s="27" t="str">
        <x:v>Equations, Inequalities and Simultaneous Relationships</x:v>
      </x:c>
      <x:c r="F74" s="27" t="str">
        <x:v>Structure &amp; Generalisation</x:v>
      </x:c>
      <x:c r="G74" s="27" t="n">
        <x:v>11</x:v>
      </x:c>
      <x:c r="H74" s="27" t="str">
        <x:v>Qualification Practice</x:v>
      </x:c>
      <x:c r="I74" s="27" t="str">
        <x:v>Assessment translation 1: Solve linear equations</x:v>
      </x:c>
      <x:c r="J74" s="27" t="str">
        <x:v>How might a qualification question hide the need to solve linear equations?</x:v>
      </x:c>
      <x:c r="K74" s="27" t="str">
        <x:v>translate assessed wording into the canonical move: solve linear equations</x:v>
      </x:c>
      <x:c r="L74" s="27" t="str">
        <x:v>solve linear equations</x:v>
      </x:c>
      <x:c r="M74" s="27" t="str">
        <x:v>relevant core concept plus question-reading routine</x:v>
      </x:c>
      <x:c r="N74" s="27" t="str">
        <x:v>REC-SRL-01 if wording blocks mathematical access</x:v>
      </x:c>
      <x:c r="O74" s="27" t="str">
        <x:v>Reflection</x:v>
      </x:c>
      <x:c r="P74" s="27" t="str">
        <x:v>Connection, Rest</x:v>
      </x:c>
      <x:c r="Q74" s="27" t="str">
        <x:v>Question Translation Studio</x:v>
      </x:c>
      <x:c r="R74" s="27" t="str">
        <x:v>Navigation Tool</x:v>
      </x:c>
      <x:c r="S74" s="27" t="str">
        <x:v>Coordinate grid</x:v>
      </x:c>
      <x:c r="T74" s="27" t="str">
        <x:v>4MA1-style mixed questions: solve linear equations</x:v>
      </x:c>
      <x:c r="U74" s="27" t="str">
        <x:v>Annotated assessed-world question showing givens, goal, route and check for solve linear equations</x:v>
      </x:c>
      <x:c r="V74" s="27" t="str">
        <x:v>Learner identifies the mathematics, selects a route and checks a solution involving solve linear equations.</x:v>
      </x:c>
      <x:c r="W74" s="27" t="str">
        <x:v>Decode 10 / Solve 20 / Compare 10 / Reflect 5</x:v>
      </x:c>
      <x:c r="X74" s="27" t="str">
        <x:v>Pearson Edexcel 4MA1 2.4, 2.6, 2.8</x:v>
      </x:c>
      <x:c r="Y74" s="27" t="str">
        <x:v>Moderate-High; wording chunked before calculation</x:v>
      </x:c>
      <x:c r="Z74" s="27" t="str">
        <x:v>Live, Asynchronous, Independent</x:v>
      </x:c>
      <x:c r="AA74" s="27" t="str">
        <x:v>Architecture mapped</x:v>
      </x:c>
      <x:c r="AB74" s="27" t="str">
        <x:v>Qualification overlay lesson. Exam wording is translated into mathematics already present in the canonical spine.</x:v>
      </x:c>
    </x:row>
    <x:row r="75" ht="44" customHeight="1">
      <x:c r="A75" s="27" t="str">
        <x:v>NEO-MATH-Y10-072</x:v>
      </x:c>
      <x:c r="B75" s="27" t="n">
        <x:v>72</x:v>
      </x:c>
      <x:c r="C75" s="27" t="str">
        <x:v>NEO-MATH-Y10-05</x:v>
      </x:c>
      <x:c r="D75" s="27" t="n">
        <x:v>5</x:v>
      </x:c>
      <x:c r="E75" s="27" t="str">
        <x:v>Equations, Inequalities and Simultaneous Relationships</x:v>
      </x:c>
      <x:c r="F75" s="27" t="str">
        <x:v>Structure &amp; Generalisation</x:v>
      </x:c>
      <x:c r="G75" s="27" t="n">
        <x:v>10</x:v>
      </x:c>
      <x:c r="H75" s="27" t="str">
        <x:v>Core</x:v>
      </x:c>
      <x:c r="I75" s="27" t="str">
        <x:v>Practice with choice: Form equations</x:v>
      </x:c>
      <x:c r="J75" s="27" t="str">
        <x:v>Can I use form equations without being told the method?</x:v>
      </x:c>
      <x:c r="K75" s="27" t="str">
        <x:v>form equations</x:v>
      </x:c>
      <x:c r="L75" s="27" t="str">
        <x:v>form equations</x:v>
      </x:c>
      <x:c r="M75" s="27" t="str">
        <x:v>solve and represent inequalities</x:v>
      </x:c>
      <x:c r="N75" s="27" t="str"/>
      <x:c r="O75" s="27" t="str">
        <x:v>Connection</x:v>
      </x:c>
      <x:c r="P75" s="27" t="str">
        <x:v>Reflection, Creativity</x:v>
      </x:c>
      <x:c r="Q75" s="27" t="str">
        <x:v>Intersection and Constraint Studio</x:v>
      </x:c>
      <x:c r="R75" s="27" t="str">
        <x:v>Structure Lab</x:v>
      </x:c>
      <x:c r="S75" s="27" t="str">
        <x:v>Coordinate grid</x:v>
      </x:c>
      <x:c r="T75" s="27" t="str">
        <x:v>Equations, Inequalities and Simultaneous Relationships – form equations</x:v>
      </x:c>
      <x:c r="U75" s="27" t="str">
        <x:v>Practice Companion evidence for form equations</x:v>
      </x:c>
      <x:c r="V75" s="27" t="str">
        <x:v>Learner can form equations and give a reason or check.</x:v>
      </x:c>
      <x:c r="W75" s="27" t="str">
        <x:v>Reconnect 5 / Practice 25 / Check 10 / Reflect 5</x:v>
      </x:c>
      <x:c r="X75" s="27" t="str">
        <x:v>Pearson Edexcel 4MA1 2.4, 2.6, 2.8</x:v>
      </x:c>
      <x:c r="Y75" s="27" t="str">
        <x:v>High</x:v>
      </x:c>
      <x:c r="Z75" s="27" t="str">
        <x:v>Live, Asynchronous, Independent</x:v>
      </x:c>
      <x:c r="AA75" s="27" t="str">
        <x:v>Architecture mapped</x:v>
      </x:c>
      <x:c r="AB75" s="27" t="str">
        <x:v>Part of the canonical Y10 route. May pause or branch to a Reconnection lesson before returning.</x:v>
      </x:c>
    </x:row>
    <x:row r="76" ht="44" customHeight="1">
      <x:c r="A76" s="27" t="str">
        <x:v>NEO-MATH-Y10-073</x:v>
      </x:c>
      <x:c r="B76" s="27" t="n">
        <x:v>73</x:v>
      </x:c>
      <x:c r="C76" s="27" t="str">
        <x:v>NEO-MATH-Y10-05</x:v>
      </x:c>
      <x:c r="D76" s="27" t="n">
        <x:v>5</x:v>
      </x:c>
      <x:c r="E76" s="27" t="str">
        <x:v>Equations, Inequalities and Simultaneous Relationships</x:v>
      </x:c>
      <x:c r="F76" s="27" t="str">
        <x:v>Structure &amp; Generalisation</x:v>
      </x:c>
      <x:c r="G76" s="27" t="n">
        <x:v>11</x:v>
      </x:c>
      <x:c r="H76" s="27" t="str">
        <x:v>Core</x:v>
      </x:c>
      <x:c r="I76" s="27" t="str">
        <x:v>Qualification translation: Interpret intersections</x:v>
      </x:c>
      <x:c r="J76" s="27" t="str">
        <x:v>How might an assessed question disguise interpret intersections?</x:v>
      </x:c>
      <x:c r="K76" s="27" t="str">
        <x:v>interpret intersections</x:v>
      </x:c>
      <x:c r="L76" s="27" t="str">
        <x:v>interpret intersections</x:v>
      </x:c>
      <x:c r="M76" s="27" t="str">
        <x:v>form equations</x:v>
      </x:c>
      <x:c r="N76" s="27" t="str"/>
      <x:c r="O76" s="27" t="str">
        <x:v>Connection</x:v>
      </x:c>
      <x:c r="P76" s="27" t="str">
        <x:v>Reflection, Creativity</x:v>
      </x:c>
      <x:c r="Q76" s="27" t="str">
        <x:v>Intersection and Constraint Studio</x:v>
      </x:c>
      <x:c r="R76" s="27" t="str">
        <x:v>Structure Lab</x:v>
      </x:c>
      <x:c r="S76" s="27" t="str">
        <x:v>Coordinate grid</x:v>
      </x:c>
      <x:c r="T76" s="27" t="str">
        <x:v>Equations, Inequalities and Simultaneous Relationships – interpret intersections</x:v>
      </x:c>
      <x:c r="U76" s="27" t="str">
        <x:v>Annotated question translation for interpret intersections</x:v>
      </x:c>
      <x:c r="V76" s="27" t="str">
        <x:v>Learner can interpret intersections and give a reason or check.</x:v>
      </x:c>
      <x:c r="W76" s="27" t="str">
        <x:v>Translate 10 / Solve 20 / Compare 10 / Reflect 5</x:v>
      </x:c>
      <x:c r="X76" s="27" t="str">
        <x:v>Pearson Edexcel 4MA1 2.4, 2.6, 2.8</x:v>
      </x:c>
      <x:c r="Y76" s="27" t="str">
        <x:v>High</x:v>
      </x:c>
      <x:c r="Z76" s="27" t="str">
        <x:v>Live, Asynchronous, Independent</x:v>
      </x:c>
      <x:c r="AA76" s="27" t="str">
        <x:v>Architecture mapped</x:v>
      </x:c>
      <x:c r="AB76" s="27" t="str">
        <x:v>Part of the canonical Y10 route. May pause or branch to a Reconnection lesson before returning.</x:v>
      </x:c>
    </x:row>
    <x:row r="77" ht="44" customHeight="1">
      <x:c r="A77" s="27" t="str">
        <x:v>NEO-MATH-Y10-074</x:v>
      </x:c>
      <x:c r="B77" s="27" t="n">
        <x:v>74</x:v>
      </x:c>
      <x:c r="C77" s="27" t="str">
        <x:v>NEO-MATH-Y10-05</x:v>
      </x:c>
      <x:c r="D77" s="27" t="n">
        <x:v>5</x:v>
      </x:c>
      <x:c r="E77" s="27" t="str">
        <x:v>Equations, Inequalities and Simultaneous Relationships</x:v>
      </x:c>
      <x:c r="F77" s="27" t="str">
        <x:v>Structure &amp; Generalisation</x:v>
      </x:c>
      <x:c r="G77" s="27" t="n">
        <x:v>12</x:v>
      </x:c>
      <x:c r="H77" s="27" t="str">
        <x:v>Core</x:v>
      </x:c>
      <x:c r="I77" s="27" t="str">
        <x:v>Mastery checkpoint: Check solutions</x:v>
      </x:c>
      <x:c r="J77" s="27" t="str">
        <x:v>What can I now explain, apply and check about check solutions?</x:v>
      </x:c>
      <x:c r="K77" s="27" t="str">
        <x:v>check solutions</x:v>
      </x:c>
      <x:c r="L77" s="27" t="str">
        <x:v>check solutions</x:v>
      </x:c>
      <x:c r="M77" s="27" t="str">
        <x:v>interpret intersections</x:v>
      </x:c>
      <x:c r="N77" s="27" t="str"/>
      <x:c r="O77" s="27" t="str">
        <x:v>Connection</x:v>
      </x:c>
      <x:c r="P77" s="27" t="str">
        <x:v>Reflection, Creativity</x:v>
      </x:c>
      <x:c r="Q77" s="27" t="str">
        <x:v>Intersection and Constraint Studio</x:v>
      </x:c>
      <x:c r="R77" s="27" t="str">
        <x:v>Structure Lab</x:v>
      </x:c>
      <x:c r="S77" s="27" t="str">
        <x:v>Coordinate grid</x:v>
      </x:c>
      <x:c r="T77" s="27" t="str">
        <x:v>Equations, Inequalities and Simultaneous Relationships – check solutions</x:v>
      </x:c>
      <x:c r="U77" s="27" t="str">
        <x:v>Two-Condition Modelling Task</x:v>
      </x:c>
      <x:c r="V77" s="27" t="str">
        <x:v>Learner can check solutions and give a reason or check.</x:v>
      </x:c>
      <x:c r="W77" s="27" t="str">
        <x:v>Settle 5 / Choose evidence 25 / Mastery check 10 / Reflect 5</x:v>
      </x:c>
      <x:c r="X77" s="27" t="str">
        <x:v>Pearson Edexcel 4MA1 2.4, 2.6, 2.8</x:v>
      </x:c>
      <x:c r="Y77" s="27" t="str">
        <x:v>High</x:v>
      </x:c>
      <x:c r="Z77" s="27" t="str">
        <x:v>Live, Asynchronous, Independent</x:v>
      </x:c>
      <x:c r="AA77" s="27" t="str">
        <x:v>Architecture mapped</x:v>
      </x:c>
      <x:c r="AB77" s="27" t="str">
        <x:v>Part of the canonical Y10 route. May pause or branch to a Reconnection lesson before returning.</x:v>
      </x:c>
    </x:row>
    <x:row r="78" ht="44" customHeight="1">
      <x:c r="A78" s="27" t="str">
        <x:v>NEO-MATH-Y10-075</x:v>
      </x:c>
      <x:c r="B78" s="27" t="n">
        <x:v>75</x:v>
      </x:c>
      <x:c r="C78" s="27" t="str">
        <x:v>NEO-MATH-Y10-05</x:v>
      </x:c>
      <x:c r="D78" s="27" t="n">
        <x:v>5</x:v>
      </x:c>
      <x:c r="E78" s="27" t="str">
        <x:v>Equations, Inequalities and Simultaneous Relationships</x:v>
      </x:c>
      <x:c r="F78" s="27" t="str">
        <x:v>Structure &amp; Generalisation</x:v>
      </x:c>
      <x:c r="G78" s="27" t="n">
        <x:v>15</x:v>
      </x:c>
      <x:c r="H78" s="27" t="str">
        <x:v>Qualification Practice</x:v>
      </x:c>
      <x:c r="I78" s="27" t="str">
        <x:v>Assessment translation 2: Solve simultaneous equations</x:v>
      </x:c>
      <x:c r="J78" s="27" t="str">
        <x:v>How might a qualification question hide the need to solve simultaneous equations?</x:v>
      </x:c>
      <x:c r="K78" s="27" t="str">
        <x:v>translate assessed wording into the canonical move: solve simultaneous equations</x:v>
      </x:c>
      <x:c r="L78" s="27" t="str">
        <x:v>solve simultaneous equations</x:v>
      </x:c>
      <x:c r="M78" s="27" t="str">
        <x:v>relevant core concept plus question-reading routine</x:v>
      </x:c>
      <x:c r="N78" s="27" t="str">
        <x:v>REC-SRL-01 if wording blocks mathematical access</x:v>
      </x:c>
      <x:c r="O78" s="27" t="str">
        <x:v>Reflection</x:v>
      </x:c>
      <x:c r="P78" s="27" t="str">
        <x:v>Connection, Rest</x:v>
      </x:c>
      <x:c r="Q78" s="27" t="str">
        <x:v>Question Translation Studio</x:v>
      </x:c>
      <x:c r="R78" s="27" t="str">
        <x:v>Navigation Tool</x:v>
      </x:c>
      <x:c r="S78" s="27" t="str">
        <x:v>Coordinate grid</x:v>
      </x:c>
      <x:c r="T78" s="27" t="str">
        <x:v>4MA1-style mixed questions: solve simultaneous equations</x:v>
      </x:c>
      <x:c r="U78" s="27" t="str">
        <x:v>Annotated assessed-world question showing givens, goal, route and check for solve simultaneous equations</x:v>
      </x:c>
      <x:c r="V78" s="27" t="str">
        <x:v>Learner identifies the mathematics, selects a route and checks a solution involving solve simultaneous equations.</x:v>
      </x:c>
      <x:c r="W78" s="27" t="str">
        <x:v>Decode 10 / Solve 20 / Compare 10 / Reflect 5</x:v>
      </x:c>
      <x:c r="X78" s="27" t="str">
        <x:v>Pearson Edexcel 4MA1 2.4, 2.6, 2.8</x:v>
      </x:c>
      <x:c r="Y78" s="27" t="str">
        <x:v>Moderate-High; wording chunked before calculation</x:v>
      </x:c>
      <x:c r="Z78" s="27" t="str">
        <x:v>Live, Asynchronous, Independent</x:v>
      </x:c>
      <x:c r="AA78" s="27" t="str">
        <x:v>Architecture mapped</x:v>
      </x:c>
      <x:c r="AB78" s="27" t="str">
        <x:v>Qualification overlay lesson. Exam wording is translated into mathematics already present in the canonical spine.</x:v>
      </x:c>
    </x:row>
    <x:row r="79" ht="44" customHeight="1">
      <x:c r="A79" s="27" t="str">
        <x:v>NEO-MATH-Y10-076</x:v>
      </x:c>
      <x:c r="B79" s="27" t="n">
        <x:v>76</x:v>
      </x:c>
      <x:c r="C79" s="27" t="str">
        <x:v>NEO-MATH-Y10-05</x:v>
      </x:c>
      <x:c r="D79" s="27" t="n">
        <x:v>5</x:v>
      </x:c>
      <x:c r="E79" s="27" t="str">
        <x:v>Equations, Inequalities and Simultaneous Relationships</x:v>
      </x:c>
      <x:c r="F79" s="27" t="str">
        <x:v>Structure &amp; Generalisation</x:v>
      </x:c>
      <x:c r="G79" s="27" t="n">
        <x:v>16</x:v>
      </x:c>
      <x:c r="H79" s="27" t="str">
        <x:v>Portfolio / Pathway Review</x:v>
      </x:c>
      <x:c r="I79" s="27" t="str">
        <x:v>Evidence and next step: Equations, Inequalities and Simultaneous Relationships</x:v>
      </x:c>
      <x:c r="J79" s="27" t="str">
        <x:v>What evidence shows what I can now do—and what would be a useful next mathematical move?</x:v>
      </x:c>
      <x:c r="K79" s="27" t="str">
        <x:v>select, annotate and reflect on unit evidence</x:v>
      </x:c>
      <x:c r="L79" s="27" t="str">
        <x:v>unit-level synthesis, communication and self-regulation</x:v>
      </x:c>
      <x:c r="M79" s="27" t="str">
        <x:v>any meaningful participation or evidence from the unit</x:v>
      </x:c>
      <x:c r="N79" s="27" t="str">
        <x:v>learner-specific</x:v>
      </x:c>
      <x:c r="O79" s="27" t="str">
        <x:v>Reflection</x:v>
      </x:c>
      <x:c r="P79" s="27" t="str">
        <x:v>Rest, Connection</x:v>
      </x:c>
      <x:c r="Q79" s="27" t="str">
        <x:v>Portfolio Evidence Selector</x:v>
      </x:c>
      <x:c r="R79" s="27" t="str">
        <x:v>Navigation Tool</x:v>
      </x:c>
      <x:c r="S79" s="27" t="str">
        <x:v>Blank</x:v>
      </x:c>
      <x:c r="T79" s="27" t="str">
        <x:v>learner-selected gap or stretch</x:v>
      </x:c>
      <x:c r="U79" s="27" t="str">
        <x:v>Two-Condition Modelling Task</x:v>
      </x:c>
      <x:c r="V79" s="27" t="str">
        <x:v>Learner can point to evidence for current mastery and agree a next step.</x:v>
      </x:c>
      <x:c r="W79" s="27" t="str">
        <x:v>Settle 5 / Select 10 / Annotate 15 / Strengthen 10 / Next step 5</x:v>
      </x:c>
      <x:c r="X79" s="27" t="str">
        <x:v>Pearson Edexcel 4MA1 2.4, 2.6, 2.8</x:v>
      </x:c>
      <x:c r="Y79" s="27" t="str">
        <x:v>Low-Moderate; learner choice</x:v>
      </x:c>
      <x:c r="Z79" s="27" t="str">
        <x:v>Live, Asynchronous, Independent</x:v>
      </x:c>
      <x:c r="AA79" s="27" t="str">
        <x:v>Architecture mapped</x:v>
      </x:c>
      <x:c r="AB79" s="27" t="str">
        <x:v>Portfolio and pathway review. Completion volume is not used as a proxy for mastery.</x:v>
      </x:c>
    </x:row>
    <x:row r="80" ht="44" customHeight="1">
      <x:c r="A80" s="27" t="str">
        <x:v>NEO-MATH-Y10-077</x:v>
      </x:c>
      <x:c r="B80" s="27" t="n">
        <x:v>77</x:v>
      </x:c>
      <x:c r="C80" s="27" t="str">
        <x:v>NEO-MATH-Y10-06</x:v>
      </x:c>
      <x:c r="D80" s="27" t="n">
        <x:v>6</x:v>
      </x:c>
      <x:c r="E80" s="27" t="str">
        <x:v>Pythagoras, Trigonometry and Measuring the Unreachable</x:v>
      </x:c>
      <x:c r="F80" s="27" t="str">
        <x:v>Spatial Reasoning</x:v>
      </x:c>
      <x:c r="G80" s="27" t="n">
        <x:v>1</x:v>
      </x:c>
      <x:c r="H80" s="27" t="str">
        <x:v>Core</x:v>
      </x:c>
      <x:c r="I80" s="27" t="str">
        <x:v>Connect &amp; notice: Use Pythagoras</x:v>
      </x:c>
      <x:c r="J80" s="27" t="str">
        <x:v>What do I already notice about use Pythagoras?</x:v>
      </x:c>
      <x:c r="K80" s="27" t="str">
        <x:v>use Pythagoras</x:v>
      </x:c>
      <x:c r="L80" s="27" t="str">
        <x:v>use Pythagoras</x:v>
      </x:c>
      <x:c r="M80" s="27" t="str">
        <x:v>learner entry knowledge and representation confidence</x:v>
      </x:c>
      <x:c r="N80" s="27" t="str"/>
      <x:c r="O80" s="27" t="str">
        <x:v>Movement</x:v>
      </x:c>
      <x:c r="P80" s="27" t="str">
        <x:v>Connection, Reflection</x:v>
      </x:c>
      <x:c r="Q80" s="27" t="str">
        <x:v>Triangle Reveal Explorer</x:v>
      </x:c>
      <x:c r="R80" s="27" t="str">
        <x:v>Geometry Studio</x:v>
      </x:c>
      <x:c r="S80" s="27" t="str">
        <x:v>Square grid</x:v>
      </x:c>
      <x:c r="T80" s="27" t="str">
        <x:v>Pythagoras, Trigonometry and Measuring the Unreachable – use Pythagoras</x:v>
      </x:c>
      <x:c r="U80" s="27" t="str">
        <x:v>Scratchpad prediction or notice about use Pythagoras</x:v>
      </x:c>
      <x:c r="V80" s="27" t="str">
        <x:v>Learner can use Pythagoras and give a reason or check.</x:v>
      </x:c>
      <x:c r="W80" s="27" t="str">
        <x:v>Connect 8 / Explore 20 / Notice 10 / Reflect 7</x:v>
      </x:c>
      <x:c r="X80" s="27" t="str">
        <x:v>Pearson Edexcel 4MA1 4.4, 4.8</x:v>
      </x:c>
      <x:c r="Y80" s="27" t="str">
        <x:v>High spatial</x:v>
      </x:c>
      <x:c r="Z80" s="27" t="str">
        <x:v>Live, Asynchronous, Independent</x:v>
      </x:c>
      <x:c r="AA80" s="27" t="str">
        <x:v>Architecture mapped</x:v>
      </x:c>
      <x:c r="AB80" s="27" t="str">
        <x:v>Part of the canonical Y10 route. May pause or branch to a Reconnection lesson before returning.</x:v>
      </x:c>
    </x:row>
    <x:row r="81" ht="44" customHeight="1">
      <x:c r="A81" s="27" t="str">
        <x:v>NEO-MATH-Y10-078</x:v>
      </x:c>
      <x:c r="B81" s="27" t="n">
        <x:v>78</x:v>
      </x:c>
      <x:c r="C81" s="27" t="str">
        <x:v>NEO-MATH-Y10-06</x:v>
      </x:c>
      <x:c r="D81" s="27" t="n">
        <x:v>6</x:v>
      </x:c>
      <x:c r="E81" s="27" t="str">
        <x:v>Pythagoras, Trigonometry and Measuring the Unreachable</x:v>
      </x:c>
      <x:c r="F81" s="27" t="str">
        <x:v>Spatial Reasoning</x:v>
      </x:c>
      <x:c r="G81" s="27" t="n">
        <x:v>2</x:v>
      </x:c>
      <x:c r="H81" s="27" t="str">
        <x:v>Core</x:v>
      </x:c>
      <x:c r="I81" s="27" t="str">
        <x:v>Build the idea: Choose sine, cosine or tangent</x:v>
      </x:c>
      <x:c r="J81" s="27" t="str">
        <x:v>What does choose sine, cosine or tangent mean before I use a procedure?</x:v>
      </x:c>
      <x:c r="K81" s="27" t="str">
        <x:v>choose sine, cosine or tangent</x:v>
      </x:c>
      <x:c r="L81" s="27" t="str">
        <x:v>choose sine, cosine or tangent</x:v>
      </x:c>
      <x:c r="M81" s="27" t="str">
        <x:v>use Pythagoras</x:v>
      </x:c>
      <x:c r="N81" s="27" t="str"/>
      <x:c r="O81" s="27" t="str">
        <x:v>Movement</x:v>
      </x:c>
      <x:c r="P81" s="27" t="str">
        <x:v>Connection, Reflection</x:v>
      </x:c>
      <x:c r="Q81" s="27" t="str">
        <x:v>Triangle Reveal Explorer</x:v>
      </x:c>
      <x:c r="R81" s="27" t="str">
        <x:v>Geometry Studio</x:v>
      </x:c>
      <x:c r="S81" s="27" t="str">
        <x:v>Square grid</x:v>
      </x:c>
      <x:c r="T81" s="27" t="str">
        <x:v>Pythagoras, Trigonometry and Measuring the Unreachable – choose sine, cosine or tangent</x:v>
      </x:c>
      <x:c r="U81" s="27" t="str">
        <x:v>Annotated representation of choose sine, cosine or tangent</x:v>
      </x:c>
      <x:c r="V81" s="27" t="str">
        <x:v>Learner can choose sine, cosine or tangent and give a reason or check.</x:v>
      </x:c>
      <x:c r="W81" s="27" t="str">
        <x:v>Connect 5 / Explore 20 / Create or Apply 12 / Reflect 8</x:v>
      </x:c>
      <x:c r="X81" s="27" t="str">
        <x:v>Pearson Edexcel 4MA1 4.4, 4.8</x:v>
      </x:c>
      <x:c r="Y81" s="27" t="str">
        <x:v>High spatial</x:v>
      </x:c>
      <x:c r="Z81" s="27" t="str">
        <x:v>Live, Asynchronous, Independent</x:v>
      </x:c>
      <x:c r="AA81" s="27" t="str">
        <x:v>Architecture mapped</x:v>
      </x:c>
      <x:c r="AB81" s="27" t="str">
        <x:v>Part of the canonical Y10 route. May pause or branch to a Reconnection lesson before returning.</x:v>
      </x:c>
    </x:row>
    <x:row r="82" ht="44" customHeight="1">
      <x:c r="A82" s="27" t="str">
        <x:v>NEO-MATH-Y10-079</x:v>
      </x:c>
      <x:c r="B82" s="27" t="n">
        <x:v>79</x:v>
      </x:c>
      <x:c r="C82" s="27" t="str">
        <x:v>NEO-MATH-Y10-06</x:v>
      </x:c>
      <x:c r="D82" s="27" t="n">
        <x:v>6</x:v>
      </x:c>
      <x:c r="E82" s="27" t="str">
        <x:v>Pythagoras, Trigonometry and Measuring the Unreachable</x:v>
      </x:c>
      <x:c r="F82" s="27" t="str">
        <x:v>Spatial Reasoning</x:v>
      </x:c>
      <x:c r="G82" s="27" t="n">
        <x:v>3</x:v>
      </x:c>
      <x:c r="H82" s="27" t="str">
        <x:v>Core</x:v>
      </x:c>
      <x:c r="I82" s="27" t="str">
        <x:v>Represent it: Solve right triangles</x:v>
      </x:c>
      <x:c r="J82" s="27" t="str">
        <x:v>How can I show solve right triangles in more than one way?</x:v>
      </x:c>
      <x:c r="K82" s="27" t="str">
        <x:v>solve right triangles</x:v>
      </x:c>
      <x:c r="L82" s="27" t="str">
        <x:v>solve right triangles</x:v>
      </x:c>
      <x:c r="M82" s="27" t="str">
        <x:v>choose sine, cosine or tangent</x:v>
      </x:c>
      <x:c r="N82" s="27" t="str"/>
      <x:c r="O82" s="27" t="str">
        <x:v>Movement</x:v>
      </x:c>
      <x:c r="P82" s="27" t="str">
        <x:v>Connection, Reflection</x:v>
      </x:c>
      <x:c r="Q82" s="27" t="str">
        <x:v>Triangle Reveal Explorer</x:v>
      </x:c>
      <x:c r="R82" s="27" t="str">
        <x:v>Geometry Studio</x:v>
      </x:c>
      <x:c r="S82" s="27" t="str">
        <x:v>Square grid</x:v>
      </x:c>
      <x:c r="T82" s="27" t="str">
        <x:v>Pythagoras, Trigonometry and Measuring the Unreachable – solve right triangles</x:v>
      </x:c>
      <x:c r="U82" s="27" t="str">
        <x:v>Annotated representation of solve right triangles</x:v>
      </x:c>
      <x:c r="V82" s="27" t="str">
        <x:v>Learner can solve right triangles and give a reason or check.</x:v>
      </x:c>
      <x:c r="W82" s="27" t="str">
        <x:v>Connect 5 / Explore 20 / Create or Apply 12 / Reflect 8</x:v>
      </x:c>
      <x:c r="X82" s="27" t="str">
        <x:v>Pearson Edexcel 4MA1 4.4, 4.8</x:v>
      </x:c>
      <x:c r="Y82" s="27" t="str">
        <x:v>High spatial</x:v>
      </x:c>
      <x:c r="Z82" s="27" t="str">
        <x:v>Live, Asynchronous, Independent</x:v>
      </x:c>
      <x:c r="AA82" s="27" t="str">
        <x:v>Architecture mapped</x:v>
      </x:c>
      <x:c r="AB82" s="27" t="str">
        <x:v>Part of the canonical Y10 route. May pause or branch to a Reconnection lesson before returning.</x:v>
      </x:c>
    </x:row>
    <x:row r="83" ht="44" customHeight="1">
      <x:c r="A83" s="27" t="str">
        <x:v>NEO-MATH-Y10-080</x:v>
      </x:c>
      <x:c r="B83" s="27" t="n">
        <x:v>80</x:v>
      </x:c>
      <x:c r="C83" s="27" t="str">
        <x:v>NEO-MATH-Y10-06</x:v>
      </x:c>
      <x:c r="D83" s="27" t="n">
        <x:v>6</x:v>
      </x:c>
      <x:c r="E83" s="27" t="str">
        <x:v>Pythagoras, Trigonometry and Measuring the Unreachable</x:v>
      </x:c>
      <x:c r="F83" s="27" t="str">
        <x:v>Spatial Reasoning</x:v>
      </x:c>
      <x:c r="G83" s="27" t="n">
        <x:v>4</x:v>
      </x:c>
      <x:c r="H83" s="27" t="str">
        <x:v>Reconnection</x:v>
      </x:c>
      <x:c r="I83" s="27" t="str">
        <x:v>Reconnection: Angle facts</x:v>
      </x:c>
      <x:c r="J83" s="27" t="str">
        <x:v>Which angle facts can unlock the diagram?</x:v>
      </x:c>
      <x:c r="K83" s="27" t="str">
        <x:v>use angle facts around points, lines and triangles</x:v>
      </x:c>
      <x:c r="L83" s="27" t="str">
        <x:v>use angle facts around points, lines and triangles</x:v>
      </x:c>
      <x:c r="M83" s="27" t="str">
        <x:v>Branch triggered when use angle facts around points, lines and triangles is not yet secure enough for the current unit.</x:v>
      </x:c>
      <x:c r="N83" s="27" t="str">
        <x:v>REC-GEO-01</x:v>
      </x:c>
      <x:c r="O83" s="27" t="str">
        <x:v>Connection</x:v>
      </x:c>
      <x:c r="P83" s="27" t="str">
        <x:v>Reflection, Rest</x:v>
      </x:c>
      <x:c r="Q83" s="27" t="str">
        <x:v>Angle Constraint Explorer</x:v>
      </x:c>
      <x:c r="R83" s="27" t="str">
        <x:v>Geometry Studio</x:v>
      </x:c>
      <x:c r="S83" s="27" t="str">
        <x:v>Square grid</x:v>
      </x:c>
      <x:c r="T83" s="27" t="str">
        <x:v>Angle facts targeted practice</x:v>
      </x:c>
      <x:c r="U83" s="27" t="str">
        <x:v>Short reconnection evidence: use angle facts around points, lines and triangles</x:v>
      </x:c>
      <x:c r="V83" s="27" t="str">
        <x:v>Learner can use angle facts around points, lines and triangles sufficiently to return to Pythagoras, Trigonometry and Measuring the Unreachable.</x:v>
      </x:c>
      <x:c r="W83" s="27" t="str">
        <x:v>Arrive 5 / Reconnect 20 / Test 10 / Return link 10</x:v>
      </x:c>
      <x:c r="X83" s="27" t="str">
        <x:v>Pearson Edexcel 4MA1 4.4, 4.8</x:v>
      </x:c>
      <x:c r="Y83" s="27" t="str">
        <x:v>Low-Moderate; targeted prerequisite repair</x:v>
      </x:c>
      <x:c r="Z83" s="27" t="str">
        <x:v>Live, Asynchronous, Independent</x:v>
      </x:c>
      <x:c r="AA83" s="27" t="str">
        <x:v>Architecture mapped</x:v>
      </x:c>
      <x:c r="AB83" s="27" t="str">
        <x:v>Not 'catch-up'. A targeted route from Year 7 learning that reconnects the learner to NEO-MATH-Y10-06.</x:v>
      </x:c>
    </x:row>
    <x:row r="84" ht="44" customHeight="1">
      <x:c r="A84" s="27" t="str">
        <x:v>NEO-MATH-Y10-081</x:v>
      </x:c>
      <x:c r="B84" s="27" t="n">
        <x:v>81</x:v>
      </x:c>
      <x:c r="C84" s="27" t="str">
        <x:v>NEO-MATH-Y10-06</x:v>
      </x:c>
      <x:c r="D84" s="27" t="n">
        <x:v>6</x:v>
      </x:c>
      <x:c r="E84" s="27" t="str">
        <x:v>Pythagoras, Trigonometry and Measuring the Unreachable</x:v>
      </x:c>
      <x:c r="F84" s="27" t="str">
        <x:v>Spatial Reasoning</x:v>
      </x:c>
      <x:c r="G84" s="27" t="n">
        <x:v>4</x:v>
      </x:c>
      <x:c r="H84" s="27" t="str">
        <x:v>Core</x:v>
      </x:c>
      <x:c r="I84" s="27" t="str">
        <x:v>Try one change: Interpret bearings and elevation</x:v>
      </x:c>
      <x:c r="J84" s="27" t="str">
        <x:v>What changes when I adjust one part of interpret bearings and elevation?</x:v>
      </x:c>
      <x:c r="K84" s="27" t="str">
        <x:v>interpret bearings and elevation</x:v>
      </x:c>
      <x:c r="L84" s="27" t="str">
        <x:v>interpret bearings and elevation</x:v>
      </x:c>
      <x:c r="M84" s="27" t="str">
        <x:v>solve right triangles</x:v>
      </x:c>
      <x:c r="N84" s="27" t="str"/>
      <x:c r="O84" s="27" t="str">
        <x:v>Movement</x:v>
      </x:c>
      <x:c r="P84" s="27" t="str">
        <x:v>Connection, Reflection</x:v>
      </x:c>
      <x:c r="Q84" s="27" t="str">
        <x:v>Triangle Reveal Explorer</x:v>
      </x:c>
      <x:c r="R84" s="27" t="str">
        <x:v>Geometry Studio</x:v>
      </x:c>
      <x:c r="S84" s="27" t="str">
        <x:v>Square grid</x:v>
      </x:c>
      <x:c r="T84" s="27" t="str">
        <x:v>Pythagoras, Trigonometry and Measuring the Unreachable – interpret bearings and elevation</x:v>
      </x:c>
      <x:c r="U84" s="27" t="str">
        <x:v>Annotated representation of interpret bearings and elevation</x:v>
      </x:c>
      <x:c r="V84" s="27" t="str">
        <x:v>Learner can interpret bearings and elevation and give a reason or check.</x:v>
      </x:c>
      <x:c r="W84" s="27" t="str">
        <x:v>Connect 5 / Explore 20 / Create or Apply 12 / Reflect 8</x:v>
      </x:c>
      <x:c r="X84" s="27" t="str">
        <x:v>Pearson Edexcel 4MA1 4.4, 4.8</x:v>
      </x:c>
      <x:c r="Y84" s="27" t="str">
        <x:v>High spatial</x:v>
      </x:c>
      <x:c r="Z84" s="27" t="str">
        <x:v>Live, Asynchronous, Independent</x:v>
      </x:c>
      <x:c r="AA84" s="27" t="str">
        <x:v>Architecture mapped</x:v>
      </x:c>
      <x:c r="AB84" s="27" t="str">
        <x:v>Part of the canonical Y10 route. May pause or branch to a Reconnection lesson before returning.</x:v>
      </x:c>
    </x:row>
    <x:row r="85" ht="44" customHeight="1">
      <x:c r="A85" s="27" t="str">
        <x:v>NEO-MATH-Y10-082</x:v>
      </x:c>
      <x:c r="B85" s="27" t="n">
        <x:v>82</x:v>
      </x:c>
      <x:c r="C85" s="27" t="str">
        <x:v>NEO-MATH-Y10-06</x:v>
      </x:c>
      <x:c r="D85" s="27" t="n">
        <x:v>6</x:v>
      </x:c>
      <x:c r="E85" s="27" t="str">
        <x:v>Pythagoras, Trigonometry and Measuring the Unreachable</x:v>
      </x:c>
      <x:c r="F85" s="27" t="str">
        <x:v>Spatial Reasoning</x:v>
      </x:c>
      <x:c r="G85" s="27" t="n">
        <x:v>5</x:v>
      </x:c>
      <x:c r="H85" s="27" t="str">
        <x:v>Core</x:v>
      </x:c>
      <x:c r="I85" s="27" t="str">
        <x:v>Connect ideas: Use units and accuracy</x:v>
      </x:c>
      <x:c r="J85" s="27" t="str">
        <x:v>How does use units and accuracy connect to the earlier relationship?</x:v>
      </x:c>
      <x:c r="K85" s="27" t="str">
        <x:v>use units and accuracy</x:v>
      </x:c>
      <x:c r="L85" s="27" t="str">
        <x:v>use units and accuracy</x:v>
      </x:c>
      <x:c r="M85" s="27" t="str">
        <x:v>interpret bearings and elevation</x:v>
      </x:c>
      <x:c r="N85" s="27" t="str"/>
      <x:c r="O85" s="27" t="str">
        <x:v>Movement</x:v>
      </x:c>
      <x:c r="P85" s="27" t="str">
        <x:v>Connection, Reflection</x:v>
      </x:c>
      <x:c r="Q85" s="27" t="str">
        <x:v>Triangle Reveal Explorer</x:v>
      </x:c>
      <x:c r="R85" s="27" t="str">
        <x:v>Geometry Studio</x:v>
      </x:c>
      <x:c r="S85" s="27" t="str">
        <x:v>Square grid</x:v>
      </x:c>
      <x:c r="T85" s="27" t="str">
        <x:v>Pythagoras, Trigonometry and Measuring the Unreachable – use units and accuracy</x:v>
      </x:c>
      <x:c r="U85" s="27" t="str">
        <x:v>Annotated representation of use units and accuracy</x:v>
      </x:c>
      <x:c r="V85" s="27" t="str">
        <x:v>Learner can use units and accuracy and give a reason or check.</x:v>
      </x:c>
      <x:c r="W85" s="27" t="str">
        <x:v>Connect 8 / Explore 20 / Notice 10 / Reflect 7</x:v>
      </x:c>
      <x:c r="X85" s="27" t="str">
        <x:v>Pearson Edexcel 4MA1 4.4, 4.8</x:v>
      </x:c>
      <x:c r="Y85" s="27" t="str">
        <x:v>High spatial</x:v>
      </x:c>
      <x:c r="Z85" s="27" t="str">
        <x:v>Live, Asynchronous, Independent</x:v>
      </x:c>
      <x:c r="AA85" s="27" t="str">
        <x:v>Architecture mapped</x:v>
      </x:c>
      <x:c r="AB85" s="27" t="str">
        <x:v>Part of the canonical Y10 route. May pause or branch to a Reconnection lesson before returning.</x:v>
      </x:c>
    </x:row>
    <x:row r="86" ht="44" customHeight="1">
      <x:c r="A86" s="27" t="str">
        <x:v>NEO-MATH-Y10-083</x:v>
      </x:c>
      <x:c r="B86" s="27" t="n">
        <x:v>83</x:v>
      </x:c>
      <x:c r="C86" s="27" t="str">
        <x:v>NEO-MATH-Y10-06</x:v>
      </x:c>
      <x:c r="D86" s="27" t="n">
        <x:v>6</x:v>
      </x:c>
      <x:c r="E86" s="27" t="str">
        <x:v>Pythagoras, Trigonometry and Measuring the Unreachable</x:v>
      </x:c>
      <x:c r="F86" s="27" t="str">
        <x:v>Spatial Reasoning</x:v>
      </x:c>
      <x:c r="G86" s="27" t="n">
        <x:v>6</x:v>
      </x:c>
      <x:c r="H86" s="27" t="str">
        <x:v>Core</x:v>
      </x:c>
      <x:c r="I86" s="27" t="str">
        <x:v>Repair a misconception: Justify method</x:v>
      </x:c>
      <x:c r="J86" s="27" t="str">
        <x:v>What tempting mistake can justify method create?</x:v>
      </x:c>
      <x:c r="K86" s="27" t="str">
        <x:v>justify method</x:v>
      </x:c>
      <x:c r="L86" s="27" t="str">
        <x:v>justify method</x:v>
      </x:c>
      <x:c r="M86" s="27" t="str">
        <x:v>use units and accuracy</x:v>
      </x:c>
      <x:c r="N86" s="27" t="str"/>
      <x:c r="O86" s="27" t="str">
        <x:v>Movement</x:v>
      </x:c>
      <x:c r="P86" s="27" t="str">
        <x:v>Connection, Reflection</x:v>
      </x:c>
      <x:c r="Q86" s="27" t="str">
        <x:v>Triangle Reveal Explorer</x:v>
      </x:c>
      <x:c r="R86" s="27" t="str">
        <x:v>Geometry Studio</x:v>
      </x:c>
      <x:c r="S86" s="27" t="str">
        <x:v>Square grid</x:v>
      </x:c>
      <x:c r="T86" s="27" t="str">
        <x:v>Pythagoras, Trigonometry and Measuring the Unreachable – justify method</x:v>
      </x:c>
      <x:c r="U86" s="27" t="str">
        <x:v>Corrected misconception note: justify method</x:v>
      </x:c>
      <x:c r="V86" s="27" t="str">
        <x:v>Learner can justify method and give a reason or check.</x:v>
      </x:c>
      <x:c r="W86" s="27" t="str">
        <x:v>Connect 5 / Explore 20 / Create or Apply 12 / Reflect 8</x:v>
      </x:c>
      <x:c r="X86" s="27" t="str">
        <x:v>Pearson Edexcel 4MA1 4.4, 4.8</x:v>
      </x:c>
      <x:c r="Y86" s="27" t="str">
        <x:v>High spatial</x:v>
      </x:c>
      <x:c r="Z86" s="27" t="str">
        <x:v>Live, Asynchronous, Independent</x:v>
      </x:c>
      <x:c r="AA86" s="27" t="str">
        <x:v>Architecture mapped</x:v>
      </x:c>
      <x:c r="AB86" s="27" t="str">
        <x:v>Part of the canonical Y10 route. May pause or branch to a Reconnection lesson before returning.</x:v>
      </x:c>
    </x:row>
    <x:row r="87" ht="44" customHeight="1">
      <x:c r="A87" s="27" t="str">
        <x:v>NEO-MATH-Y10-084</x:v>
      </x:c>
      <x:c r="B87" s="27" t="n">
        <x:v>84</x:v>
      </x:c>
      <x:c r="C87" s="27" t="str">
        <x:v>NEO-MATH-Y10-06</x:v>
      </x:c>
      <x:c r="D87" s="27" t="n">
        <x:v>6</x:v>
      </x:c>
      <x:c r="E87" s="27" t="str">
        <x:v>Pythagoras, Trigonometry and Measuring the Unreachable</x:v>
      </x:c>
      <x:c r="F87" s="27" t="str">
        <x:v>Spatial Reasoning</x:v>
      </x:c>
      <x:c r="G87" s="27" t="n">
        <x:v>7</x:v>
      </x:c>
      <x:c r="H87" s="27" t="str">
        <x:v>Core</x:v>
      </x:c>
      <x:c r="I87" s="27" t="str">
        <x:v>Apply in context: Use Pythagoras</x:v>
      </x:c>
      <x:c r="J87" s="27" t="str">
        <x:v>Where might use Pythagoras help with a real decision?</x:v>
      </x:c>
      <x:c r="K87" s="27" t="str">
        <x:v>use Pythagoras</x:v>
      </x:c>
      <x:c r="L87" s="27" t="str">
        <x:v>use Pythagoras</x:v>
      </x:c>
      <x:c r="M87" s="27" t="str">
        <x:v>justify method</x:v>
      </x:c>
      <x:c r="N87" s="27" t="str"/>
      <x:c r="O87" s="27" t="str">
        <x:v>Movement</x:v>
      </x:c>
      <x:c r="P87" s="27" t="str">
        <x:v>Connection, Reflection</x:v>
      </x:c>
      <x:c r="Q87" s="27" t="str">
        <x:v>Triangle Reveal Explorer</x:v>
      </x:c>
      <x:c r="R87" s="27" t="str">
        <x:v>Geometry Studio</x:v>
      </x:c>
      <x:c r="S87" s="27" t="str">
        <x:v>Square grid</x:v>
      </x:c>
      <x:c r="T87" s="27" t="str">
        <x:v>Pythagoras, Trigonometry and Measuring the Unreachable – use Pythagoras</x:v>
      </x:c>
      <x:c r="U87" s="27" t="str">
        <x:v>Short contextual application of use Pythagoras</x:v>
      </x:c>
      <x:c r="V87" s="27" t="str">
        <x:v>Learner can use Pythagoras and give a reason or check.</x:v>
      </x:c>
      <x:c r="W87" s="27" t="str">
        <x:v>Connect 5 / Explore 20 / Create or Apply 12 / Reflect 8</x:v>
      </x:c>
      <x:c r="X87" s="27" t="str">
        <x:v>Pearson Edexcel 4MA1 4.4, 4.8</x:v>
      </x:c>
      <x:c r="Y87" s="27" t="str">
        <x:v>High spatial</x:v>
      </x:c>
      <x:c r="Z87" s="27" t="str">
        <x:v>Live, Asynchronous, Independent</x:v>
      </x:c>
      <x:c r="AA87" s="27" t="str">
        <x:v>Architecture mapped</x:v>
      </x:c>
      <x:c r="AB87" s="27" t="str">
        <x:v>Part of the canonical Y10 route. May pause or branch to a Reconnection lesson before returning.</x:v>
      </x:c>
    </x:row>
    <x:row r="88" ht="44" customHeight="1">
      <x:c r="A88" s="27" t="str">
        <x:v>NEO-MATH-Y10-085</x:v>
      </x:c>
      <x:c r="B88" s="27" t="n">
        <x:v>85</x:v>
      </x:c>
      <x:c r="C88" s="27" t="str">
        <x:v>NEO-MATH-Y10-06</x:v>
      </x:c>
      <x:c r="D88" s="27" t="n">
        <x:v>6</x:v>
      </x:c>
      <x:c r="E88" s="27" t="str">
        <x:v>Pythagoras, Trigonometry and Measuring the Unreachable</x:v>
      </x:c>
      <x:c r="F88" s="27" t="str">
        <x:v>Spatial Reasoning</x:v>
      </x:c>
      <x:c r="G88" s="27" t="n">
        <x:v>8</x:v>
      </x:c>
      <x:c r="H88" s="27" t="str">
        <x:v>Core</x:v>
      </x:c>
      <x:c r="I88" s="27" t="str">
        <x:v>Model and test: Choose sine, cosine or tangent</x:v>
      </x:c>
      <x:c r="J88" s="27" t="str">
        <x:v>Can I build a model using choose sine, cosine or tangent and test it?</x:v>
      </x:c>
      <x:c r="K88" s="27" t="str">
        <x:v>choose sine, cosine or tangent</x:v>
      </x:c>
      <x:c r="L88" s="27" t="str">
        <x:v>choose sine, cosine or tangent</x:v>
      </x:c>
      <x:c r="M88" s="27" t="str">
        <x:v>use Pythagoras</x:v>
      </x:c>
      <x:c r="N88" s="27" t="str"/>
      <x:c r="O88" s="27" t="str">
        <x:v>Movement</x:v>
      </x:c>
      <x:c r="P88" s="27" t="str">
        <x:v>Connection, Reflection</x:v>
      </x:c>
      <x:c r="Q88" s="27" t="str">
        <x:v>Triangle Reveal Explorer</x:v>
      </x:c>
      <x:c r="R88" s="27" t="str">
        <x:v>Geometry Studio</x:v>
      </x:c>
      <x:c r="S88" s="27" t="str">
        <x:v>Square grid</x:v>
      </x:c>
      <x:c r="T88" s="27" t="str">
        <x:v>Pythagoras, Trigonometry and Measuring the Unreachable – choose sine, cosine or tangent</x:v>
      </x:c>
      <x:c r="U88" s="27" t="str">
        <x:v>Tested model using choose sine, cosine or tangent</x:v>
      </x:c>
      <x:c r="V88" s="27" t="str">
        <x:v>Learner can choose sine, cosine or tangent and give a reason or check.</x:v>
      </x:c>
      <x:c r="W88" s="27" t="str">
        <x:v>Connect 5 / Explore 20 / Create or Apply 12 / Reflect 8</x:v>
      </x:c>
      <x:c r="X88" s="27" t="str">
        <x:v>Pearson Edexcel 4MA1 4.4, 4.8</x:v>
      </x:c>
      <x:c r="Y88" s="27" t="str">
        <x:v>High spatial</x:v>
      </x:c>
      <x:c r="Z88" s="27" t="str">
        <x:v>Live, Asynchronous, Independent</x:v>
      </x:c>
      <x:c r="AA88" s="27" t="str">
        <x:v>Architecture mapped</x:v>
      </x:c>
      <x:c r="AB88" s="27" t="str">
        <x:v>Part of the canonical Y10 route. May pause or branch to a Reconnection lesson before returning.</x:v>
      </x:c>
    </x:row>
    <x:row r="89" ht="44" customHeight="1">
      <x:c r="A89" s="27" t="str">
        <x:v>NEO-MATH-Y10-086</x:v>
      </x:c>
      <x:c r="B89" s="27" t="n">
        <x:v>86</x:v>
      </x:c>
      <x:c r="C89" s="27" t="str">
        <x:v>NEO-MATH-Y10-06</x:v>
      </x:c>
      <x:c r="D89" s="27" t="n">
        <x:v>6</x:v>
      </x:c>
      <x:c r="E89" s="27" t="str">
        <x:v>Pythagoras, Trigonometry and Measuring the Unreachable</x:v>
      </x:c>
      <x:c r="F89" s="27" t="str">
        <x:v>Spatial Reasoning</x:v>
      </x:c>
      <x:c r="G89" s="27" t="n">
        <x:v>9</x:v>
      </x:c>
      <x:c r="H89" s="27" t="str">
        <x:v>Core</x:v>
      </x:c>
      <x:c r="I89" s="27" t="str">
        <x:v>Compare strategies: Solve right triangles</x:v>
      </x:c>
      <x:c r="J89" s="27" t="str">
        <x:v>Which route through solve right triangles is clearest or most efficient?</x:v>
      </x:c>
      <x:c r="K89" s="27" t="str">
        <x:v>solve right triangles</x:v>
      </x:c>
      <x:c r="L89" s="27" t="str">
        <x:v>solve right triangles</x:v>
      </x:c>
      <x:c r="M89" s="27" t="str">
        <x:v>choose sine, cosine or tangent</x:v>
      </x:c>
      <x:c r="N89" s="27" t="str"/>
      <x:c r="O89" s="27" t="str">
        <x:v>Movement</x:v>
      </x:c>
      <x:c r="P89" s="27" t="str">
        <x:v>Connection, Reflection</x:v>
      </x:c>
      <x:c r="Q89" s="27" t="str">
        <x:v>Triangle Reveal Explorer</x:v>
      </x:c>
      <x:c r="R89" s="27" t="str">
        <x:v>Geometry Studio</x:v>
      </x:c>
      <x:c r="S89" s="27" t="str">
        <x:v>Square grid</x:v>
      </x:c>
      <x:c r="T89" s="27" t="str">
        <x:v>Pythagoras, Trigonometry and Measuring the Unreachable – solve right triangles</x:v>
      </x:c>
      <x:c r="U89" s="27" t="str">
        <x:v>Two-route comparison for solve right triangles</x:v>
      </x:c>
      <x:c r="V89" s="27" t="str">
        <x:v>Learner can solve right triangles and give a reason or check.</x:v>
      </x:c>
      <x:c r="W89" s="27" t="str">
        <x:v>Connect 5 / Explore 20 / Create or Apply 12 / Reflect 8</x:v>
      </x:c>
      <x:c r="X89" s="27" t="str">
        <x:v>Pearson Edexcel 4MA1 4.4, 4.8</x:v>
      </x:c>
      <x:c r="Y89" s="27" t="str">
        <x:v>High spatial</x:v>
      </x:c>
      <x:c r="Z89" s="27" t="str">
        <x:v>Live, Asynchronous, Independent</x:v>
      </x:c>
      <x:c r="AA89" s="27" t="str">
        <x:v>Architecture mapped</x:v>
      </x:c>
      <x:c r="AB89" s="27" t="str">
        <x:v>Part of the canonical Y10 route. May pause or branch to a Reconnection lesson before returning.</x:v>
      </x:c>
    </x:row>
    <x:row r="90" ht="44" customHeight="1">
      <x:c r="A90" s="27" t="str">
        <x:v>NEO-MATH-Y10-087</x:v>
      </x:c>
      <x:c r="B90" s="27" t="n">
        <x:v>87</x:v>
      </x:c>
      <x:c r="C90" s="27" t="str">
        <x:v>NEO-MATH-Y10-06</x:v>
      </x:c>
      <x:c r="D90" s="27" t="n">
        <x:v>6</x:v>
      </x:c>
      <x:c r="E90" s="27" t="str">
        <x:v>Pythagoras, Trigonometry and Measuring the Unreachable</x:v>
      </x:c>
      <x:c r="F90" s="27" t="str">
        <x:v>Spatial Reasoning</x:v>
      </x:c>
      <x:c r="G90" s="27" t="n">
        <x:v>11</x:v>
      </x:c>
      <x:c r="H90" s="27" t="str">
        <x:v>Qualification Practice</x:v>
      </x:c>
      <x:c r="I90" s="27" t="str">
        <x:v>Assessment translation 1: Use Pythagoras</x:v>
      </x:c>
      <x:c r="J90" s="27" t="str">
        <x:v>How might a qualification question hide the need to use Pythagoras?</x:v>
      </x:c>
      <x:c r="K90" s="27" t="str">
        <x:v>translate assessed wording into the canonical move: use Pythagoras</x:v>
      </x:c>
      <x:c r="L90" s="27" t="str">
        <x:v>use Pythagoras</x:v>
      </x:c>
      <x:c r="M90" s="27" t="str">
        <x:v>relevant core concept plus question-reading routine</x:v>
      </x:c>
      <x:c r="N90" s="27" t="str">
        <x:v>REC-SRL-01 if wording blocks mathematical access</x:v>
      </x:c>
      <x:c r="O90" s="27" t="str">
        <x:v>Reflection</x:v>
      </x:c>
      <x:c r="P90" s="27" t="str">
        <x:v>Connection, Rest</x:v>
      </x:c>
      <x:c r="Q90" s="27" t="str">
        <x:v>Question Translation Studio</x:v>
      </x:c>
      <x:c r="R90" s="27" t="str">
        <x:v>Navigation Tool</x:v>
      </x:c>
      <x:c r="S90" s="27" t="str">
        <x:v>Square grid</x:v>
      </x:c>
      <x:c r="T90" s="27" t="str">
        <x:v>4MA1-style mixed questions: use Pythagoras</x:v>
      </x:c>
      <x:c r="U90" s="27" t="str">
        <x:v>Annotated assessed-world question showing givens, goal, route and check for use Pythagoras</x:v>
      </x:c>
      <x:c r="V90" s="27" t="str">
        <x:v>Learner identifies the mathematics, selects a route and checks a solution involving use Pythagoras.</x:v>
      </x:c>
      <x:c r="W90" s="27" t="str">
        <x:v>Decode 10 / Solve 20 / Compare 10 / Reflect 5</x:v>
      </x:c>
      <x:c r="X90" s="27" t="str">
        <x:v>Pearson Edexcel 4MA1 4.4, 4.8</x:v>
      </x:c>
      <x:c r="Y90" s="27" t="str">
        <x:v>Moderate-High; wording chunked before calculation</x:v>
      </x:c>
      <x:c r="Z90" s="27" t="str">
        <x:v>Live, Asynchronous, Independent</x:v>
      </x:c>
      <x:c r="AA90" s="27" t="str">
        <x:v>Architecture mapped</x:v>
      </x:c>
      <x:c r="AB90" s="27" t="str">
        <x:v>Qualification overlay lesson. Exam wording is translated into mathematics already present in the canonical spine.</x:v>
      </x:c>
    </x:row>
    <x:row r="91" ht="44" customHeight="1">
      <x:c r="A91" s="27" t="str">
        <x:v>NEO-MATH-Y10-088</x:v>
      </x:c>
      <x:c r="B91" s="27" t="n">
        <x:v>88</x:v>
      </x:c>
      <x:c r="C91" s="27" t="str">
        <x:v>NEO-MATH-Y10-06</x:v>
      </x:c>
      <x:c r="D91" s="27" t="n">
        <x:v>6</x:v>
      </x:c>
      <x:c r="E91" s="27" t="str">
        <x:v>Pythagoras, Trigonometry and Measuring the Unreachable</x:v>
      </x:c>
      <x:c r="F91" s="27" t="str">
        <x:v>Spatial Reasoning</x:v>
      </x:c>
      <x:c r="G91" s="27" t="n">
        <x:v>10</x:v>
      </x:c>
      <x:c r="H91" s="27" t="str">
        <x:v>Core</x:v>
      </x:c>
      <x:c r="I91" s="27" t="str">
        <x:v>Practice with choice: Interpret bearings and elevation</x:v>
      </x:c>
      <x:c r="J91" s="27" t="str">
        <x:v>Can I use interpret bearings and elevation without being told the method?</x:v>
      </x:c>
      <x:c r="K91" s="27" t="str">
        <x:v>interpret bearings and elevation</x:v>
      </x:c>
      <x:c r="L91" s="27" t="str">
        <x:v>interpret bearings and elevation</x:v>
      </x:c>
      <x:c r="M91" s="27" t="str">
        <x:v>solve right triangles</x:v>
      </x:c>
      <x:c r="N91" s="27" t="str"/>
      <x:c r="O91" s="27" t="str">
        <x:v>Movement</x:v>
      </x:c>
      <x:c r="P91" s="27" t="str">
        <x:v>Connection, Reflection</x:v>
      </x:c>
      <x:c r="Q91" s="27" t="str">
        <x:v>Triangle Reveal Explorer</x:v>
      </x:c>
      <x:c r="R91" s="27" t="str">
        <x:v>Geometry Studio</x:v>
      </x:c>
      <x:c r="S91" s="27" t="str">
        <x:v>Square grid</x:v>
      </x:c>
      <x:c r="T91" s="27" t="str">
        <x:v>Pythagoras, Trigonometry and Measuring the Unreachable – interpret bearings and elevation</x:v>
      </x:c>
      <x:c r="U91" s="27" t="str">
        <x:v>Practice Companion evidence for interpret bearings and elevation</x:v>
      </x:c>
      <x:c r="V91" s="27" t="str">
        <x:v>Learner can interpret bearings and elevation and give a reason or check.</x:v>
      </x:c>
      <x:c r="W91" s="27" t="str">
        <x:v>Reconnect 5 / Practice 25 / Check 10 / Reflect 5</x:v>
      </x:c>
      <x:c r="X91" s="27" t="str">
        <x:v>Pearson Edexcel 4MA1 4.4, 4.8</x:v>
      </x:c>
      <x:c r="Y91" s="27" t="str">
        <x:v>High spatial</x:v>
      </x:c>
      <x:c r="Z91" s="27" t="str">
        <x:v>Live, Asynchronous, Independent</x:v>
      </x:c>
      <x:c r="AA91" s="27" t="str">
        <x:v>Architecture mapped</x:v>
      </x:c>
      <x:c r="AB91" s="27" t="str">
        <x:v>Part of the canonical Y10 route. May pause or branch to a Reconnection lesson before returning.</x:v>
      </x:c>
    </x:row>
    <x:row r="92" ht="44" customHeight="1">
      <x:c r="A92" s="27" t="str">
        <x:v>NEO-MATH-Y10-089</x:v>
      </x:c>
      <x:c r="B92" s="27" t="n">
        <x:v>89</x:v>
      </x:c>
      <x:c r="C92" s="27" t="str">
        <x:v>NEO-MATH-Y10-06</x:v>
      </x:c>
      <x:c r="D92" s="27" t="n">
        <x:v>6</x:v>
      </x:c>
      <x:c r="E92" s="27" t="str">
        <x:v>Pythagoras, Trigonometry and Measuring the Unreachable</x:v>
      </x:c>
      <x:c r="F92" s="27" t="str">
        <x:v>Spatial Reasoning</x:v>
      </x:c>
      <x:c r="G92" s="27" t="n">
        <x:v>11</x:v>
      </x:c>
      <x:c r="H92" s="27" t="str">
        <x:v>Core</x:v>
      </x:c>
      <x:c r="I92" s="27" t="str">
        <x:v>Qualification translation: Use units and accuracy</x:v>
      </x:c>
      <x:c r="J92" s="27" t="str">
        <x:v>How might an assessed question disguise use units and accuracy?</x:v>
      </x:c>
      <x:c r="K92" s="27" t="str">
        <x:v>use units and accuracy</x:v>
      </x:c>
      <x:c r="L92" s="27" t="str">
        <x:v>use units and accuracy</x:v>
      </x:c>
      <x:c r="M92" s="27" t="str">
        <x:v>interpret bearings and elevation</x:v>
      </x:c>
      <x:c r="N92" s="27" t="str"/>
      <x:c r="O92" s="27" t="str">
        <x:v>Movement</x:v>
      </x:c>
      <x:c r="P92" s="27" t="str">
        <x:v>Connection, Reflection</x:v>
      </x:c>
      <x:c r="Q92" s="27" t="str">
        <x:v>Triangle Reveal Explorer</x:v>
      </x:c>
      <x:c r="R92" s="27" t="str">
        <x:v>Geometry Studio</x:v>
      </x:c>
      <x:c r="S92" s="27" t="str">
        <x:v>Square grid</x:v>
      </x:c>
      <x:c r="T92" s="27" t="str">
        <x:v>Pythagoras, Trigonometry and Measuring the Unreachable – use units and accuracy</x:v>
      </x:c>
      <x:c r="U92" s="27" t="str">
        <x:v>Annotated question translation for use units and accuracy</x:v>
      </x:c>
      <x:c r="V92" s="27" t="str">
        <x:v>Learner can use units and accuracy and give a reason or check.</x:v>
      </x:c>
      <x:c r="W92" s="27" t="str">
        <x:v>Translate 10 / Solve 20 / Compare 10 / Reflect 5</x:v>
      </x:c>
      <x:c r="X92" s="27" t="str">
        <x:v>Pearson Edexcel 4MA1 4.4, 4.8</x:v>
      </x:c>
      <x:c r="Y92" s="27" t="str">
        <x:v>High spatial</x:v>
      </x:c>
      <x:c r="Z92" s="27" t="str">
        <x:v>Live, Asynchronous, Independent</x:v>
      </x:c>
      <x:c r="AA92" s="27" t="str">
        <x:v>Architecture mapped</x:v>
      </x:c>
      <x:c r="AB92" s="27" t="str">
        <x:v>Part of the canonical Y10 route. May pause or branch to a Reconnection lesson before returning.</x:v>
      </x:c>
    </x:row>
    <x:row r="93" ht="44" customHeight="1">
      <x:c r="A93" s="27" t="str">
        <x:v>NEO-MATH-Y10-090</x:v>
      </x:c>
      <x:c r="B93" s="27" t="n">
        <x:v>90</x:v>
      </x:c>
      <x:c r="C93" s="27" t="str">
        <x:v>NEO-MATH-Y10-06</x:v>
      </x:c>
      <x:c r="D93" s="27" t="n">
        <x:v>6</x:v>
      </x:c>
      <x:c r="E93" s="27" t="str">
        <x:v>Pythagoras, Trigonometry and Measuring the Unreachable</x:v>
      </x:c>
      <x:c r="F93" s="27" t="str">
        <x:v>Spatial Reasoning</x:v>
      </x:c>
      <x:c r="G93" s="27" t="n">
        <x:v>12</x:v>
      </x:c>
      <x:c r="H93" s="27" t="str">
        <x:v>Core</x:v>
      </x:c>
      <x:c r="I93" s="27" t="str">
        <x:v>Mastery checkpoint: Justify method</x:v>
      </x:c>
      <x:c r="J93" s="27" t="str">
        <x:v>What can I now explain, apply and check about justify method?</x:v>
      </x:c>
      <x:c r="K93" s="27" t="str">
        <x:v>justify method</x:v>
      </x:c>
      <x:c r="L93" s="27" t="str">
        <x:v>justify method</x:v>
      </x:c>
      <x:c r="M93" s="27" t="str">
        <x:v>use units and accuracy</x:v>
      </x:c>
      <x:c r="N93" s="27" t="str"/>
      <x:c r="O93" s="27" t="str">
        <x:v>Movement</x:v>
      </x:c>
      <x:c r="P93" s="27" t="str">
        <x:v>Connection, Reflection</x:v>
      </x:c>
      <x:c r="Q93" s="27" t="str">
        <x:v>Triangle Reveal Explorer</x:v>
      </x:c>
      <x:c r="R93" s="27" t="str">
        <x:v>Geometry Studio</x:v>
      </x:c>
      <x:c r="S93" s="27" t="str">
        <x:v>Square grid</x:v>
      </x:c>
      <x:c r="T93" s="27" t="str">
        <x:v>Pythagoras, Trigonometry and Measuring the Unreachable – justify method</x:v>
      </x:c>
      <x:c r="U93" s="27" t="str">
        <x:v>Indirect Measurement Design</x:v>
      </x:c>
      <x:c r="V93" s="27" t="str">
        <x:v>Learner can justify method and give a reason or check.</x:v>
      </x:c>
      <x:c r="W93" s="27" t="str">
        <x:v>Settle 5 / Choose evidence 25 / Mastery check 10 / Reflect 5</x:v>
      </x:c>
      <x:c r="X93" s="27" t="str">
        <x:v>Pearson Edexcel 4MA1 4.4, 4.8</x:v>
      </x:c>
      <x:c r="Y93" s="27" t="str">
        <x:v>High spatial</x:v>
      </x:c>
      <x:c r="Z93" s="27" t="str">
        <x:v>Live, Asynchronous, Independent</x:v>
      </x:c>
      <x:c r="AA93" s="27" t="str">
        <x:v>Architecture mapped</x:v>
      </x:c>
      <x:c r="AB93" s="27" t="str">
        <x:v>Part of the canonical Y10 route. May pause or branch to a Reconnection lesson before returning.</x:v>
      </x:c>
    </x:row>
    <x:row r="94" ht="44" customHeight="1">
      <x:c r="A94" s="27" t="str">
        <x:v>NEO-MATH-Y10-091</x:v>
      </x:c>
      <x:c r="B94" s="27" t="n">
        <x:v>91</x:v>
      </x:c>
      <x:c r="C94" s="27" t="str">
        <x:v>NEO-MATH-Y10-06</x:v>
      </x:c>
      <x:c r="D94" s="27" t="n">
        <x:v>6</x:v>
      </x:c>
      <x:c r="E94" s="27" t="str">
        <x:v>Pythagoras, Trigonometry and Measuring the Unreachable</x:v>
      </x:c>
      <x:c r="F94" s="27" t="str">
        <x:v>Spatial Reasoning</x:v>
      </x:c>
      <x:c r="G94" s="27" t="n">
        <x:v>15</x:v>
      </x:c>
      <x:c r="H94" s="27" t="str">
        <x:v>Portfolio / Pathway Review</x:v>
      </x:c>
      <x:c r="I94" s="27" t="str">
        <x:v>Evidence and next step: Pythagoras, Trigonometry and Measuring the Unreachable</x:v>
      </x:c>
      <x:c r="J94" s="27" t="str">
        <x:v>What evidence shows what I can now do—and what would be a useful next mathematical move?</x:v>
      </x:c>
      <x:c r="K94" s="27" t="str">
        <x:v>select, annotate and reflect on unit evidence</x:v>
      </x:c>
      <x:c r="L94" s="27" t="str">
        <x:v>unit-level synthesis, communication and self-regulation</x:v>
      </x:c>
      <x:c r="M94" s="27" t="str">
        <x:v>any meaningful participation or evidence from the unit</x:v>
      </x:c>
      <x:c r="N94" s="27" t="str">
        <x:v>learner-specific</x:v>
      </x:c>
      <x:c r="O94" s="27" t="str">
        <x:v>Reflection</x:v>
      </x:c>
      <x:c r="P94" s="27" t="str">
        <x:v>Rest, Connection</x:v>
      </x:c>
      <x:c r="Q94" s="27" t="str">
        <x:v>Portfolio Evidence Selector</x:v>
      </x:c>
      <x:c r="R94" s="27" t="str">
        <x:v>Navigation Tool</x:v>
      </x:c>
      <x:c r="S94" s="27" t="str">
        <x:v>Blank</x:v>
      </x:c>
      <x:c r="T94" s="27" t="str">
        <x:v>learner-selected gap or stretch</x:v>
      </x:c>
      <x:c r="U94" s="27" t="str">
        <x:v>Indirect Measurement Design</x:v>
      </x:c>
      <x:c r="V94" s="27" t="str">
        <x:v>Learner can point to evidence for current mastery and agree a next step.</x:v>
      </x:c>
      <x:c r="W94" s="27" t="str">
        <x:v>Settle 5 / Select 10 / Annotate 15 / Strengthen 10 / Next step 5</x:v>
      </x:c>
      <x:c r="X94" s="27" t="str">
        <x:v>Pearson Edexcel 4MA1 4.4, 4.8</x:v>
      </x:c>
      <x:c r="Y94" s="27" t="str">
        <x:v>Low-Moderate; learner choice</x:v>
      </x:c>
      <x:c r="Z94" s="27" t="str">
        <x:v>Live, Asynchronous, Independent</x:v>
      </x:c>
      <x:c r="AA94" s="27" t="str">
        <x:v>Architecture mapped</x:v>
      </x:c>
      <x:c r="AB94" s="27" t="str">
        <x:v>Portfolio and pathway review. Completion volume is not used as a proxy for mastery.</x:v>
      </x:c>
    </x:row>
    <x:row r="95" ht="44" customHeight="1">
      <x:c r="A95" s="27" t="str">
        <x:v>NEO-MATH-Y10-092</x:v>
      </x:c>
      <x:c r="B95" s="27" t="n">
        <x:v>92</x:v>
      </x:c>
      <x:c r="C95" s="27" t="str">
        <x:v>NEO-MATH-Y10-07</x:v>
      </x:c>
      <x:c r="D95" s="27" t="n">
        <x:v>7</x:v>
      </x:c>
      <x:c r="E95" s="27" t="str">
        <x:v>Frequency, Scatter and the Shape of Data</x:v>
      </x:c>
      <x:c r="F95" s="27" t="str">
        <x:v>Data &amp; Uncertainty</x:v>
      </x:c>
      <x:c r="G95" s="27" t="n">
        <x:v>1</x:v>
      </x:c>
      <x:c r="H95" s="27" t="str">
        <x:v>Core</x:v>
      </x:c>
      <x:c r="I95" s="27" t="str">
        <x:v>Connect &amp; notice: Construct and interpret frequency diagrams</x:v>
      </x:c>
      <x:c r="J95" s="27" t="str">
        <x:v>What do I already notice about construct and interpret frequency diagrams?</x:v>
      </x:c>
      <x:c r="K95" s="27" t="str">
        <x:v>construct and interpret frequency diagrams</x:v>
      </x:c>
      <x:c r="L95" s="27" t="str">
        <x:v>construct and interpret frequency diagrams</x:v>
      </x:c>
      <x:c r="M95" s="27" t="str">
        <x:v>learner entry knowledge and representation confidence</x:v>
      </x:c>
      <x:c r="N95" s="27" t="str"/>
      <x:c r="O95" s="27" t="str">
        <x:v>Reflection</x:v>
      </x:c>
      <x:c r="P95" s="27" t="str">
        <x:v>Connection, Creativity</x:v>
      </x:c>
      <x:c r="Q95" s="27" t="str">
        <x:v>Data Display Switcher</x:v>
      </x:c>
      <x:c r="R95" s="27" t="str">
        <x:v>Evidence Lab</x:v>
      </x:c>
      <x:c r="S95" s="27" t="str">
        <x:v>Blank</x:v>
      </x:c>
      <x:c r="T95" s="27" t="str">
        <x:v>Frequency, Scatter and the Shape of Data – construct and interpret frequency diagrams</x:v>
      </x:c>
      <x:c r="U95" s="27" t="str">
        <x:v>Scratchpad prediction or notice about construct and interpret frequency diagrams</x:v>
      </x:c>
      <x:c r="V95" s="27" t="str">
        <x:v>Learner can construct and interpret frequency diagrams and give a reason or check.</x:v>
      </x:c>
      <x:c r="W95" s="27" t="str">
        <x:v>Connect 8 / Explore 20 / Notice 10 / Reflect 7</x:v>
      </x:c>
      <x:c r="X95" s="27" t="str">
        <x:v>Pearson Edexcel 4MA1 6.1-6.2</x:v>
      </x:c>
      <x:c r="Y95" s="27" t="str">
        <x:v>Moderate-High</x:v>
      </x:c>
      <x:c r="Z95" s="27" t="str">
        <x:v>Live, Asynchronous, Independent</x:v>
      </x:c>
      <x:c r="AA95" s="27" t="str">
        <x:v>Architecture mapped</x:v>
      </x:c>
      <x:c r="AB95" s="27" t="str">
        <x:v>Part of the canonical Y10 route. May pause or branch to a Reconnection lesson before returning.</x:v>
      </x:c>
    </x:row>
    <x:row r="96" ht="44" customHeight="1">
      <x:c r="A96" s="27" t="str">
        <x:v>NEO-MATH-Y10-093</x:v>
      </x:c>
      <x:c r="B96" s="27" t="n">
        <x:v>93</x:v>
      </x:c>
      <x:c r="C96" s="27" t="str">
        <x:v>NEO-MATH-Y10-07</x:v>
      </x:c>
      <x:c r="D96" s="27" t="n">
        <x:v>7</x:v>
      </x:c>
      <x:c r="E96" s="27" t="str">
        <x:v>Frequency, Scatter and the Shape of Data</x:v>
      </x:c>
      <x:c r="F96" s="27" t="str">
        <x:v>Data &amp; Uncertainty</x:v>
      </x:c>
      <x:c r="G96" s="27" t="n">
        <x:v>2</x:v>
      </x:c>
      <x:c r="H96" s="27" t="str">
        <x:v>Core</x:v>
      </x:c>
      <x:c r="I96" s="27" t="str">
        <x:v>Build the idea: Compare distributions</x:v>
      </x:c>
      <x:c r="J96" s="27" t="str">
        <x:v>What does compare distributions mean before I use a procedure?</x:v>
      </x:c>
      <x:c r="K96" s="27" t="str">
        <x:v>compare distributions</x:v>
      </x:c>
      <x:c r="L96" s="27" t="str">
        <x:v>compare distributions</x:v>
      </x:c>
      <x:c r="M96" s="27" t="str">
        <x:v>construct and interpret frequency diagrams</x:v>
      </x:c>
      <x:c r="N96" s="27" t="str"/>
      <x:c r="O96" s="27" t="str">
        <x:v>Reflection</x:v>
      </x:c>
      <x:c r="P96" s="27" t="str">
        <x:v>Connection, Creativity</x:v>
      </x:c>
      <x:c r="Q96" s="27" t="str">
        <x:v>Data Display Switcher</x:v>
      </x:c>
      <x:c r="R96" s="27" t="str">
        <x:v>Evidence Lab</x:v>
      </x:c>
      <x:c r="S96" s="27" t="str">
        <x:v>Blank</x:v>
      </x:c>
      <x:c r="T96" s="27" t="str">
        <x:v>Frequency, Scatter and the Shape of Data – compare distributions</x:v>
      </x:c>
      <x:c r="U96" s="27" t="str">
        <x:v>Annotated representation of compare distributions</x:v>
      </x:c>
      <x:c r="V96" s="27" t="str">
        <x:v>Learner can compare distributions and give a reason or check.</x:v>
      </x:c>
      <x:c r="W96" s="27" t="str">
        <x:v>Connect 5 / Explore 20 / Create or Apply 12 / Reflect 8</x:v>
      </x:c>
      <x:c r="X96" s="27" t="str">
        <x:v>Pearson Edexcel 4MA1 6.1-6.2</x:v>
      </x:c>
      <x:c r="Y96" s="27" t="str">
        <x:v>Moderate-High</x:v>
      </x:c>
      <x:c r="Z96" s="27" t="str">
        <x:v>Live, Asynchronous, Independent</x:v>
      </x:c>
      <x:c r="AA96" s="27" t="str">
        <x:v>Architecture mapped</x:v>
      </x:c>
      <x:c r="AB96" s="27" t="str">
        <x:v>Part of the canonical Y10 route. May pause or branch to a Reconnection lesson before returning.</x:v>
      </x:c>
    </x:row>
    <x:row r="97" ht="44" customHeight="1">
      <x:c r="A97" s="27" t="str">
        <x:v>NEO-MATH-Y10-094</x:v>
      </x:c>
      <x:c r="B97" s="27" t="n">
        <x:v>94</x:v>
      </x:c>
      <x:c r="C97" s="27" t="str">
        <x:v>NEO-MATH-Y10-07</x:v>
      </x:c>
      <x:c r="D97" s="27" t="n">
        <x:v>7</x:v>
      </x:c>
      <x:c r="E97" s="27" t="str">
        <x:v>Frequency, Scatter and the Shape of Data</x:v>
      </x:c>
      <x:c r="F97" s="27" t="str">
        <x:v>Data &amp; Uncertainty</x:v>
      </x:c>
      <x:c r="G97" s="27" t="n">
        <x:v>3</x:v>
      </x:c>
      <x:c r="H97" s="27" t="str">
        <x:v>Core</x:v>
      </x:c>
      <x:c r="I97" s="27" t="str">
        <x:v>Represent it: Use scatter graphs</x:v>
      </x:c>
      <x:c r="J97" s="27" t="str">
        <x:v>How can I show use scatter graphs in more than one way?</x:v>
      </x:c>
      <x:c r="K97" s="27" t="str">
        <x:v>use scatter graphs</x:v>
      </x:c>
      <x:c r="L97" s="27" t="str">
        <x:v>use scatter graphs</x:v>
      </x:c>
      <x:c r="M97" s="27" t="str">
        <x:v>compare distributions</x:v>
      </x:c>
      <x:c r="N97" s="27" t="str"/>
      <x:c r="O97" s="27" t="str">
        <x:v>Reflection</x:v>
      </x:c>
      <x:c r="P97" s="27" t="str">
        <x:v>Connection, Creativity</x:v>
      </x:c>
      <x:c r="Q97" s="27" t="str">
        <x:v>Data Display Switcher</x:v>
      </x:c>
      <x:c r="R97" s="27" t="str">
        <x:v>Evidence Lab</x:v>
      </x:c>
      <x:c r="S97" s="27" t="str">
        <x:v>Blank</x:v>
      </x:c>
      <x:c r="T97" s="27" t="str">
        <x:v>Frequency, Scatter and the Shape of Data – use scatter graphs</x:v>
      </x:c>
      <x:c r="U97" s="27" t="str">
        <x:v>Annotated representation of use scatter graphs</x:v>
      </x:c>
      <x:c r="V97" s="27" t="str">
        <x:v>Learner can use scatter graphs and give a reason or check.</x:v>
      </x:c>
      <x:c r="W97" s="27" t="str">
        <x:v>Connect 5 / Explore 20 / Create or Apply 12 / Reflect 8</x:v>
      </x:c>
      <x:c r="X97" s="27" t="str">
        <x:v>Pearson Edexcel 4MA1 6.1-6.2</x:v>
      </x:c>
      <x:c r="Y97" s="27" t="str">
        <x:v>Moderate-High</x:v>
      </x:c>
      <x:c r="Z97" s="27" t="str">
        <x:v>Live, Asynchronous, Independent</x:v>
      </x:c>
      <x:c r="AA97" s="27" t="str">
        <x:v>Architecture mapped</x:v>
      </x:c>
      <x:c r="AB97" s="27" t="str">
        <x:v>Part of the canonical Y10 route. May pause or branch to a Reconnection lesson before returning.</x:v>
      </x:c>
    </x:row>
    <x:row r="98" ht="44" customHeight="1">
      <x:c r="A98" s="27" t="str">
        <x:v>NEO-MATH-Y10-095</x:v>
      </x:c>
      <x:c r="B98" s="27" t="n">
        <x:v>95</x:v>
      </x:c>
      <x:c r="C98" s="27" t="str">
        <x:v>NEO-MATH-Y10-07</x:v>
      </x:c>
      <x:c r="D98" s="27" t="n">
        <x:v>7</x:v>
      </x:c>
      <x:c r="E98" s="27" t="str">
        <x:v>Frequency, Scatter and the Shape of Data</x:v>
      </x:c>
      <x:c r="F98" s="27" t="str">
        <x:v>Data &amp; Uncertainty</x:v>
      </x:c>
      <x:c r="G98" s="27" t="n">
        <x:v>4</x:v>
      </x:c>
      <x:c r="H98" s="27" t="str">
        <x:v>Reconnection</x:v>
      </x:c>
      <x:c r="I98" s="27" t="str">
        <x:v>Reconnection: Comparing distributions</x:v>
      </x:c>
      <x:c r="J98" s="27" t="str">
        <x:v>Can one average speak for a whole group?</x:v>
      </x:c>
      <x:c r="K98" s="27" t="str">
        <x:v>compare centre and spread</x:v>
      </x:c>
      <x:c r="L98" s="27" t="str">
        <x:v>compare centre and spread</x:v>
      </x:c>
      <x:c r="M98" s="27" t="str">
        <x:v>Branch triggered when compare centre and spread is not yet secure enough for the current unit.</x:v>
      </x:c>
      <x:c r="N98" s="27" t="str">
        <x:v>REC-DAT-02</x:v>
      </x:c>
      <x:c r="O98" s="27" t="str">
        <x:v>Connection</x:v>
      </x:c>
      <x:c r="P98" s="27" t="str">
        <x:v>Reflection, Rest</x:v>
      </x:c>
      <x:c r="Q98" s="27" t="str">
        <x:v>Data Claim Comparator</x:v>
      </x:c>
      <x:c r="R98" s="27" t="str">
        <x:v>Evidence Lab</x:v>
      </x:c>
      <x:c r="S98" s="27" t="str">
        <x:v>Blank</x:v>
      </x:c>
      <x:c r="T98" s="27" t="str">
        <x:v>Comparing distributions targeted practice</x:v>
      </x:c>
      <x:c r="U98" s="27" t="str">
        <x:v>Short reconnection evidence: compare centre and spread</x:v>
      </x:c>
      <x:c r="V98" s="27" t="str">
        <x:v>Learner can compare centre and spread sufficiently to return to Frequency, Scatter and the Shape of Data.</x:v>
      </x:c>
      <x:c r="W98" s="27" t="str">
        <x:v>Arrive 5 / Reconnect 20 / Test 10 / Return link 10</x:v>
      </x:c>
      <x:c r="X98" s="27" t="str">
        <x:v>Pearson Edexcel 4MA1 6.1-6.2</x:v>
      </x:c>
      <x:c r="Y98" s="27" t="str">
        <x:v>Low-Moderate; targeted prerequisite repair</x:v>
      </x:c>
      <x:c r="Z98" s="27" t="str">
        <x:v>Live, Asynchronous, Independent</x:v>
      </x:c>
      <x:c r="AA98" s="27" t="str">
        <x:v>Architecture mapped</x:v>
      </x:c>
      <x:c r="AB98" s="27" t="str">
        <x:v>Not 'catch-up'. A targeted route from Year 8 learning that reconnects the learner to NEO-MATH-Y10-07.</x:v>
      </x:c>
    </x:row>
    <x:row r="99" ht="44" customHeight="1">
      <x:c r="A99" s="27" t="str">
        <x:v>NEO-MATH-Y10-096</x:v>
      </x:c>
      <x:c r="B99" s="27" t="n">
        <x:v>96</x:v>
      </x:c>
      <x:c r="C99" s="27" t="str">
        <x:v>NEO-MATH-Y10-07</x:v>
      </x:c>
      <x:c r="D99" s="27" t="n">
        <x:v>7</x:v>
      </x:c>
      <x:c r="E99" s="27" t="str">
        <x:v>Frequency, Scatter and the Shape of Data</x:v>
      </x:c>
      <x:c r="F99" s="27" t="str">
        <x:v>Data &amp; Uncertainty</x:v>
      </x:c>
      <x:c r="G99" s="27" t="n">
        <x:v>4</x:v>
      </x:c>
      <x:c r="H99" s="27" t="str">
        <x:v>Core</x:v>
      </x:c>
      <x:c r="I99" s="27" t="str">
        <x:v>Try one change: Interpret correlation</x:v>
      </x:c>
      <x:c r="J99" s="27" t="str">
        <x:v>What changes when I adjust one part of interpret correlation?</x:v>
      </x:c>
      <x:c r="K99" s="27" t="str">
        <x:v>interpret correlation</x:v>
      </x:c>
      <x:c r="L99" s="27" t="str">
        <x:v>interpret correlation</x:v>
      </x:c>
      <x:c r="M99" s="27" t="str">
        <x:v>use scatter graphs</x:v>
      </x:c>
      <x:c r="N99" s="27" t="str"/>
      <x:c r="O99" s="27" t="str">
        <x:v>Reflection</x:v>
      </x:c>
      <x:c r="P99" s="27" t="str">
        <x:v>Connection, Creativity</x:v>
      </x:c>
      <x:c r="Q99" s="27" t="str">
        <x:v>Data Display Switcher</x:v>
      </x:c>
      <x:c r="R99" s="27" t="str">
        <x:v>Evidence Lab</x:v>
      </x:c>
      <x:c r="S99" s="27" t="str">
        <x:v>Blank</x:v>
      </x:c>
      <x:c r="T99" s="27" t="str">
        <x:v>Frequency, Scatter and the Shape of Data – interpret correlation</x:v>
      </x:c>
      <x:c r="U99" s="27" t="str">
        <x:v>Annotated representation of interpret correlation</x:v>
      </x:c>
      <x:c r="V99" s="27" t="str">
        <x:v>Learner can interpret correlation and give a reason or check.</x:v>
      </x:c>
      <x:c r="W99" s="27" t="str">
        <x:v>Connect 5 / Explore 20 / Create or Apply 12 / Reflect 8</x:v>
      </x:c>
      <x:c r="X99" s="27" t="str">
        <x:v>Pearson Edexcel 4MA1 6.1-6.2</x:v>
      </x:c>
      <x:c r="Y99" s="27" t="str">
        <x:v>Moderate-High</x:v>
      </x:c>
      <x:c r="Z99" s="27" t="str">
        <x:v>Live, Asynchronous, Independent</x:v>
      </x:c>
      <x:c r="AA99" s="27" t="str">
        <x:v>Architecture mapped</x:v>
      </x:c>
      <x:c r="AB99" s="27" t="str">
        <x:v>Part of the canonical Y10 route. May pause or branch to a Reconnection lesson before returning.</x:v>
      </x:c>
    </x:row>
    <x:row r="100" ht="44" customHeight="1">
      <x:c r="A100" s="27" t="str">
        <x:v>NEO-MATH-Y10-097</x:v>
      </x:c>
      <x:c r="B100" s="27" t="n">
        <x:v>97</x:v>
      </x:c>
      <x:c r="C100" s="27" t="str">
        <x:v>NEO-MATH-Y10-07</x:v>
      </x:c>
      <x:c r="D100" s="27" t="n">
        <x:v>7</x:v>
      </x:c>
      <x:c r="E100" s="27" t="str">
        <x:v>Frequency, Scatter and the Shape of Data</x:v>
      </x:c>
      <x:c r="F100" s="27" t="str">
        <x:v>Data &amp; Uncertainty</x:v>
      </x:c>
      <x:c r="G100" s="27" t="n">
        <x:v>5</x:v>
      </x:c>
      <x:c r="H100" s="27" t="str">
        <x:v>Core</x:v>
      </x:c>
      <x:c r="I100" s="27" t="str">
        <x:v>Connect ideas: Choose averages</x:v>
      </x:c>
      <x:c r="J100" s="27" t="str">
        <x:v>How does choose averages connect to the earlier relationship?</x:v>
      </x:c>
      <x:c r="K100" s="27" t="str">
        <x:v>choose averages</x:v>
      </x:c>
      <x:c r="L100" s="27" t="str">
        <x:v>choose averages</x:v>
      </x:c>
      <x:c r="M100" s="27" t="str">
        <x:v>interpret correlation</x:v>
      </x:c>
      <x:c r="N100" s="27" t="str"/>
      <x:c r="O100" s="27" t="str">
        <x:v>Reflection</x:v>
      </x:c>
      <x:c r="P100" s="27" t="str">
        <x:v>Connection, Creativity</x:v>
      </x:c>
      <x:c r="Q100" s="27" t="str">
        <x:v>Data Display Switcher</x:v>
      </x:c>
      <x:c r="R100" s="27" t="str">
        <x:v>Evidence Lab</x:v>
      </x:c>
      <x:c r="S100" s="27" t="str">
        <x:v>Blank</x:v>
      </x:c>
      <x:c r="T100" s="27" t="str">
        <x:v>Frequency, Scatter and the Shape of Data – choose averages</x:v>
      </x:c>
      <x:c r="U100" s="27" t="str">
        <x:v>Annotated representation of choose averages</x:v>
      </x:c>
      <x:c r="V100" s="27" t="str">
        <x:v>Learner can choose averages and give a reason or check.</x:v>
      </x:c>
      <x:c r="W100" s="27" t="str">
        <x:v>Connect 8 / Explore 20 / Notice 10 / Reflect 7</x:v>
      </x:c>
      <x:c r="X100" s="27" t="str">
        <x:v>Pearson Edexcel 4MA1 6.1-6.2</x:v>
      </x:c>
      <x:c r="Y100" s="27" t="str">
        <x:v>Moderate-High</x:v>
      </x:c>
      <x:c r="Z100" s="27" t="str">
        <x:v>Live, Asynchronous, Independent</x:v>
      </x:c>
      <x:c r="AA100" s="27" t="str">
        <x:v>Architecture mapped</x:v>
      </x:c>
      <x:c r="AB100" s="27" t="str">
        <x:v>Part of the canonical Y10 route. May pause or branch to a Reconnection lesson before returning.</x:v>
      </x:c>
    </x:row>
    <x:row r="101" ht="44" customHeight="1">
      <x:c r="A101" s="27" t="str">
        <x:v>NEO-MATH-Y10-098</x:v>
      </x:c>
      <x:c r="B101" s="27" t="n">
        <x:v>98</x:v>
      </x:c>
      <x:c r="C101" s="27" t="str">
        <x:v>NEO-MATH-Y10-07</x:v>
      </x:c>
      <x:c r="D101" s="27" t="n">
        <x:v>7</x:v>
      </x:c>
      <x:c r="E101" s="27" t="str">
        <x:v>Frequency, Scatter and the Shape of Data</x:v>
      </x:c>
      <x:c r="F101" s="27" t="str">
        <x:v>Data &amp; Uncertainty</x:v>
      </x:c>
      <x:c r="G101" s="27" t="n">
        <x:v>6</x:v>
      </x:c>
      <x:c r="H101" s="27" t="str">
        <x:v>Core</x:v>
      </x:c>
      <x:c r="I101" s="27" t="str">
        <x:v>Repair a misconception: Critique graphical claims</x:v>
      </x:c>
      <x:c r="J101" s="27" t="str">
        <x:v>What tempting mistake can critique graphical claims create?</x:v>
      </x:c>
      <x:c r="K101" s="27" t="str">
        <x:v>critique graphical claims</x:v>
      </x:c>
      <x:c r="L101" s="27" t="str">
        <x:v>critique graphical claims</x:v>
      </x:c>
      <x:c r="M101" s="27" t="str">
        <x:v>choose averages</x:v>
      </x:c>
      <x:c r="N101" s="27" t="str"/>
      <x:c r="O101" s="27" t="str">
        <x:v>Reflection</x:v>
      </x:c>
      <x:c r="P101" s="27" t="str">
        <x:v>Connection, Creativity</x:v>
      </x:c>
      <x:c r="Q101" s="27" t="str">
        <x:v>Data Display Switcher</x:v>
      </x:c>
      <x:c r="R101" s="27" t="str">
        <x:v>Evidence Lab</x:v>
      </x:c>
      <x:c r="S101" s="27" t="str">
        <x:v>Blank</x:v>
      </x:c>
      <x:c r="T101" s="27" t="str">
        <x:v>Frequency, Scatter and the Shape of Data – critique graphical claims</x:v>
      </x:c>
      <x:c r="U101" s="27" t="str">
        <x:v>Corrected misconception note: critique graphical claims</x:v>
      </x:c>
      <x:c r="V101" s="27" t="str">
        <x:v>Learner can critique graphical claims and give a reason or check.</x:v>
      </x:c>
      <x:c r="W101" s="27" t="str">
        <x:v>Connect 5 / Explore 20 / Create or Apply 12 / Reflect 8</x:v>
      </x:c>
      <x:c r="X101" s="27" t="str">
        <x:v>Pearson Edexcel 4MA1 6.1-6.2</x:v>
      </x:c>
      <x:c r="Y101" s="27" t="str">
        <x:v>Moderate-High</x:v>
      </x:c>
      <x:c r="Z101" s="27" t="str">
        <x:v>Live, Asynchronous, Independent</x:v>
      </x:c>
      <x:c r="AA101" s="27" t="str">
        <x:v>Architecture mapped</x:v>
      </x:c>
      <x:c r="AB101" s="27" t="str">
        <x:v>Part of the canonical Y10 route. May pause or branch to a Reconnection lesson before returning.</x:v>
      </x:c>
    </x:row>
    <x:row r="102" ht="44" customHeight="1">
      <x:c r="A102" s="27" t="str">
        <x:v>NEO-MATH-Y10-099</x:v>
      </x:c>
      <x:c r="B102" s="27" t="n">
        <x:v>99</x:v>
      </x:c>
      <x:c r="C102" s="27" t="str">
        <x:v>NEO-MATH-Y10-07</x:v>
      </x:c>
      <x:c r="D102" s="27" t="n">
        <x:v>7</x:v>
      </x:c>
      <x:c r="E102" s="27" t="str">
        <x:v>Frequency, Scatter and the Shape of Data</x:v>
      </x:c>
      <x:c r="F102" s="27" t="str">
        <x:v>Data &amp; Uncertainty</x:v>
      </x:c>
      <x:c r="G102" s="27" t="n">
        <x:v>7</x:v>
      </x:c>
      <x:c r="H102" s="27" t="str">
        <x:v>Core</x:v>
      </x:c>
      <x:c r="I102" s="27" t="str">
        <x:v>Apply in context: Construct and interpret frequency diagrams</x:v>
      </x:c>
      <x:c r="J102" s="27" t="str">
        <x:v>Where might construct and interpret frequency diagrams help with a real decision?</x:v>
      </x:c>
      <x:c r="K102" s="27" t="str">
        <x:v>construct and interpret frequency diagrams</x:v>
      </x:c>
      <x:c r="L102" s="27" t="str">
        <x:v>construct and interpret frequency diagrams</x:v>
      </x:c>
      <x:c r="M102" s="27" t="str">
        <x:v>critique graphical claims</x:v>
      </x:c>
      <x:c r="N102" s="27" t="str"/>
      <x:c r="O102" s="27" t="str">
        <x:v>Reflection</x:v>
      </x:c>
      <x:c r="P102" s="27" t="str">
        <x:v>Connection, Creativity</x:v>
      </x:c>
      <x:c r="Q102" s="27" t="str">
        <x:v>Data Display Switcher</x:v>
      </x:c>
      <x:c r="R102" s="27" t="str">
        <x:v>Evidence Lab</x:v>
      </x:c>
      <x:c r="S102" s="27" t="str">
        <x:v>Blank</x:v>
      </x:c>
      <x:c r="T102" s="27" t="str">
        <x:v>Frequency, Scatter and the Shape of Data – construct and interpret frequency diagrams</x:v>
      </x:c>
      <x:c r="U102" s="27" t="str">
        <x:v>Short contextual application of construct and interpret frequency diagrams</x:v>
      </x:c>
      <x:c r="V102" s="27" t="str">
        <x:v>Learner can construct and interpret frequency diagrams and give a reason or check.</x:v>
      </x:c>
      <x:c r="W102" s="27" t="str">
        <x:v>Connect 5 / Explore 20 / Create or Apply 12 / Reflect 8</x:v>
      </x:c>
      <x:c r="X102" s="27" t="str">
        <x:v>Pearson Edexcel 4MA1 6.1-6.2</x:v>
      </x:c>
      <x:c r="Y102" s="27" t="str">
        <x:v>Moderate-High</x:v>
      </x:c>
      <x:c r="Z102" s="27" t="str">
        <x:v>Live, Asynchronous, Independent</x:v>
      </x:c>
      <x:c r="AA102" s="27" t="str">
        <x:v>Architecture mapped</x:v>
      </x:c>
      <x:c r="AB102" s="27" t="str">
        <x:v>Part of the canonical Y10 route. May pause or branch to a Reconnection lesson before returning.</x:v>
      </x:c>
    </x:row>
    <x:row r="103" ht="44" customHeight="1">
      <x:c r="A103" s="27" t="str">
        <x:v>NEO-MATH-Y10-100</x:v>
      </x:c>
      <x:c r="B103" s="27" t="n">
        <x:v>100</x:v>
      </x:c>
      <x:c r="C103" s="27" t="str">
        <x:v>NEO-MATH-Y10-07</x:v>
      </x:c>
      <x:c r="D103" s="27" t="n">
        <x:v>7</x:v>
      </x:c>
      <x:c r="E103" s="27" t="str">
        <x:v>Frequency, Scatter and the Shape of Data</x:v>
      </x:c>
      <x:c r="F103" s="27" t="str">
        <x:v>Data &amp; Uncertainty</x:v>
      </x:c>
      <x:c r="G103" s="27" t="n">
        <x:v>8</x:v>
      </x:c>
      <x:c r="H103" s="27" t="str">
        <x:v>Core</x:v>
      </x:c>
      <x:c r="I103" s="27" t="str">
        <x:v>Model and test: Compare distributions</x:v>
      </x:c>
      <x:c r="J103" s="27" t="str">
        <x:v>Can I build a model using compare distributions and test it?</x:v>
      </x:c>
      <x:c r="K103" s="27" t="str">
        <x:v>compare distributions</x:v>
      </x:c>
      <x:c r="L103" s="27" t="str">
        <x:v>compare distributions</x:v>
      </x:c>
      <x:c r="M103" s="27" t="str">
        <x:v>construct and interpret frequency diagrams</x:v>
      </x:c>
      <x:c r="N103" s="27" t="str"/>
      <x:c r="O103" s="27" t="str">
        <x:v>Reflection</x:v>
      </x:c>
      <x:c r="P103" s="27" t="str">
        <x:v>Connection, Creativity</x:v>
      </x:c>
      <x:c r="Q103" s="27" t="str">
        <x:v>Data Display Switcher</x:v>
      </x:c>
      <x:c r="R103" s="27" t="str">
        <x:v>Evidence Lab</x:v>
      </x:c>
      <x:c r="S103" s="27" t="str">
        <x:v>Blank</x:v>
      </x:c>
      <x:c r="T103" s="27" t="str">
        <x:v>Frequency, Scatter and the Shape of Data – compare distributions</x:v>
      </x:c>
      <x:c r="U103" s="27" t="str">
        <x:v>Tested model using compare distributions</x:v>
      </x:c>
      <x:c r="V103" s="27" t="str">
        <x:v>Learner can compare distributions and give a reason or check.</x:v>
      </x:c>
      <x:c r="W103" s="27" t="str">
        <x:v>Connect 5 / Explore 20 / Create or Apply 12 / Reflect 8</x:v>
      </x:c>
      <x:c r="X103" s="27" t="str">
        <x:v>Pearson Edexcel 4MA1 6.1-6.2</x:v>
      </x:c>
      <x:c r="Y103" s="27" t="str">
        <x:v>Moderate-High</x:v>
      </x:c>
      <x:c r="Z103" s="27" t="str">
        <x:v>Live, Asynchronous, Independent</x:v>
      </x:c>
      <x:c r="AA103" s="27" t="str">
        <x:v>Architecture mapped</x:v>
      </x:c>
      <x:c r="AB103" s="27" t="str">
        <x:v>Part of the canonical Y10 route. May pause or branch to a Reconnection lesson before returning.</x:v>
      </x:c>
    </x:row>
    <x:row r="104" ht="44" customHeight="1">
      <x:c r="A104" s="27" t="str">
        <x:v>NEO-MATH-Y10-101</x:v>
      </x:c>
      <x:c r="B104" s="27" t="n">
        <x:v>101</x:v>
      </x:c>
      <x:c r="C104" s="27" t="str">
        <x:v>NEO-MATH-Y10-07</x:v>
      </x:c>
      <x:c r="D104" s="27" t="n">
        <x:v>7</x:v>
      </x:c>
      <x:c r="E104" s="27" t="str">
        <x:v>Frequency, Scatter and the Shape of Data</x:v>
      </x:c>
      <x:c r="F104" s="27" t="str">
        <x:v>Data &amp; Uncertainty</x:v>
      </x:c>
      <x:c r="G104" s="27" t="n">
        <x:v>9</x:v>
      </x:c>
      <x:c r="H104" s="27" t="str">
        <x:v>Core</x:v>
      </x:c>
      <x:c r="I104" s="27" t="str">
        <x:v>Compare strategies: Use scatter graphs</x:v>
      </x:c>
      <x:c r="J104" s="27" t="str">
        <x:v>Which route through use scatter graphs is clearest or most efficient?</x:v>
      </x:c>
      <x:c r="K104" s="27" t="str">
        <x:v>use scatter graphs</x:v>
      </x:c>
      <x:c r="L104" s="27" t="str">
        <x:v>use scatter graphs</x:v>
      </x:c>
      <x:c r="M104" s="27" t="str">
        <x:v>compare distributions</x:v>
      </x:c>
      <x:c r="N104" s="27" t="str"/>
      <x:c r="O104" s="27" t="str">
        <x:v>Reflection</x:v>
      </x:c>
      <x:c r="P104" s="27" t="str">
        <x:v>Connection, Creativity</x:v>
      </x:c>
      <x:c r="Q104" s="27" t="str">
        <x:v>Data Display Switcher</x:v>
      </x:c>
      <x:c r="R104" s="27" t="str">
        <x:v>Evidence Lab</x:v>
      </x:c>
      <x:c r="S104" s="27" t="str">
        <x:v>Blank</x:v>
      </x:c>
      <x:c r="T104" s="27" t="str">
        <x:v>Frequency, Scatter and the Shape of Data – use scatter graphs</x:v>
      </x:c>
      <x:c r="U104" s="27" t="str">
        <x:v>Two-route comparison for use scatter graphs</x:v>
      </x:c>
      <x:c r="V104" s="27" t="str">
        <x:v>Learner can use scatter graphs and give a reason or check.</x:v>
      </x:c>
      <x:c r="W104" s="27" t="str">
        <x:v>Connect 5 / Explore 20 / Create or Apply 12 / Reflect 8</x:v>
      </x:c>
      <x:c r="X104" s="27" t="str">
        <x:v>Pearson Edexcel 4MA1 6.1-6.2</x:v>
      </x:c>
      <x:c r="Y104" s="27" t="str">
        <x:v>Moderate-High</x:v>
      </x:c>
      <x:c r="Z104" s="27" t="str">
        <x:v>Live, Asynchronous, Independent</x:v>
      </x:c>
      <x:c r="AA104" s="27" t="str">
        <x:v>Architecture mapped</x:v>
      </x:c>
      <x:c r="AB104" s="27" t="str">
        <x:v>Part of the canonical Y10 route. May pause or branch to a Reconnection lesson before returning.</x:v>
      </x:c>
    </x:row>
    <x:row r="105" ht="44" customHeight="1">
      <x:c r="A105" s="27" t="str">
        <x:v>NEO-MATH-Y10-102</x:v>
      </x:c>
      <x:c r="B105" s="27" t="n">
        <x:v>102</x:v>
      </x:c>
      <x:c r="C105" s="27" t="str">
        <x:v>NEO-MATH-Y10-07</x:v>
      </x:c>
      <x:c r="D105" s="27" t="n">
        <x:v>7</x:v>
      </x:c>
      <x:c r="E105" s="27" t="str">
        <x:v>Frequency, Scatter and the Shape of Data</x:v>
      </x:c>
      <x:c r="F105" s="27" t="str">
        <x:v>Data &amp; Uncertainty</x:v>
      </x:c>
      <x:c r="G105" s="27" t="n">
        <x:v>11</x:v>
      </x:c>
      <x:c r="H105" s="27" t="str">
        <x:v>Qualification Practice</x:v>
      </x:c>
      <x:c r="I105" s="27" t="str">
        <x:v>Assessment translation 1: Construct and interpret frequency diagrams</x:v>
      </x:c>
      <x:c r="J105" s="27" t="str">
        <x:v>How might a qualification question hide the need to construct and interpret frequency diagrams?</x:v>
      </x:c>
      <x:c r="K105" s="27" t="str">
        <x:v>translate assessed wording into the canonical move: construct and interpret frequency diagrams</x:v>
      </x:c>
      <x:c r="L105" s="27" t="str">
        <x:v>construct and interpret frequency diagrams</x:v>
      </x:c>
      <x:c r="M105" s="27" t="str">
        <x:v>relevant core concept plus question-reading routine</x:v>
      </x:c>
      <x:c r="N105" s="27" t="str">
        <x:v>REC-SRL-01 if wording blocks mathematical access</x:v>
      </x:c>
      <x:c r="O105" s="27" t="str">
        <x:v>Reflection</x:v>
      </x:c>
      <x:c r="P105" s="27" t="str">
        <x:v>Connection, Rest</x:v>
      </x:c>
      <x:c r="Q105" s="27" t="str">
        <x:v>Question Translation Studio</x:v>
      </x:c>
      <x:c r="R105" s="27" t="str">
        <x:v>Navigation Tool</x:v>
      </x:c>
      <x:c r="S105" s="27" t="str">
        <x:v>Blank</x:v>
      </x:c>
      <x:c r="T105" s="27" t="str">
        <x:v>4MA1-style mixed questions: construct and interpret frequency diagrams</x:v>
      </x:c>
      <x:c r="U105" s="27" t="str">
        <x:v>Annotated assessed-world question showing givens, goal, route and check for construct and interpret frequency diagrams</x:v>
      </x:c>
      <x:c r="V105" s="27" t="str">
        <x:v>Learner identifies the mathematics, selects a route and checks a solution involving construct and interpret frequency diagrams.</x:v>
      </x:c>
      <x:c r="W105" s="27" t="str">
        <x:v>Decode 10 / Solve 20 / Compare 10 / Reflect 5</x:v>
      </x:c>
      <x:c r="X105" s="27" t="str">
        <x:v>Pearson Edexcel 4MA1 6.1-6.2</x:v>
      </x:c>
      <x:c r="Y105" s="27" t="str">
        <x:v>Moderate-High; wording chunked before calculation</x:v>
      </x:c>
      <x:c r="Z105" s="27" t="str">
        <x:v>Live, Asynchronous, Independent</x:v>
      </x:c>
      <x:c r="AA105" s="27" t="str">
        <x:v>Architecture mapped</x:v>
      </x:c>
      <x:c r="AB105" s="27" t="str">
        <x:v>Qualification overlay lesson. Exam wording is translated into mathematics already present in the canonical spine.</x:v>
      </x:c>
    </x:row>
    <x:row r="106" ht="44" customHeight="1">
      <x:c r="A106" s="27" t="str">
        <x:v>NEO-MATH-Y10-103</x:v>
      </x:c>
      <x:c r="B106" s="27" t="n">
        <x:v>103</x:v>
      </x:c>
      <x:c r="C106" s="27" t="str">
        <x:v>NEO-MATH-Y10-07</x:v>
      </x:c>
      <x:c r="D106" s="27" t="n">
        <x:v>7</x:v>
      </x:c>
      <x:c r="E106" s="27" t="str">
        <x:v>Frequency, Scatter and the Shape of Data</x:v>
      </x:c>
      <x:c r="F106" s="27" t="str">
        <x:v>Data &amp; Uncertainty</x:v>
      </x:c>
      <x:c r="G106" s="27" t="n">
        <x:v>10</x:v>
      </x:c>
      <x:c r="H106" s="27" t="str">
        <x:v>Core</x:v>
      </x:c>
      <x:c r="I106" s="27" t="str">
        <x:v>Practice with choice: Interpret correlation</x:v>
      </x:c>
      <x:c r="J106" s="27" t="str">
        <x:v>Can I use interpret correlation without being told the method?</x:v>
      </x:c>
      <x:c r="K106" s="27" t="str">
        <x:v>interpret correlation</x:v>
      </x:c>
      <x:c r="L106" s="27" t="str">
        <x:v>interpret correlation</x:v>
      </x:c>
      <x:c r="M106" s="27" t="str">
        <x:v>use scatter graphs</x:v>
      </x:c>
      <x:c r="N106" s="27" t="str"/>
      <x:c r="O106" s="27" t="str">
        <x:v>Reflection</x:v>
      </x:c>
      <x:c r="P106" s="27" t="str">
        <x:v>Connection, Creativity</x:v>
      </x:c>
      <x:c r="Q106" s="27" t="str">
        <x:v>Data Display Switcher</x:v>
      </x:c>
      <x:c r="R106" s="27" t="str">
        <x:v>Evidence Lab</x:v>
      </x:c>
      <x:c r="S106" s="27" t="str">
        <x:v>Blank</x:v>
      </x:c>
      <x:c r="T106" s="27" t="str">
        <x:v>Frequency, Scatter and the Shape of Data – interpret correlation</x:v>
      </x:c>
      <x:c r="U106" s="27" t="str">
        <x:v>Practice Companion evidence for interpret correlation</x:v>
      </x:c>
      <x:c r="V106" s="27" t="str">
        <x:v>Learner can interpret correlation and give a reason or check.</x:v>
      </x:c>
      <x:c r="W106" s="27" t="str">
        <x:v>Reconnect 5 / Practice 25 / Check 10 / Reflect 5</x:v>
      </x:c>
      <x:c r="X106" s="27" t="str">
        <x:v>Pearson Edexcel 4MA1 6.1-6.2</x:v>
      </x:c>
      <x:c r="Y106" s="27" t="str">
        <x:v>Moderate-High</x:v>
      </x:c>
      <x:c r="Z106" s="27" t="str">
        <x:v>Live, Asynchronous, Independent</x:v>
      </x:c>
      <x:c r="AA106" s="27" t="str">
        <x:v>Architecture mapped</x:v>
      </x:c>
      <x:c r="AB106" s="27" t="str">
        <x:v>Part of the canonical Y10 route. May pause or branch to a Reconnection lesson before returning.</x:v>
      </x:c>
    </x:row>
    <x:row r="107" ht="44" customHeight="1">
      <x:c r="A107" s="27" t="str">
        <x:v>NEO-MATH-Y10-104</x:v>
      </x:c>
      <x:c r="B107" s="27" t="n">
        <x:v>104</x:v>
      </x:c>
      <x:c r="C107" s="27" t="str">
        <x:v>NEO-MATH-Y10-07</x:v>
      </x:c>
      <x:c r="D107" s="27" t="n">
        <x:v>7</x:v>
      </x:c>
      <x:c r="E107" s="27" t="str">
        <x:v>Frequency, Scatter and the Shape of Data</x:v>
      </x:c>
      <x:c r="F107" s="27" t="str">
        <x:v>Data &amp; Uncertainty</x:v>
      </x:c>
      <x:c r="G107" s="27" t="n">
        <x:v>11</x:v>
      </x:c>
      <x:c r="H107" s="27" t="str">
        <x:v>Core</x:v>
      </x:c>
      <x:c r="I107" s="27" t="str">
        <x:v>Qualification translation: Choose averages</x:v>
      </x:c>
      <x:c r="J107" s="27" t="str">
        <x:v>How might an assessed question disguise choose averages?</x:v>
      </x:c>
      <x:c r="K107" s="27" t="str">
        <x:v>choose averages</x:v>
      </x:c>
      <x:c r="L107" s="27" t="str">
        <x:v>choose averages</x:v>
      </x:c>
      <x:c r="M107" s="27" t="str">
        <x:v>interpret correlation</x:v>
      </x:c>
      <x:c r="N107" s="27" t="str"/>
      <x:c r="O107" s="27" t="str">
        <x:v>Reflection</x:v>
      </x:c>
      <x:c r="P107" s="27" t="str">
        <x:v>Connection, Creativity</x:v>
      </x:c>
      <x:c r="Q107" s="27" t="str">
        <x:v>Data Display Switcher</x:v>
      </x:c>
      <x:c r="R107" s="27" t="str">
        <x:v>Evidence Lab</x:v>
      </x:c>
      <x:c r="S107" s="27" t="str">
        <x:v>Blank</x:v>
      </x:c>
      <x:c r="T107" s="27" t="str">
        <x:v>Frequency, Scatter and the Shape of Data – choose averages</x:v>
      </x:c>
      <x:c r="U107" s="27" t="str">
        <x:v>Annotated question translation for choose averages</x:v>
      </x:c>
      <x:c r="V107" s="27" t="str">
        <x:v>Learner can choose averages and give a reason or check.</x:v>
      </x:c>
      <x:c r="W107" s="27" t="str">
        <x:v>Translate 10 / Solve 20 / Compare 10 / Reflect 5</x:v>
      </x:c>
      <x:c r="X107" s="27" t="str">
        <x:v>Pearson Edexcel 4MA1 6.1-6.2</x:v>
      </x:c>
      <x:c r="Y107" s="27" t="str">
        <x:v>Moderate-High</x:v>
      </x:c>
      <x:c r="Z107" s="27" t="str">
        <x:v>Live, Asynchronous, Independent</x:v>
      </x:c>
      <x:c r="AA107" s="27" t="str">
        <x:v>Architecture mapped</x:v>
      </x:c>
      <x:c r="AB107" s="27" t="str">
        <x:v>Part of the canonical Y10 route. May pause or branch to a Reconnection lesson before returning.</x:v>
      </x:c>
    </x:row>
    <x:row r="108" ht="44" customHeight="1">
      <x:c r="A108" s="27" t="str">
        <x:v>NEO-MATH-Y10-105</x:v>
      </x:c>
      <x:c r="B108" s="27" t="n">
        <x:v>105</x:v>
      </x:c>
      <x:c r="C108" s="27" t="str">
        <x:v>NEO-MATH-Y10-07</x:v>
      </x:c>
      <x:c r="D108" s="27" t="n">
        <x:v>7</x:v>
      </x:c>
      <x:c r="E108" s="27" t="str">
        <x:v>Frequency, Scatter and the Shape of Data</x:v>
      </x:c>
      <x:c r="F108" s="27" t="str">
        <x:v>Data &amp; Uncertainty</x:v>
      </x:c>
      <x:c r="G108" s="27" t="n">
        <x:v>12</x:v>
      </x:c>
      <x:c r="H108" s="27" t="str">
        <x:v>Core</x:v>
      </x:c>
      <x:c r="I108" s="27" t="str">
        <x:v>Mastery checkpoint: Critique graphical claims</x:v>
      </x:c>
      <x:c r="J108" s="27" t="str">
        <x:v>What can I now explain, apply and check about critique graphical claims?</x:v>
      </x:c>
      <x:c r="K108" s="27" t="str">
        <x:v>critique graphical claims</x:v>
      </x:c>
      <x:c r="L108" s="27" t="str">
        <x:v>critique graphical claims</x:v>
      </x:c>
      <x:c r="M108" s="27" t="str">
        <x:v>choose averages</x:v>
      </x:c>
      <x:c r="N108" s="27" t="str"/>
      <x:c r="O108" s="27" t="str">
        <x:v>Reflection</x:v>
      </x:c>
      <x:c r="P108" s="27" t="str">
        <x:v>Connection, Creativity</x:v>
      </x:c>
      <x:c r="Q108" s="27" t="str">
        <x:v>Data Display Switcher</x:v>
      </x:c>
      <x:c r="R108" s="27" t="str">
        <x:v>Evidence Lab</x:v>
      </x:c>
      <x:c r="S108" s="27" t="str">
        <x:v>Blank</x:v>
      </x:c>
      <x:c r="T108" s="27" t="str">
        <x:v>Frequency, Scatter and the Shape of Data – critique graphical claims</x:v>
      </x:c>
      <x:c r="U108" s="27" t="str">
        <x:v>Data Communication Brief</x:v>
      </x:c>
      <x:c r="V108" s="27" t="str">
        <x:v>Learner can critique graphical claims and give a reason or check.</x:v>
      </x:c>
      <x:c r="W108" s="27" t="str">
        <x:v>Settle 5 / Choose evidence 25 / Mastery check 10 / Reflect 5</x:v>
      </x:c>
      <x:c r="X108" s="27" t="str">
        <x:v>Pearson Edexcel 4MA1 6.1-6.2</x:v>
      </x:c>
      <x:c r="Y108" s="27" t="str">
        <x:v>Moderate-High</x:v>
      </x:c>
      <x:c r="Z108" s="27" t="str">
        <x:v>Live, Asynchronous, Independent</x:v>
      </x:c>
      <x:c r="AA108" s="27" t="str">
        <x:v>Architecture mapped</x:v>
      </x:c>
      <x:c r="AB108" s="27" t="str">
        <x:v>Part of the canonical Y10 route. May pause or branch to a Reconnection lesson before returning.</x:v>
      </x:c>
    </x:row>
    <x:row r="109" ht="44" customHeight="1">
      <x:c r="A109" s="27" t="str">
        <x:v>NEO-MATH-Y10-106</x:v>
      </x:c>
      <x:c r="B109" s="27" t="n">
        <x:v>106</x:v>
      </x:c>
      <x:c r="C109" s="27" t="str">
        <x:v>NEO-MATH-Y10-07</x:v>
      </x:c>
      <x:c r="D109" s="27" t="n">
        <x:v>7</x:v>
      </x:c>
      <x:c r="E109" s="27" t="str">
        <x:v>Frequency, Scatter and the Shape of Data</x:v>
      </x:c>
      <x:c r="F109" s="27" t="str">
        <x:v>Data &amp; Uncertainty</x:v>
      </x:c>
      <x:c r="G109" s="27" t="n">
        <x:v>15</x:v>
      </x:c>
      <x:c r="H109" s="27" t="str">
        <x:v>Portfolio / Pathway Review</x:v>
      </x:c>
      <x:c r="I109" s="27" t="str">
        <x:v>Evidence and next step: Frequency, Scatter and the Shape of Data</x:v>
      </x:c>
      <x:c r="J109" s="27" t="str">
        <x:v>What evidence shows what I can now do—and what would be a useful next mathematical move?</x:v>
      </x:c>
      <x:c r="K109" s="27" t="str">
        <x:v>select, annotate and reflect on unit evidence</x:v>
      </x:c>
      <x:c r="L109" s="27" t="str">
        <x:v>unit-level synthesis, communication and self-regulation</x:v>
      </x:c>
      <x:c r="M109" s="27" t="str">
        <x:v>any meaningful participation or evidence from the unit</x:v>
      </x:c>
      <x:c r="N109" s="27" t="str">
        <x:v>learner-specific</x:v>
      </x:c>
      <x:c r="O109" s="27" t="str">
        <x:v>Reflection</x:v>
      </x:c>
      <x:c r="P109" s="27" t="str">
        <x:v>Rest, Connection</x:v>
      </x:c>
      <x:c r="Q109" s="27" t="str">
        <x:v>Portfolio Evidence Selector</x:v>
      </x:c>
      <x:c r="R109" s="27" t="str">
        <x:v>Navigation Tool</x:v>
      </x:c>
      <x:c r="S109" s="27" t="str">
        <x:v>Blank</x:v>
      </x:c>
      <x:c r="T109" s="27" t="str">
        <x:v>learner-selected gap or stretch</x:v>
      </x:c>
      <x:c r="U109" s="27" t="str">
        <x:v>Data Communication Brief</x:v>
      </x:c>
      <x:c r="V109" s="27" t="str">
        <x:v>Learner can point to evidence for current mastery and agree a next step.</x:v>
      </x:c>
      <x:c r="W109" s="27" t="str">
        <x:v>Settle 5 / Select 10 / Annotate 15 / Strengthen 10 / Next step 5</x:v>
      </x:c>
      <x:c r="X109" s="27" t="str">
        <x:v>Pearson Edexcel 4MA1 6.1-6.2</x:v>
      </x:c>
      <x:c r="Y109" s="27" t="str">
        <x:v>Low-Moderate; learner choice</x:v>
      </x:c>
      <x:c r="Z109" s="27" t="str">
        <x:v>Live, Asynchronous, Independent</x:v>
      </x:c>
      <x:c r="AA109" s="27" t="str">
        <x:v>Architecture mapped</x:v>
      </x:c>
      <x:c r="AB109" s="27" t="str">
        <x:v>Portfolio and pathway review. Completion volume is not used as a proxy for mastery.</x:v>
      </x:c>
    </x:row>
    <x:row r="110" ht="44" customHeight="1">
      <x:c r="A110" s="27" t="str">
        <x:v>NEO-MATH-Y10-107</x:v>
      </x:c>
      <x:c r="B110" s="27" t="n">
        <x:v>107</x:v>
      </x:c>
      <x:c r="C110" s="27" t="str">
        <x:v>NEO-MATH-Y10-08</x:v>
      </x:c>
      <x:c r="D110" s="27" t="n">
        <x:v>8</x:v>
      </x:c>
      <x:c r="E110" s="27" t="str">
        <x:v>Bounds and the Mathematics of Nearly</x:v>
      </x:c>
      <x:c r="F110" s="27" t="str">
        <x:v>Number Sense</x:v>
      </x:c>
      <x:c r="G110" s="27" t="n">
        <x:v>1</x:v>
      </x:c>
      <x:c r="H110" s="27" t="str">
        <x:v>Core</x:v>
      </x:c>
      <x:c r="I110" s="27" t="str">
        <x:v>Connect &amp; notice: Identify rounding intervals</x:v>
      </x:c>
      <x:c r="J110" s="27" t="str">
        <x:v>What do I already notice about identify rounding intervals?</x:v>
      </x:c>
      <x:c r="K110" s="27" t="str">
        <x:v>identify rounding intervals</x:v>
      </x:c>
      <x:c r="L110" s="27" t="str">
        <x:v>identify rounding intervals</x:v>
      </x:c>
      <x:c r="M110" s="27" t="str">
        <x:v>learner entry knowledge and representation confidence</x:v>
      </x:c>
      <x:c r="N110" s="27" t="str"/>
      <x:c r="O110" s="27" t="str">
        <x:v>Rest</x:v>
      </x:c>
      <x:c r="P110" s="27" t="str">
        <x:v>Reflection, Connection</x:v>
      </x:c>
      <x:c r="Q110" s="27" t="str">
        <x:v>Bounds Interval Visualiser</x:v>
      </x:c>
      <x:c r="R110" s="27" t="str">
        <x:v>Number Explorer</x:v>
      </x:c>
      <x:c r="S110" s="27" t="str">
        <x:v>Double number line</x:v>
      </x:c>
      <x:c r="T110" s="27" t="str">
        <x:v>Bounds and the Mathematics of Nearly – identify rounding intervals</x:v>
      </x:c>
      <x:c r="U110" s="27" t="str">
        <x:v>Scratchpad prediction or notice about identify rounding intervals</x:v>
      </x:c>
      <x:c r="V110" s="27" t="str">
        <x:v>Learner can identify rounding intervals and give a reason or check.</x:v>
      </x:c>
      <x:c r="W110" s="27" t="str">
        <x:v>Connect 8 / Explore 20 / Notice 10 / Reflect 7</x:v>
      </x:c>
      <x:c r="X110" s="27" t="str">
        <x:v>Pearson Edexcel 4MA1 1.8</x:v>
      </x:c>
      <x:c r="Y110" s="27" t="str">
        <x:v>Moderate</x:v>
      </x:c>
      <x:c r="Z110" s="27" t="str">
        <x:v>Live, Asynchronous, Independent</x:v>
      </x:c>
      <x:c r="AA110" s="27" t="str">
        <x:v>Architecture mapped</x:v>
      </x:c>
      <x:c r="AB110" s="27" t="str">
        <x:v>Part of the canonical Y10 route. May pause or branch to a Reconnection lesson before returning.</x:v>
      </x:c>
    </x:row>
    <x:row r="111" ht="44" customHeight="1">
      <x:c r="A111" s="27" t="str">
        <x:v>NEO-MATH-Y10-108</x:v>
      </x:c>
      <x:c r="B111" s="27" t="n">
        <x:v>108</x:v>
      </x:c>
      <x:c r="C111" s="27" t="str">
        <x:v>NEO-MATH-Y10-08</x:v>
      </x:c>
      <x:c r="D111" s="27" t="n">
        <x:v>8</x:v>
      </x:c>
      <x:c r="E111" s="27" t="str">
        <x:v>Bounds and the Mathematics of Nearly</x:v>
      </x:c>
      <x:c r="F111" s="27" t="str">
        <x:v>Number Sense</x:v>
      </x:c>
      <x:c r="G111" s="27" t="n">
        <x:v>2</x:v>
      </x:c>
      <x:c r="H111" s="27" t="str">
        <x:v>Core</x:v>
      </x:c>
      <x:c r="I111" s="27" t="str">
        <x:v>Build the idea: Find upper and lower bounds</x:v>
      </x:c>
      <x:c r="J111" s="27" t="str">
        <x:v>What does find upper and lower bounds mean before I use a procedure?</x:v>
      </x:c>
      <x:c r="K111" s="27" t="str">
        <x:v>find upper and lower bounds</x:v>
      </x:c>
      <x:c r="L111" s="27" t="str">
        <x:v>find upper and lower bounds</x:v>
      </x:c>
      <x:c r="M111" s="27" t="str">
        <x:v>identify rounding intervals</x:v>
      </x:c>
      <x:c r="N111" s="27" t="str"/>
      <x:c r="O111" s="27" t="str">
        <x:v>Rest</x:v>
      </x:c>
      <x:c r="P111" s="27" t="str">
        <x:v>Reflection, Connection</x:v>
      </x:c>
      <x:c r="Q111" s="27" t="str">
        <x:v>Bounds Interval Visualiser</x:v>
      </x:c>
      <x:c r="R111" s="27" t="str">
        <x:v>Number Explorer</x:v>
      </x:c>
      <x:c r="S111" s="27" t="str">
        <x:v>Double number line</x:v>
      </x:c>
      <x:c r="T111" s="27" t="str">
        <x:v>Bounds and the Mathematics of Nearly – find upper and lower bounds</x:v>
      </x:c>
      <x:c r="U111" s="27" t="str">
        <x:v>Annotated representation of find upper and lower bounds</x:v>
      </x:c>
      <x:c r="V111" s="27" t="str">
        <x:v>Learner can find upper and lower bounds and give a reason or check.</x:v>
      </x:c>
      <x:c r="W111" s="27" t="str">
        <x:v>Connect 5 / Explore 20 / Create or Apply 12 / Reflect 8</x:v>
      </x:c>
      <x:c r="X111" s="27" t="str">
        <x:v>Pearson Edexcel 4MA1 1.8</x:v>
      </x:c>
      <x:c r="Y111" s="27" t="str">
        <x:v>Moderate</x:v>
      </x:c>
      <x:c r="Z111" s="27" t="str">
        <x:v>Live, Asynchronous, Independent</x:v>
      </x:c>
      <x:c r="AA111" s="27" t="str">
        <x:v>Architecture mapped</x:v>
      </x:c>
      <x:c r="AB111" s="27" t="str">
        <x:v>Part of the canonical Y10 route. May pause or branch to a Reconnection lesson before returning.</x:v>
      </x:c>
    </x:row>
    <x:row r="112" ht="44" customHeight="1">
      <x:c r="A112" s="27" t="str">
        <x:v>NEO-MATH-Y10-109</x:v>
      </x:c>
      <x:c r="B112" s="27" t="n">
        <x:v>109</x:v>
      </x:c>
      <x:c r="C112" s="27" t="str">
        <x:v>NEO-MATH-Y10-08</x:v>
      </x:c>
      <x:c r="D112" s="27" t="n">
        <x:v>8</x:v>
      </x:c>
      <x:c r="E112" s="27" t="str">
        <x:v>Bounds and the Mathematics of Nearly</x:v>
      </x:c>
      <x:c r="F112" s="27" t="str">
        <x:v>Number Sense</x:v>
      </x:c>
      <x:c r="G112" s="27" t="n">
        <x:v>3</x:v>
      </x:c>
      <x:c r="H112" s="27" t="str">
        <x:v>Core</x:v>
      </x:c>
      <x:c r="I112" s="27" t="str">
        <x:v>Represent it: Calculate with bounds at tier</x:v>
      </x:c>
      <x:c r="J112" s="27" t="str">
        <x:v>How can I show calculate with bounds at tier in more than one way?</x:v>
      </x:c>
      <x:c r="K112" s="27" t="str">
        <x:v>calculate with bounds at tier</x:v>
      </x:c>
      <x:c r="L112" s="27" t="str">
        <x:v>calculate with bounds at tier</x:v>
      </x:c>
      <x:c r="M112" s="27" t="str">
        <x:v>find upper and lower bounds</x:v>
      </x:c>
      <x:c r="N112" s="27" t="str"/>
      <x:c r="O112" s="27" t="str">
        <x:v>Rest</x:v>
      </x:c>
      <x:c r="P112" s="27" t="str">
        <x:v>Reflection, Connection</x:v>
      </x:c>
      <x:c r="Q112" s="27" t="str">
        <x:v>Bounds Interval Visualiser</x:v>
      </x:c>
      <x:c r="R112" s="27" t="str">
        <x:v>Number Explorer</x:v>
      </x:c>
      <x:c r="S112" s="27" t="str">
        <x:v>Double number line</x:v>
      </x:c>
      <x:c r="T112" s="27" t="str">
        <x:v>Bounds and the Mathematics of Nearly – calculate with bounds at tier</x:v>
      </x:c>
      <x:c r="U112" s="27" t="str">
        <x:v>Annotated representation of calculate with bounds at tier</x:v>
      </x:c>
      <x:c r="V112" s="27" t="str">
        <x:v>Learner can calculate with bounds at tier and give a reason or check.</x:v>
      </x:c>
      <x:c r="W112" s="27" t="str">
        <x:v>Connect 5 / Explore 20 / Create or Apply 12 / Reflect 8</x:v>
      </x:c>
      <x:c r="X112" s="27" t="str">
        <x:v>Pearson Edexcel 4MA1 1.8</x:v>
      </x:c>
      <x:c r="Y112" s="27" t="str">
        <x:v>Moderate</x:v>
      </x:c>
      <x:c r="Z112" s="27" t="str">
        <x:v>Live, Asynchronous, Independent</x:v>
      </x:c>
      <x:c r="AA112" s="27" t="str">
        <x:v>Architecture mapped</x:v>
      </x:c>
      <x:c r="AB112" s="27" t="str">
        <x:v>Part of the canonical Y10 route. May pause or branch to a Reconnection lesson before returning.</x:v>
      </x:c>
    </x:row>
    <x:row r="113" ht="44" customHeight="1">
      <x:c r="A113" s="27" t="str">
        <x:v>NEO-MATH-Y10-110</x:v>
      </x:c>
      <x:c r="B113" s="27" t="n">
        <x:v>110</x:v>
      </x:c>
      <x:c r="C113" s="27" t="str">
        <x:v>NEO-MATH-Y10-08</x:v>
      </x:c>
      <x:c r="D113" s="27" t="n">
        <x:v>8</x:v>
      </x:c>
      <x:c r="E113" s="27" t="str">
        <x:v>Bounds and the Mathematics of Nearly</x:v>
      </x:c>
      <x:c r="F113" s="27" t="str">
        <x:v>Number Sense</x:v>
      </x:c>
      <x:c r="G113" s="27" t="n">
        <x:v>4</x:v>
      </x:c>
      <x:c r="H113" s="27" t="str">
        <x:v>Reconnection</x:v>
      </x:c>
      <x:c r="I113" s="27" t="str">
        <x:v>Reconnection: Place value and magnitude</x:v>
      </x:c>
      <x:c r="J113" s="27" t="str">
        <x:v>Can I tell which number is really larger?</x:v>
      </x:c>
      <x:c r="K113" s="27" t="str">
        <x:v>place value with integers and decimals</x:v>
      </x:c>
      <x:c r="L113" s="27" t="str">
        <x:v>place value with integers and decimals</x:v>
      </x:c>
      <x:c r="M113" s="27" t="str">
        <x:v>Branch triggered when place value with integers and decimals is not yet secure enough for the current unit.</x:v>
      </x:c>
      <x:c r="N113" s="27" t="str">
        <x:v>REC-NUM-01</x:v>
      </x:c>
      <x:c r="O113" s="27" t="str">
        <x:v>Connection</x:v>
      </x:c>
      <x:c r="P113" s="27" t="str">
        <x:v>Reflection, Rest</x:v>
      </x:c>
      <x:c r="Q113" s="27" t="str">
        <x:v>Place-Value Magnifier</x:v>
      </x:c>
      <x:c r="R113" s="27" t="str">
        <x:v>Number Explorer</x:v>
      </x:c>
      <x:c r="S113" s="27" t="str">
        <x:v>Square grid</x:v>
      </x:c>
      <x:c r="T113" s="27" t="str">
        <x:v>Place value and magnitude targeted practice</x:v>
      </x:c>
      <x:c r="U113" s="27" t="str">
        <x:v>Short reconnection evidence: place value with integers and decimals</x:v>
      </x:c>
      <x:c r="V113" s="27" t="str">
        <x:v>Learner can place value with integers and decimals sufficiently to return to Bounds and the Mathematics of Nearly.</x:v>
      </x:c>
      <x:c r="W113" s="27" t="str">
        <x:v>Arrive 5 / Reconnect 20 / Test 10 / Return link 10</x:v>
      </x:c>
      <x:c r="X113" s="27" t="str">
        <x:v>Pearson Edexcel 4MA1 1.8</x:v>
      </x:c>
      <x:c r="Y113" s="27" t="str">
        <x:v>Low-Moderate; targeted prerequisite repair</x:v>
      </x:c>
      <x:c r="Z113" s="27" t="str">
        <x:v>Live, Asynchronous, Independent</x:v>
      </x:c>
      <x:c r="AA113" s="27" t="str">
        <x:v>Architecture mapped</x:v>
      </x:c>
      <x:c r="AB113" s="27" t="str">
        <x:v>Not 'catch-up'. A targeted route from Year 7 learning that reconnects the learner to NEO-MATH-Y10-08.</x:v>
      </x:c>
    </x:row>
    <x:row r="114" ht="44" customHeight="1">
      <x:c r="A114" s="27" t="str">
        <x:v>NEO-MATH-Y10-111</x:v>
      </x:c>
      <x:c r="B114" s="27" t="n">
        <x:v>111</x:v>
      </x:c>
      <x:c r="C114" s="27" t="str">
        <x:v>NEO-MATH-Y10-08</x:v>
      </x:c>
      <x:c r="D114" s="27" t="n">
        <x:v>8</x:v>
      </x:c>
      <x:c r="E114" s="27" t="str">
        <x:v>Bounds and the Mathematics of Nearly</x:v>
      </x:c>
      <x:c r="F114" s="27" t="str">
        <x:v>Number Sense</x:v>
      </x:c>
      <x:c r="G114" s="27" t="n">
        <x:v>4</x:v>
      </x:c>
      <x:c r="H114" s="27" t="str">
        <x:v>Core</x:v>
      </x:c>
      <x:c r="I114" s="27" t="str">
        <x:v>Try one change: Use estimation</x:v>
      </x:c>
      <x:c r="J114" s="27" t="str">
        <x:v>What changes when I adjust one part of use estimation?</x:v>
      </x:c>
      <x:c r="K114" s="27" t="str">
        <x:v>use estimation</x:v>
      </x:c>
      <x:c r="L114" s="27" t="str">
        <x:v>use estimation</x:v>
      </x:c>
      <x:c r="M114" s="27" t="str">
        <x:v>calculate with bounds at tier</x:v>
      </x:c>
      <x:c r="N114" s="27" t="str"/>
      <x:c r="O114" s="27" t="str">
        <x:v>Rest</x:v>
      </x:c>
      <x:c r="P114" s="27" t="str">
        <x:v>Reflection, Connection</x:v>
      </x:c>
      <x:c r="Q114" s="27" t="str">
        <x:v>Bounds Interval Visualiser</x:v>
      </x:c>
      <x:c r="R114" s="27" t="str">
        <x:v>Number Explorer</x:v>
      </x:c>
      <x:c r="S114" s="27" t="str">
        <x:v>Double number line</x:v>
      </x:c>
      <x:c r="T114" s="27" t="str">
        <x:v>Bounds and the Mathematics of Nearly – use estimation</x:v>
      </x:c>
      <x:c r="U114" s="27" t="str">
        <x:v>Annotated representation of use estimation</x:v>
      </x:c>
      <x:c r="V114" s="27" t="str">
        <x:v>Learner can use estimation and give a reason or check.</x:v>
      </x:c>
      <x:c r="W114" s="27" t="str">
        <x:v>Connect 5 / Explore 20 / Create or Apply 12 / Reflect 8</x:v>
      </x:c>
      <x:c r="X114" s="27" t="str">
        <x:v>Pearson Edexcel 4MA1 1.8</x:v>
      </x:c>
      <x:c r="Y114" s="27" t="str">
        <x:v>Moderate</x:v>
      </x:c>
      <x:c r="Z114" s="27" t="str">
        <x:v>Live, Asynchronous, Independent</x:v>
      </x:c>
      <x:c r="AA114" s="27" t="str">
        <x:v>Architecture mapped</x:v>
      </x:c>
      <x:c r="AB114" s="27" t="str">
        <x:v>Part of the canonical Y10 route. May pause or branch to a Reconnection lesson before returning.</x:v>
      </x:c>
    </x:row>
    <x:row r="115" ht="44" customHeight="1">
      <x:c r="A115" s="27" t="str">
        <x:v>NEO-MATH-Y10-112</x:v>
      </x:c>
      <x:c r="B115" s="27" t="n">
        <x:v>112</x:v>
      </x:c>
      <x:c r="C115" s="27" t="str">
        <x:v>NEO-MATH-Y10-08</x:v>
      </x:c>
      <x:c r="D115" s="27" t="n">
        <x:v>8</x:v>
      </x:c>
      <x:c r="E115" s="27" t="str">
        <x:v>Bounds and the Mathematics of Nearly</x:v>
      </x:c>
      <x:c r="F115" s="27" t="str">
        <x:v>Number Sense</x:v>
      </x:c>
      <x:c r="G115" s="27" t="n">
        <x:v>5</x:v>
      </x:c>
      <x:c r="H115" s="27" t="str">
        <x:v>Core</x:v>
      </x:c>
      <x:c r="I115" s="27" t="str">
        <x:v>Connect ideas: Interpret tolerances</x:v>
      </x:c>
      <x:c r="J115" s="27" t="str">
        <x:v>How does interpret tolerances connect to the earlier relationship?</x:v>
      </x:c>
      <x:c r="K115" s="27" t="str">
        <x:v>interpret tolerances</x:v>
      </x:c>
      <x:c r="L115" s="27" t="str">
        <x:v>interpret tolerances</x:v>
      </x:c>
      <x:c r="M115" s="27" t="str">
        <x:v>use estimation</x:v>
      </x:c>
      <x:c r="N115" s="27" t="str"/>
      <x:c r="O115" s="27" t="str">
        <x:v>Rest</x:v>
      </x:c>
      <x:c r="P115" s="27" t="str">
        <x:v>Reflection, Connection</x:v>
      </x:c>
      <x:c r="Q115" s="27" t="str">
        <x:v>Bounds Interval Visualiser</x:v>
      </x:c>
      <x:c r="R115" s="27" t="str">
        <x:v>Number Explorer</x:v>
      </x:c>
      <x:c r="S115" s="27" t="str">
        <x:v>Double number line</x:v>
      </x:c>
      <x:c r="T115" s="27" t="str">
        <x:v>Bounds and the Mathematics of Nearly – interpret tolerances</x:v>
      </x:c>
      <x:c r="U115" s="27" t="str">
        <x:v>Annotated representation of interpret tolerances</x:v>
      </x:c>
      <x:c r="V115" s="27" t="str">
        <x:v>Learner can interpret tolerances and give a reason or check.</x:v>
      </x:c>
      <x:c r="W115" s="27" t="str">
        <x:v>Connect 8 / Explore 20 / Notice 10 / Reflect 7</x:v>
      </x:c>
      <x:c r="X115" s="27" t="str">
        <x:v>Pearson Edexcel 4MA1 1.8</x:v>
      </x:c>
      <x:c r="Y115" s="27" t="str">
        <x:v>Moderate</x:v>
      </x:c>
      <x:c r="Z115" s="27" t="str">
        <x:v>Live, Asynchronous, Independent</x:v>
      </x:c>
      <x:c r="AA115" s="27" t="str">
        <x:v>Architecture mapped</x:v>
      </x:c>
      <x:c r="AB115" s="27" t="str">
        <x:v>Part of the canonical Y10 route. May pause or branch to a Reconnection lesson before returning.</x:v>
      </x:c>
    </x:row>
    <x:row r="116" ht="44" customHeight="1">
      <x:c r="A116" s="27" t="str">
        <x:v>NEO-MATH-Y10-113</x:v>
      </x:c>
      <x:c r="B116" s="27" t="n">
        <x:v>113</x:v>
      </x:c>
      <x:c r="C116" s="27" t="str">
        <x:v>NEO-MATH-Y10-08</x:v>
      </x:c>
      <x:c r="D116" s="27" t="n">
        <x:v>8</x:v>
      </x:c>
      <x:c r="E116" s="27" t="str">
        <x:v>Bounds and the Mathematics of Nearly</x:v>
      </x:c>
      <x:c r="F116" s="27" t="str">
        <x:v>Number Sense</x:v>
      </x:c>
      <x:c r="G116" s="27" t="n">
        <x:v>6</x:v>
      </x:c>
      <x:c r="H116" s="27" t="str">
        <x:v>Core</x:v>
      </x:c>
      <x:c r="I116" s="27" t="str">
        <x:v>Repair a misconception: Communicate accuracy</x:v>
      </x:c>
      <x:c r="J116" s="27" t="str">
        <x:v>What tempting mistake can communicate accuracy create?</x:v>
      </x:c>
      <x:c r="K116" s="27" t="str">
        <x:v>communicate accuracy</x:v>
      </x:c>
      <x:c r="L116" s="27" t="str">
        <x:v>communicate accuracy</x:v>
      </x:c>
      <x:c r="M116" s="27" t="str">
        <x:v>interpret tolerances</x:v>
      </x:c>
      <x:c r="N116" s="27" t="str"/>
      <x:c r="O116" s="27" t="str">
        <x:v>Rest</x:v>
      </x:c>
      <x:c r="P116" s="27" t="str">
        <x:v>Reflection, Connection</x:v>
      </x:c>
      <x:c r="Q116" s="27" t="str">
        <x:v>Bounds Interval Visualiser</x:v>
      </x:c>
      <x:c r="R116" s="27" t="str">
        <x:v>Number Explorer</x:v>
      </x:c>
      <x:c r="S116" s="27" t="str">
        <x:v>Double number line</x:v>
      </x:c>
      <x:c r="T116" s="27" t="str">
        <x:v>Bounds and the Mathematics of Nearly – communicate accuracy</x:v>
      </x:c>
      <x:c r="U116" s="27" t="str">
        <x:v>Corrected misconception note: communicate accuracy</x:v>
      </x:c>
      <x:c r="V116" s="27" t="str">
        <x:v>Learner can communicate accuracy and give a reason or check.</x:v>
      </x:c>
      <x:c r="W116" s="27" t="str">
        <x:v>Connect 5 / Explore 20 / Create or Apply 12 / Reflect 8</x:v>
      </x:c>
      <x:c r="X116" s="27" t="str">
        <x:v>Pearson Edexcel 4MA1 1.8</x:v>
      </x:c>
      <x:c r="Y116" s="27" t="str">
        <x:v>Moderate</x:v>
      </x:c>
      <x:c r="Z116" s="27" t="str">
        <x:v>Live, Asynchronous, Independent</x:v>
      </x:c>
      <x:c r="AA116" s="27" t="str">
        <x:v>Architecture mapped</x:v>
      </x:c>
      <x:c r="AB116" s="27" t="str">
        <x:v>Part of the canonical Y10 route. May pause or branch to a Reconnection lesson before returning.</x:v>
      </x:c>
    </x:row>
    <x:row r="117" ht="44" customHeight="1">
      <x:c r="A117" s="27" t="str">
        <x:v>NEO-MATH-Y10-114</x:v>
      </x:c>
      <x:c r="B117" s="27" t="n">
        <x:v>114</x:v>
      </x:c>
      <x:c r="C117" s="27" t="str">
        <x:v>NEO-MATH-Y10-08</x:v>
      </x:c>
      <x:c r="D117" s="27" t="n">
        <x:v>8</x:v>
      </x:c>
      <x:c r="E117" s="27" t="str">
        <x:v>Bounds and the Mathematics of Nearly</x:v>
      </x:c>
      <x:c r="F117" s="27" t="str">
        <x:v>Number Sense</x:v>
      </x:c>
      <x:c r="G117" s="27" t="n">
        <x:v>7</x:v>
      </x:c>
      <x:c r="H117" s="27" t="str">
        <x:v>Core</x:v>
      </x:c>
      <x:c r="I117" s="27" t="str">
        <x:v>Apply in context: Identify rounding intervals</x:v>
      </x:c>
      <x:c r="J117" s="27" t="str">
        <x:v>Where might identify rounding intervals help with a real decision?</x:v>
      </x:c>
      <x:c r="K117" s="27" t="str">
        <x:v>identify rounding intervals</x:v>
      </x:c>
      <x:c r="L117" s="27" t="str">
        <x:v>identify rounding intervals</x:v>
      </x:c>
      <x:c r="M117" s="27" t="str">
        <x:v>communicate accuracy</x:v>
      </x:c>
      <x:c r="N117" s="27" t="str"/>
      <x:c r="O117" s="27" t="str">
        <x:v>Rest</x:v>
      </x:c>
      <x:c r="P117" s="27" t="str">
        <x:v>Reflection, Connection</x:v>
      </x:c>
      <x:c r="Q117" s="27" t="str">
        <x:v>Bounds Interval Visualiser</x:v>
      </x:c>
      <x:c r="R117" s="27" t="str">
        <x:v>Number Explorer</x:v>
      </x:c>
      <x:c r="S117" s="27" t="str">
        <x:v>Double number line</x:v>
      </x:c>
      <x:c r="T117" s="27" t="str">
        <x:v>Bounds and the Mathematics of Nearly – identify rounding intervals</x:v>
      </x:c>
      <x:c r="U117" s="27" t="str">
        <x:v>Short contextual application of identify rounding intervals</x:v>
      </x:c>
      <x:c r="V117" s="27" t="str">
        <x:v>Learner can identify rounding intervals and give a reason or check.</x:v>
      </x:c>
      <x:c r="W117" s="27" t="str">
        <x:v>Connect 5 / Explore 20 / Create or Apply 12 / Reflect 8</x:v>
      </x:c>
      <x:c r="X117" s="27" t="str">
        <x:v>Pearson Edexcel 4MA1 1.8</x:v>
      </x:c>
      <x:c r="Y117" s="27" t="str">
        <x:v>Moderate</x:v>
      </x:c>
      <x:c r="Z117" s="27" t="str">
        <x:v>Live, Asynchronous, Independent</x:v>
      </x:c>
      <x:c r="AA117" s="27" t="str">
        <x:v>Architecture mapped</x:v>
      </x:c>
      <x:c r="AB117" s="27" t="str">
        <x:v>Part of the canonical Y10 route. May pause or branch to a Reconnection lesson before returning.</x:v>
      </x:c>
    </x:row>
    <x:row r="118" ht="44" customHeight="1">
      <x:c r="A118" s="27" t="str">
        <x:v>NEO-MATH-Y10-115</x:v>
      </x:c>
      <x:c r="B118" s="27" t="n">
        <x:v>115</x:v>
      </x:c>
      <x:c r="C118" s="27" t="str">
        <x:v>NEO-MATH-Y10-08</x:v>
      </x:c>
      <x:c r="D118" s="27" t="n">
        <x:v>8</x:v>
      </x:c>
      <x:c r="E118" s="27" t="str">
        <x:v>Bounds and the Mathematics of Nearly</x:v>
      </x:c>
      <x:c r="F118" s="27" t="str">
        <x:v>Number Sense</x:v>
      </x:c>
      <x:c r="G118" s="27" t="n">
        <x:v>8</x:v>
      </x:c>
      <x:c r="H118" s="27" t="str">
        <x:v>Core</x:v>
      </x:c>
      <x:c r="I118" s="27" t="str">
        <x:v>Model and test: Find upper and lower bounds</x:v>
      </x:c>
      <x:c r="J118" s="27" t="str">
        <x:v>Can I build a model using find upper and lower bounds and test it?</x:v>
      </x:c>
      <x:c r="K118" s="27" t="str">
        <x:v>find upper and lower bounds</x:v>
      </x:c>
      <x:c r="L118" s="27" t="str">
        <x:v>find upper and lower bounds</x:v>
      </x:c>
      <x:c r="M118" s="27" t="str">
        <x:v>identify rounding intervals</x:v>
      </x:c>
      <x:c r="N118" s="27" t="str"/>
      <x:c r="O118" s="27" t="str">
        <x:v>Rest</x:v>
      </x:c>
      <x:c r="P118" s="27" t="str">
        <x:v>Reflection, Connection</x:v>
      </x:c>
      <x:c r="Q118" s="27" t="str">
        <x:v>Bounds Interval Visualiser</x:v>
      </x:c>
      <x:c r="R118" s="27" t="str">
        <x:v>Number Explorer</x:v>
      </x:c>
      <x:c r="S118" s="27" t="str">
        <x:v>Double number line</x:v>
      </x:c>
      <x:c r="T118" s="27" t="str">
        <x:v>Bounds and the Mathematics of Nearly – find upper and lower bounds</x:v>
      </x:c>
      <x:c r="U118" s="27" t="str">
        <x:v>Tested model using find upper and lower bounds</x:v>
      </x:c>
      <x:c r="V118" s="27" t="str">
        <x:v>Learner can find upper and lower bounds and give a reason or check.</x:v>
      </x:c>
      <x:c r="W118" s="27" t="str">
        <x:v>Connect 5 / Explore 20 / Create or Apply 12 / Reflect 8</x:v>
      </x:c>
      <x:c r="X118" s="27" t="str">
        <x:v>Pearson Edexcel 4MA1 1.8</x:v>
      </x:c>
      <x:c r="Y118" s="27" t="str">
        <x:v>Moderate</x:v>
      </x:c>
      <x:c r="Z118" s="27" t="str">
        <x:v>Live, Asynchronous, Independent</x:v>
      </x:c>
      <x:c r="AA118" s="27" t="str">
        <x:v>Architecture mapped</x:v>
      </x:c>
      <x:c r="AB118" s="27" t="str">
        <x:v>Part of the canonical Y10 route. May pause or branch to a Reconnection lesson before returning.</x:v>
      </x:c>
    </x:row>
    <x:row r="119" ht="44" customHeight="1">
      <x:c r="A119" s="27" t="str">
        <x:v>NEO-MATH-Y10-116</x:v>
      </x:c>
      <x:c r="B119" s="27" t="n">
        <x:v>116</x:v>
      </x:c>
      <x:c r="C119" s="27" t="str">
        <x:v>NEO-MATH-Y10-08</x:v>
      </x:c>
      <x:c r="D119" s="27" t="n">
        <x:v>8</x:v>
      </x:c>
      <x:c r="E119" s="27" t="str">
        <x:v>Bounds and the Mathematics of Nearly</x:v>
      </x:c>
      <x:c r="F119" s="27" t="str">
        <x:v>Number Sense</x:v>
      </x:c>
      <x:c r="G119" s="27" t="n">
        <x:v>9</x:v>
      </x:c>
      <x:c r="H119" s="27" t="str">
        <x:v>Core</x:v>
      </x:c>
      <x:c r="I119" s="27" t="str">
        <x:v>Compare strategies: Calculate with bounds at tier</x:v>
      </x:c>
      <x:c r="J119" s="27" t="str">
        <x:v>Which route through calculate with bounds at tier is clearest or most efficient?</x:v>
      </x:c>
      <x:c r="K119" s="27" t="str">
        <x:v>calculate with bounds at tier</x:v>
      </x:c>
      <x:c r="L119" s="27" t="str">
        <x:v>calculate with bounds at tier</x:v>
      </x:c>
      <x:c r="M119" s="27" t="str">
        <x:v>find upper and lower bounds</x:v>
      </x:c>
      <x:c r="N119" s="27" t="str"/>
      <x:c r="O119" s="27" t="str">
        <x:v>Rest</x:v>
      </x:c>
      <x:c r="P119" s="27" t="str">
        <x:v>Reflection, Connection</x:v>
      </x:c>
      <x:c r="Q119" s="27" t="str">
        <x:v>Bounds Interval Visualiser</x:v>
      </x:c>
      <x:c r="R119" s="27" t="str">
        <x:v>Number Explorer</x:v>
      </x:c>
      <x:c r="S119" s="27" t="str">
        <x:v>Double number line</x:v>
      </x:c>
      <x:c r="T119" s="27" t="str">
        <x:v>Bounds and the Mathematics of Nearly – calculate with bounds at tier</x:v>
      </x:c>
      <x:c r="U119" s="27" t="str">
        <x:v>Two-route comparison for calculate with bounds at tier</x:v>
      </x:c>
      <x:c r="V119" s="27" t="str">
        <x:v>Learner can calculate with bounds at tier and give a reason or check.</x:v>
      </x:c>
      <x:c r="W119" s="27" t="str">
        <x:v>Connect 5 / Explore 20 / Create or Apply 12 / Reflect 8</x:v>
      </x:c>
      <x:c r="X119" s="27" t="str">
        <x:v>Pearson Edexcel 4MA1 1.8</x:v>
      </x:c>
      <x:c r="Y119" s="27" t="str">
        <x:v>Moderate</x:v>
      </x:c>
      <x:c r="Z119" s="27" t="str">
        <x:v>Live, Asynchronous, Independent</x:v>
      </x:c>
      <x:c r="AA119" s="27" t="str">
        <x:v>Architecture mapped</x:v>
      </x:c>
      <x:c r="AB119" s="27" t="str">
        <x:v>Part of the canonical Y10 route. May pause or branch to a Reconnection lesson before returning.</x:v>
      </x:c>
    </x:row>
    <x:row r="120" ht="44" customHeight="1">
      <x:c r="A120" s="27" t="str">
        <x:v>NEO-MATH-Y10-117</x:v>
      </x:c>
      <x:c r="B120" s="27" t="n">
        <x:v>117</x:v>
      </x:c>
      <x:c r="C120" s="27" t="str">
        <x:v>NEO-MATH-Y10-08</x:v>
      </x:c>
      <x:c r="D120" s="27" t="n">
        <x:v>8</x:v>
      </x:c>
      <x:c r="E120" s="27" t="str">
        <x:v>Bounds and the Mathematics of Nearly</x:v>
      </x:c>
      <x:c r="F120" s="27" t="str">
        <x:v>Number Sense</x:v>
      </x:c>
      <x:c r="G120" s="27" t="n">
        <x:v>11</x:v>
      </x:c>
      <x:c r="H120" s="27" t="str">
        <x:v>Qualification Practice</x:v>
      </x:c>
      <x:c r="I120" s="27" t="str">
        <x:v>Assessment translation 1: Identify rounding intervals</x:v>
      </x:c>
      <x:c r="J120" s="27" t="str">
        <x:v>How might a qualification question hide the need to identify rounding intervals?</x:v>
      </x:c>
      <x:c r="K120" s="27" t="str">
        <x:v>translate assessed wording into the canonical move: identify rounding intervals</x:v>
      </x:c>
      <x:c r="L120" s="27" t="str">
        <x:v>identify rounding intervals</x:v>
      </x:c>
      <x:c r="M120" s="27" t="str">
        <x:v>relevant core concept plus question-reading routine</x:v>
      </x:c>
      <x:c r="N120" s="27" t="str">
        <x:v>REC-SRL-01 if wording blocks mathematical access</x:v>
      </x:c>
      <x:c r="O120" s="27" t="str">
        <x:v>Reflection</x:v>
      </x:c>
      <x:c r="P120" s="27" t="str">
        <x:v>Connection, Rest</x:v>
      </x:c>
      <x:c r="Q120" s="27" t="str">
        <x:v>Question Translation Studio</x:v>
      </x:c>
      <x:c r="R120" s="27" t="str">
        <x:v>Navigation Tool</x:v>
      </x:c>
      <x:c r="S120" s="27" t="str">
        <x:v>Double number line</x:v>
      </x:c>
      <x:c r="T120" s="27" t="str">
        <x:v>4MA1-style mixed questions: identify rounding intervals</x:v>
      </x:c>
      <x:c r="U120" s="27" t="str">
        <x:v>Annotated assessed-world question showing givens, goal, route and check for identify rounding intervals</x:v>
      </x:c>
      <x:c r="V120" s="27" t="str">
        <x:v>Learner identifies the mathematics, selects a route and checks a solution involving identify rounding intervals.</x:v>
      </x:c>
      <x:c r="W120" s="27" t="str">
        <x:v>Decode 10 / Solve 20 / Compare 10 / Reflect 5</x:v>
      </x:c>
      <x:c r="X120" s="27" t="str">
        <x:v>Pearson Edexcel 4MA1 1.8</x:v>
      </x:c>
      <x:c r="Y120" s="27" t="str">
        <x:v>Moderate-High; wording chunked before calculation</x:v>
      </x:c>
      <x:c r="Z120" s="27" t="str">
        <x:v>Live, Asynchronous, Independent</x:v>
      </x:c>
      <x:c r="AA120" s="27" t="str">
        <x:v>Architecture mapped</x:v>
      </x:c>
      <x:c r="AB120" s="27" t="str">
        <x:v>Qualification overlay lesson. Exam wording is translated into mathematics already present in the canonical spine.</x:v>
      </x:c>
    </x:row>
    <x:row r="121" ht="44" customHeight="1">
      <x:c r="A121" s="27" t="str">
        <x:v>NEO-MATH-Y10-118</x:v>
      </x:c>
      <x:c r="B121" s="27" t="n">
        <x:v>118</x:v>
      </x:c>
      <x:c r="C121" s="27" t="str">
        <x:v>NEO-MATH-Y10-08</x:v>
      </x:c>
      <x:c r="D121" s="27" t="n">
        <x:v>8</x:v>
      </x:c>
      <x:c r="E121" s="27" t="str">
        <x:v>Bounds and the Mathematics of Nearly</x:v>
      </x:c>
      <x:c r="F121" s="27" t="str">
        <x:v>Number Sense</x:v>
      </x:c>
      <x:c r="G121" s="27" t="n">
        <x:v>10</x:v>
      </x:c>
      <x:c r="H121" s="27" t="str">
        <x:v>Core</x:v>
      </x:c>
      <x:c r="I121" s="27" t="str">
        <x:v>Practice with choice: Use estimation</x:v>
      </x:c>
      <x:c r="J121" s="27" t="str">
        <x:v>Can I use use estimation without being told the method?</x:v>
      </x:c>
      <x:c r="K121" s="27" t="str">
        <x:v>use estimation</x:v>
      </x:c>
      <x:c r="L121" s="27" t="str">
        <x:v>use estimation</x:v>
      </x:c>
      <x:c r="M121" s="27" t="str">
        <x:v>calculate with bounds at tier</x:v>
      </x:c>
      <x:c r="N121" s="27" t="str"/>
      <x:c r="O121" s="27" t="str">
        <x:v>Rest</x:v>
      </x:c>
      <x:c r="P121" s="27" t="str">
        <x:v>Reflection, Connection</x:v>
      </x:c>
      <x:c r="Q121" s="27" t="str">
        <x:v>Bounds Interval Visualiser</x:v>
      </x:c>
      <x:c r="R121" s="27" t="str">
        <x:v>Number Explorer</x:v>
      </x:c>
      <x:c r="S121" s="27" t="str">
        <x:v>Double number line</x:v>
      </x:c>
      <x:c r="T121" s="27" t="str">
        <x:v>Bounds and the Mathematics of Nearly – use estimation</x:v>
      </x:c>
      <x:c r="U121" s="27" t="str">
        <x:v>Practice Companion evidence for use estimation</x:v>
      </x:c>
      <x:c r="V121" s="27" t="str">
        <x:v>Learner can use estimation and give a reason or check.</x:v>
      </x:c>
      <x:c r="W121" s="27" t="str">
        <x:v>Reconnect 5 / Practice 25 / Check 10 / Reflect 5</x:v>
      </x:c>
      <x:c r="X121" s="27" t="str">
        <x:v>Pearson Edexcel 4MA1 1.8</x:v>
      </x:c>
      <x:c r="Y121" s="27" t="str">
        <x:v>Moderate</x:v>
      </x:c>
      <x:c r="Z121" s="27" t="str">
        <x:v>Live, Asynchronous, Independent</x:v>
      </x:c>
      <x:c r="AA121" s="27" t="str">
        <x:v>Architecture mapped</x:v>
      </x:c>
      <x:c r="AB121" s="27" t="str">
        <x:v>Part of the canonical Y10 route. May pause or branch to a Reconnection lesson before returning.</x:v>
      </x:c>
    </x:row>
    <x:row r="122" ht="44" customHeight="1">
      <x:c r="A122" s="27" t="str">
        <x:v>NEO-MATH-Y10-119</x:v>
      </x:c>
      <x:c r="B122" s="27" t="n">
        <x:v>119</x:v>
      </x:c>
      <x:c r="C122" s="27" t="str">
        <x:v>NEO-MATH-Y10-08</x:v>
      </x:c>
      <x:c r="D122" s="27" t="n">
        <x:v>8</x:v>
      </x:c>
      <x:c r="E122" s="27" t="str">
        <x:v>Bounds and the Mathematics of Nearly</x:v>
      </x:c>
      <x:c r="F122" s="27" t="str">
        <x:v>Number Sense</x:v>
      </x:c>
      <x:c r="G122" s="27" t="n">
        <x:v>11</x:v>
      </x:c>
      <x:c r="H122" s="27" t="str">
        <x:v>Core</x:v>
      </x:c>
      <x:c r="I122" s="27" t="str">
        <x:v>Qualification translation: Interpret tolerances</x:v>
      </x:c>
      <x:c r="J122" s="27" t="str">
        <x:v>How might an assessed question disguise interpret tolerances?</x:v>
      </x:c>
      <x:c r="K122" s="27" t="str">
        <x:v>interpret tolerances</x:v>
      </x:c>
      <x:c r="L122" s="27" t="str">
        <x:v>interpret tolerances</x:v>
      </x:c>
      <x:c r="M122" s="27" t="str">
        <x:v>use estimation</x:v>
      </x:c>
      <x:c r="N122" s="27" t="str"/>
      <x:c r="O122" s="27" t="str">
        <x:v>Rest</x:v>
      </x:c>
      <x:c r="P122" s="27" t="str">
        <x:v>Reflection, Connection</x:v>
      </x:c>
      <x:c r="Q122" s="27" t="str">
        <x:v>Bounds Interval Visualiser</x:v>
      </x:c>
      <x:c r="R122" s="27" t="str">
        <x:v>Number Explorer</x:v>
      </x:c>
      <x:c r="S122" s="27" t="str">
        <x:v>Double number line</x:v>
      </x:c>
      <x:c r="T122" s="27" t="str">
        <x:v>Bounds and the Mathematics of Nearly – interpret tolerances</x:v>
      </x:c>
      <x:c r="U122" s="27" t="str">
        <x:v>Annotated question translation for interpret tolerances</x:v>
      </x:c>
      <x:c r="V122" s="27" t="str">
        <x:v>Learner can interpret tolerances and give a reason or check.</x:v>
      </x:c>
      <x:c r="W122" s="27" t="str">
        <x:v>Translate 10 / Solve 20 / Compare 10 / Reflect 5</x:v>
      </x:c>
      <x:c r="X122" s="27" t="str">
        <x:v>Pearson Edexcel 4MA1 1.8</x:v>
      </x:c>
      <x:c r="Y122" s="27" t="str">
        <x:v>Moderate</x:v>
      </x:c>
      <x:c r="Z122" s="27" t="str">
        <x:v>Live, Asynchronous, Independent</x:v>
      </x:c>
      <x:c r="AA122" s="27" t="str">
        <x:v>Architecture mapped</x:v>
      </x:c>
      <x:c r="AB122" s="27" t="str">
        <x:v>Part of the canonical Y10 route. May pause or branch to a Reconnection lesson before returning.</x:v>
      </x:c>
    </x:row>
    <x:row r="123" ht="44" customHeight="1">
      <x:c r="A123" s="27" t="str">
        <x:v>NEO-MATH-Y10-120</x:v>
      </x:c>
      <x:c r="B123" s="27" t="n">
        <x:v>120</x:v>
      </x:c>
      <x:c r="C123" s="27" t="str">
        <x:v>NEO-MATH-Y10-08</x:v>
      </x:c>
      <x:c r="D123" s="27" t="n">
        <x:v>8</x:v>
      </x:c>
      <x:c r="E123" s="27" t="str">
        <x:v>Bounds and the Mathematics of Nearly</x:v>
      </x:c>
      <x:c r="F123" s="27" t="str">
        <x:v>Number Sense</x:v>
      </x:c>
      <x:c r="G123" s="27" t="n">
        <x:v>12</x:v>
      </x:c>
      <x:c r="H123" s="27" t="str">
        <x:v>Core</x:v>
      </x:c>
      <x:c r="I123" s="27" t="str">
        <x:v>Mastery checkpoint: Communicate accuracy</x:v>
      </x:c>
      <x:c r="J123" s="27" t="str">
        <x:v>What can I now explain, apply and check about communicate accuracy?</x:v>
      </x:c>
      <x:c r="K123" s="27" t="str">
        <x:v>communicate accuracy</x:v>
      </x:c>
      <x:c r="L123" s="27" t="str">
        <x:v>communicate accuracy</x:v>
      </x:c>
      <x:c r="M123" s="27" t="str">
        <x:v>interpret tolerances</x:v>
      </x:c>
      <x:c r="N123" s="27" t="str"/>
      <x:c r="O123" s="27" t="str">
        <x:v>Rest</x:v>
      </x:c>
      <x:c r="P123" s="27" t="str">
        <x:v>Reflection, Connection</x:v>
      </x:c>
      <x:c r="Q123" s="27" t="str">
        <x:v>Bounds Interval Visualiser</x:v>
      </x:c>
      <x:c r="R123" s="27" t="str">
        <x:v>Number Explorer</x:v>
      </x:c>
      <x:c r="S123" s="27" t="str">
        <x:v>Double number line</x:v>
      </x:c>
      <x:c r="T123" s="27" t="str">
        <x:v>Bounds and the Mathematics of Nearly – communicate accuracy</x:v>
      </x:c>
      <x:c r="U123" s="27" t="str">
        <x:v>Tolerance and Safety Case Study</x:v>
      </x:c>
      <x:c r="V123" s="27" t="str">
        <x:v>Learner can communicate accuracy and give a reason or check.</x:v>
      </x:c>
      <x:c r="W123" s="27" t="str">
        <x:v>Settle 5 / Choose evidence 25 / Mastery check 10 / Reflect 5</x:v>
      </x:c>
      <x:c r="X123" s="27" t="str">
        <x:v>Pearson Edexcel 4MA1 1.8</x:v>
      </x:c>
      <x:c r="Y123" s="27" t="str">
        <x:v>Moderate</x:v>
      </x:c>
      <x:c r="Z123" s="27" t="str">
        <x:v>Live, Asynchronous, Independent</x:v>
      </x:c>
      <x:c r="AA123" s="27" t="str">
        <x:v>Architecture mapped</x:v>
      </x:c>
      <x:c r="AB123" s="27" t="str">
        <x:v>Part of the canonical Y10 route. May pause or branch to a Reconnection lesson before returning.</x:v>
      </x:c>
    </x:row>
    <x:row r="124" ht="44" customHeight="1">
      <x:c r="A124" s="27" t="str">
        <x:v>NEO-MATH-Y10-121</x:v>
      </x:c>
      <x:c r="B124" s="27" t="n">
        <x:v>121</x:v>
      </x:c>
      <x:c r="C124" s="27" t="str">
        <x:v>NEO-MATH-Y10-08</x:v>
      </x:c>
      <x:c r="D124" s="27" t="n">
        <x:v>8</x:v>
      </x:c>
      <x:c r="E124" s="27" t="str">
        <x:v>Bounds and the Mathematics of Nearly</x:v>
      </x:c>
      <x:c r="F124" s="27" t="str">
        <x:v>Number Sense</x:v>
      </x:c>
      <x:c r="G124" s="27" t="n">
        <x:v>15</x:v>
      </x:c>
      <x:c r="H124" s="27" t="str">
        <x:v>Portfolio / Pathway Review</x:v>
      </x:c>
      <x:c r="I124" s="27" t="str">
        <x:v>Evidence and next step: Bounds and the Mathematics of Nearly</x:v>
      </x:c>
      <x:c r="J124" s="27" t="str">
        <x:v>What evidence shows what I can now do—and what would be a useful next mathematical move?</x:v>
      </x:c>
      <x:c r="K124" s="27" t="str">
        <x:v>select, annotate and reflect on unit evidence</x:v>
      </x:c>
      <x:c r="L124" s="27" t="str">
        <x:v>unit-level synthesis, communication and self-regulation</x:v>
      </x:c>
      <x:c r="M124" s="27" t="str">
        <x:v>any meaningful participation or evidence from the unit</x:v>
      </x:c>
      <x:c r="N124" s="27" t="str">
        <x:v>learner-specific</x:v>
      </x:c>
      <x:c r="O124" s="27" t="str">
        <x:v>Reflection</x:v>
      </x:c>
      <x:c r="P124" s="27" t="str">
        <x:v>Rest, Connection</x:v>
      </x:c>
      <x:c r="Q124" s="27" t="str">
        <x:v>Portfolio Evidence Selector</x:v>
      </x:c>
      <x:c r="R124" s="27" t="str">
        <x:v>Navigation Tool</x:v>
      </x:c>
      <x:c r="S124" s="27" t="str">
        <x:v>Blank</x:v>
      </x:c>
      <x:c r="T124" s="27" t="str">
        <x:v>learner-selected gap or stretch</x:v>
      </x:c>
      <x:c r="U124" s="27" t="str">
        <x:v>Tolerance and Safety Case Study</x:v>
      </x:c>
      <x:c r="V124" s="27" t="str">
        <x:v>Learner can point to evidence for current mastery and agree a next step.</x:v>
      </x:c>
      <x:c r="W124" s="27" t="str">
        <x:v>Settle 5 / Select 10 / Annotate 15 / Strengthen 10 / Next step 5</x:v>
      </x:c>
      <x:c r="X124" s="27" t="str">
        <x:v>Pearson Edexcel 4MA1 1.8</x:v>
      </x:c>
      <x:c r="Y124" s="27" t="str">
        <x:v>Low-Moderate; learner choice</x:v>
      </x:c>
      <x:c r="Z124" s="27" t="str">
        <x:v>Live, Asynchronous, Independent</x:v>
      </x:c>
      <x:c r="AA124" s="27" t="str">
        <x:v>Architecture mapped</x:v>
      </x:c>
      <x:c r="AB124" s="27" t="str">
        <x:v>Portfolio and pathway review. Completion volume is not used as a proxy for mastery.</x:v>
      </x:c>
    </x:row>
    <x:row r="125" ht="44" customHeight="1">
      <x:c r="A125" s="27" t="str">
        <x:v>NEO-MATH-Y10-122</x:v>
      </x:c>
      <x:c r="B125" s="27" t="n">
        <x:v>122</x:v>
      </x:c>
      <x:c r="C125" s="27" t="str">
        <x:v>NEO-MATH-Y10-09</x:v>
      </x:c>
      <x:c r="D125" s="27" t="n">
        <x:v>9</x:v>
      </x:c>
      <x:c r="E125" s="27" t="str">
        <x:v>Quadratics: Factors, Roots and Graphs</x:v>
      </x:c>
      <x:c r="F125" s="27" t="str">
        <x:v>Structure &amp; Generalisation</x:v>
      </x:c>
      <x:c r="G125" s="27" t="n">
        <x:v>1</x:v>
      </x:c>
      <x:c r="H125" s="27" t="str">
        <x:v>Core</x:v>
      </x:c>
      <x:c r="I125" s="27" t="str">
        <x:v>Connect &amp; notice: Expand and factorise quadratics</x:v>
      </x:c>
      <x:c r="J125" s="27" t="str">
        <x:v>What do I already notice about expand and factorise quadratics?</x:v>
      </x:c>
      <x:c r="K125" s="27" t="str">
        <x:v>expand and factorise quadratics</x:v>
      </x:c>
      <x:c r="L125" s="27" t="str">
        <x:v>expand and factorise quadratics</x:v>
      </x:c>
      <x:c r="M125" s="27" t="str">
        <x:v>learner entry knowledge and representation confidence</x:v>
      </x:c>
      <x:c r="N125" s="27" t="str"/>
      <x:c r="O125" s="27" t="str">
        <x:v>Connection</x:v>
      </x:c>
      <x:c r="P125" s="27" t="str">
        <x:v>Movement, Reflection</x:v>
      </x:c>
      <x:c r="Q125" s="27" t="str">
        <x:v>Root–Graph Connector</x:v>
      </x:c>
      <x:c r="R125" s="27" t="str">
        <x:v>Structure Lab</x:v>
      </x:c>
      <x:c r="S125" s="27" t="str">
        <x:v>Coordinate grid</x:v>
      </x:c>
      <x:c r="T125" s="27" t="str">
        <x:v>Quadratics: Factors, Roots and Graphs – expand and factorise quadratics</x:v>
      </x:c>
      <x:c r="U125" s="27" t="str">
        <x:v>Scratchpad prediction or notice about expand and factorise quadratics</x:v>
      </x:c>
      <x:c r="V125" s="27" t="str">
        <x:v>Learner can expand and factorise quadratics and give a reason or check.</x:v>
      </x:c>
      <x:c r="W125" s="27" t="str">
        <x:v>Connect 8 / Explore 20 / Notice 10 / Reflect 7</x:v>
      </x:c>
      <x:c r="X125" s="27" t="str">
        <x:v>Pearson Edexcel 4MA1 2.2, 2.7, 3.3</x:v>
      </x:c>
      <x:c r="Y125" s="27" t="str">
        <x:v>High</x:v>
      </x:c>
      <x:c r="Z125" s="27" t="str">
        <x:v>Live, Asynchronous, Independent</x:v>
      </x:c>
      <x:c r="AA125" s="27" t="str">
        <x:v>Architecture mapped</x:v>
      </x:c>
      <x:c r="AB125" s="27" t="str">
        <x:v>Part of the canonical Y10 route. May pause or branch to a Reconnection lesson before returning.</x:v>
      </x:c>
    </x:row>
    <x:row r="126" ht="44" customHeight="1">
      <x:c r="A126" s="27" t="str">
        <x:v>NEO-MATH-Y10-123</x:v>
      </x:c>
      <x:c r="B126" s="27" t="n">
        <x:v>123</x:v>
      </x:c>
      <x:c r="C126" s="27" t="str">
        <x:v>NEO-MATH-Y10-09</x:v>
      </x:c>
      <x:c r="D126" s="27" t="n">
        <x:v>9</x:v>
      </x:c>
      <x:c r="E126" s="27" t="str">
        <x:v>Quadratics: Factors, Roots and Graphs</x:v>
      </x:c>
      <x:c r="F126" s="27" t="str">
        <x:v>Structure &amp; Generalisation</x:v>
      </x:c>
      <x:c r="G126" s="27" t="n">
        <x:v>2</x:v>
      </x:c>
      <x:c r="H126" s="27" t="str">
        <x:v>Core</x:v>
      </x:c>
      <x:c r="I126" s="27" t="str">
        <x:v>Build the idea: Solve by factorisation</x:v>
      </x:c>
      <x:c r="J126" s="27" t="str">
        <x:v>What does solve by factorisation mean before I use a procedure?</x:v>
      </x:c>
      <x:c r="K126" s="27" t="str">
        <x:v>solve by factorisation</x:v>
      </x:c>
      <x:c r="L126" s="27" t="str">
        <x:v>solve by factorisation</x:v>
      </x:c>
      <x:c r="M126" s="27" t="str">
        <x:v>expand and factorise quadratics</x:v>
      </x:c>
      <x:c r="N126" s="27" t="str"/>
      <x:c r="O126" s="27" t="str">
        <x:v>Connection</x:v>
      </x:c>
      <x:c r="P126" s="27" t="str">
        <x:v>Movement, Reflection</x:v>
      </x:c>
      <x:c r="Q126" s="27" t="str">
        <x:v>Root–Graph Connector</x:v>
      </x:c>
      <x:c r="R126" s="27" t="str">
        <x:v>Structure Lab</x:v>
      </x:c>
      <x:c r="S126" s="27" t="str">
        <x:v>Coordinate grid</x:v>
      </x:c>
      <x:c r="T126" s="27" t="str">
        <x:v>Quadratics: Factors, Roots and Graphs – solve by factorisation</x:v>
      </x:c>
      <x:c r="U126" s="27" t="str">
        <x:v>Annotated representation of solve by factorisation</x:v>
      </x:c>
      <x:c r="V126" s="27" t="str">
        <x:v>Learner can solve by factorisation and give a reason or check.</x:v>
      </x:c>
      <x:c r="W126" s="27" t="str">
        <x:v>Connect 5 / Explore 20 / Create or Apply 12 / Reflect 8</x:v>
      </x:c>
      <x:c r="X126" s="27" t="str">
        <x:v>Pearson Edexcel 4MA1 2.2, 2.7, 3.3</x:v>
      </x:c>
      <x:c r="Y126" s="27" t="str">
        <x:v>High</x:v>
      </x:c>
      <x:c r="Z126" s="27" t="str">
        <x:v>Live, Asynchronous, Independent</x:v>
      </x:c>
      <x:c r="AA126" s="27" t="str">
        <x:v>Architecture mapped</x:v>
      </x:c>
      <x:c r="AB126" s="27" t="str">
        <x:v>Part of the canonical Y10 route. May pause or branch to a Reconnection lesson before returning.</x:v>
      </x:c>
    </x:row>
    <x:row r="127" ht="44" customHeight="1">
      <x:c r="A127" s="27" t="str">
        <x:v>NEO-MATH-Y10-124</x:v>
      </x:c>
      <x:c r="B127" s="27" t="n">
        <x:v>124</x:v>
      </x:c>
      <x:c r="C127" s="27" t="str">
        <x:v>NEO-MATH-Y10-09</x:v>
      </x:c>
      <x:c r="D127" s="27" t="n">
        <x:v>9</x:v>
      </x:c>
      <x:c r="E127" s="27" t="str">
        <x:v>Quadratics: Factors, Roots and Graphs</x:v>
      </x:c>
      <x:c r="F127" s="27" t="str">
        <x:v>Structure &amp; Generalisation</x:v>
      </x:c>
      <x:c r="G127" s="27" t="n">
        <x:v>3</x:v>
      </x:c>
      <x:c r="H127" s="27" t="str">
        <x:v>Core</x:v>
      </x:c>
      <x:c r="I127" s="27" t="str">
        <x:v>Represent it: Connect roots and intercepts</x:v>
      </x:c>
      <x:c r="J127" s="27" t="str">
        <x:v>How can I show connect roots and intercepts in more than one way?</x:v>
      </x:c>
      <x:c r="K127" s="27" t="str">
        <x:v>connect roots and intercepts</x:v>
      </x:c>
      <x:c r="L127" s="27" t="str">
        <x:v>connect roots and intercepts</x:v>
      </x:c>
      <x:c r="M127" s="27" t="str">
        <x:v>solve by factorisation</x:v>
      </x:c>
      <x:c r="N127" s="27" t="str"/>
      <x:c r="O127" s="27" t="str">
        <x:v>Connection</x:v>
      </x:c>
      <x:c r="P127" s="27" t="str">
        <x:v>Movement, Reflection</x:v>
      </x:c>
      <x:c r="Q127" s="27" t="str">
        <x:v>Root–Graph Connector</x:v>
      </x:c>
      <x:c r="R127" s="27" t="str">
        <x:v>Structure Lab</x:v>
      </x:c>
      <x:c r="S127" s="27" t="str">
        <x:v>Coordinate grid</x:v>
      </x:c>
      <x:c r="T127" s="27" t="str">
        <x:v>Quadratics: Factors, Roots and Graphs – connect roots and intercepts</x:v>
      </x:c>
      <x:c r="U127" s="27" t="str">
        <x:v>Annotated representation of connect roots and intercepts</x:v>
      </x:c>
      <x:c r="V127" s="27" t="str">
        <x:v>Learner can connect roots and intercepts and give a reason or check.</x:v>
      </x:c>
      <x:c r="W127" s="27" t="str">
        <x:v>Connect 5 / Explore 20 / Create or Apply 12 / Reflect 8</x:v>
      </x:c>
      <x:c r="X127" s="27" t="str">
        <x:v>Pearson Edexcel 4MA1 2.2, 2.7, 3.3</x:v>
      </x:c>
      <x:c r="Y127" s="27" t="str">
        <x:v>High</x:v>
      </x:c>
      <x:c r="Z127" s="27" t="str">
        <x:v>Live, Asynchronous, Independent</x:v>
      </x:c>
      <x:c r="AA127" s="27" t="str">
        <x:v>Architecture mapped</x:v>
      </x:c>
      <x:c r="AB127" s="27" t="str">
        <x:v>Part of the canonical Y10 route. May pause or branch to a Reconnection lesson before returning.</x:v>
      </x:c>
    </x:row>
    <x:row r="128" ht="44" customHeight="1">
      <x:c r="A128" s="27" t="str">
        <x:v>NEO-MATH-Y10-125</x:v>
      </x:c>
      <x:c r="B128" s="27" t="n">
        <x:v>125</x:v>
      </x:c>
      <x:c r="C128" s="27" t="str">
        <x:v>NEO-MATH-Y10-09</x:v>
      </x:c>
      <x:c r="D128" s="27" t="n">
        <x:v>9</x:v>
      </x:c>
      <x:c r="E128" s="27" t="str">
        <x:v>Quadratics: Factors, Roots and Graphs</x:v>
      </x:c>
      <x:c r="F128" s="27" t="str">
        <x:v>Structure &amp; Generalisation</x:v>
      </x:c>
      <x:c r="G128" s="27" t="n">
        <x:v>4</x:v>
      </x:c>
      <x:c r="H128" s="27" t="str">
        <x:v>Reconnection</x:v>
      </x:c>
      <x:c r="I128" s="27" t="str">
        <x:v>Reconnection: Expanding brackets</x:v>
      </x:c>
      <x:c r="J128" s="27" t="str">
        <x:v>What changes when a bracket opens?</x:v>
      </x:c>
      <x:c r="K128" s="27" t="str">
        <x:v>expand single brackets</x:v>
      </x:c>
      <x:c r="L128" s="27" t="str">
        <x:v>expand single brackets</x:v>
      </x:c>
      <x:c r="M128" s="27" t="str">
        <x:v>Branch triggered when expand single brackets is not yet secure enough for the current unit.</x:v>
      </x:c>
      <x:c r="N128" s="27" t="str">
        <x:v>REC-ALG-04</x:v>
      </x:c>
      <x:c r="O128" s="27" t="str">
        <x:v>Connection</x:v>
      </x:c>
      <x:c r="P128" s="27" t="str">
        <x:v>Reflection, Rest</x:v>
      </x:c>
      <x:c r="Q128" s="27" t="str">
        <x:v>Bracket Area Model</x:v>
      </x:c>
      <x:c r="R128" s="27" t="str">
        <x:v>Structure Lab</x:v>
      </x:c>
      <x:c r="S128" s="27" t="str">
        <x:v>Square grid</x:v>
      </x:c>
      <x:c r="T128" s="27" t="str">
        <x:v>Expanding brackets targeted practice</x:v>
      </x:c>
      <x:c r="U128" s="27" t="str">
        <x:v>Short reconnection evidence: expand single brackets</x:v>
      </x:c>
      <x:c r="V128" s="27" t="str">
        <x:v>Learner can expand single brackets sufficiently to return to Quadratics: Factors, Roots and Graphs.</x:v>
      </x:c>
      <x:c r="W128" s="27" t="str">
        <x:v>Arrive 5 / Reconnect 20 / Test 10 / Return link 10</x:v>
      </x:c>
      <x:c r="X128" s="27" t="str">
        <x:v>Pearson Edexcel 4MA1 2.2, 2.7, 3.3</x:v>
      </x:c>
      <x:c r="Y128" s="27" t="str">
        <x:v>Low-Moderate; targeted prerequisite repair</x:v>
      </x:c>
      <x:c r="Z128" s="27" t="str">
        <x:v>Live, Asynchronous, Independent</x:v>
      </x:c>
      <x:c r="AA128" s="27" t="str">
        <x:v>Architecture mapped</x:v>
      </x:c>
      <x:c r="AB128" s="27" t="str">
        <x:v>Not 'catch-up'. A targeted route from Year 8 learning that reconnects the learner to NEO-MATH-Y10-09.</x:v>
      </x:c>
    </x:row>
    <x:row r="129" ht="44" customHeight="1">
      <x:c r="A129" s="27" t="str">
        <x:v>NEO-MATH-Y10-126</x:v>
      </x:c>
      <x:c r="B129" s="27" t="n">
        <x:v>126</x:v>
      </x:c>
      <x:c r="C129" s="27" t="str">
        <x:v>NEO-MATH-Y10-09</x:v>
      </x:c>
      <x:c r="D129" s="27" t="n">
        <x:v>9</x:v>
      </x:c>
      <x:c r="E129" s="27" t="str">
        <x:v>Quadratics: Factors, Roots and Graphs</x:v>
      </x:c>
      <x:c r="F129" s="27" t="str">
        <x:v>Structure &amp; Generalisation</x:v>
      </x:c>
      <x:c r="G129" s="27" t="n">
        <x:v>4</x:v>
      </x:c>
      <x:c r="H129" s="27" t="str">
        <x:v>Core</x:v>
      </x:c>
      <x:c r="I129" s="27" t="str">
        <x:v>Try one change: Plot and interpret quadratics</x:v>
      </x:c>
      <x:c r="J129" s="27" t="str">
        <x:v>What changes when I adjust one part of plot and interpret quadratics?</x:v>
      </x:c>
      <x:c r="K129" s="27" t="str">
        <x:v>plot and interpret quadratics</x:v>
      </x:c>
      <x:c r="L129" s="27" t="str">
        <x:v>plot and interpret quadratics</x:v>
      </x:c>
      <x:c r="M129" s="27" t="str">
        <x:v>connect roots and intercepts</x:v>
      </x:c>
      <x:c r="N129" s="27" t="str"/>
      <x:c r="O129" s="27" t="str">
        <x:v>Connection</x:v>
      </x:c>
      <x:c r="P129" s="27" t="str">
        <x:v>Movement, Reflection</x:v>
      </x:c>
      <x:c r="Q129" s="27" t="str">
        <x:v>Root–Graph Connector</x:v>
      </x:c>
      <x:c r="R129" s="27" t="str">
        <x:v>Structure Lab</x:v>
      </x:c>
      <x:c r="S129" s="27" t="str">
        <x:v>Coordinate grid</x:v>
      </x:c>
      <x:c r="T129" s="27" t="str">
        <x:v>Quadratics: Factors, Roots and Graphs – plot and interpret quadratics</x:v>
      </x:c>
      <x:c r="U129" s="27" t="str">
        <x:v>Annotated representation of plot and interpret quadratics</x:v>
      </x:c>
      <x:c r="V129" s="27" t="str">
        <x:v>Learner can plot and interpret quadratics and give a reason or check.</x:v>
      </x:c>
      <x:c r="W129" s="27" t="str">
        <x:v>Connect 5 / Explore 20 / Create or Apply 12 / Reflect 8</x:v>
      </x:c>
      <x:c r="X129" s="27" t="str">
        <x:v>Pearson Edexcel 4MA1 2.2, 2.7, 3.3</x:v>
      </x:c>
      <x:c r="Y129" s="27" t="str">
        <x:v>High</x:v>
      </x:c>
      <x:c r="Z129" s="27" t="str">
        <x:v>Live, Asynchronous, Independent</x:v>
      </x:c>
      <x:c r="AA129" s="27" t="str">
        <x:v>Architecture mapped</x:v>
      </x:c>
      <x:c r="AB129" s="27" t="str">
        <x:v>Part of the canonical Y10 route. May pause or branch to a Reconnection lesson before returning.</x:v>
      </x:c>
    </x:row>
    <x:row r="130" ht="44" customHeight="1">
      <x:c r="A130" s="27" t="str">
        <x:v>NEO-MATH-Y10-127</x:v>
      </x:c>
      <x:c r="B130" s="27" t="n">
        <x:v>127</x:v>
      </x:c>
      <x:c r="C130" s="27" t="str">
        <x:v>NEO-MATH-Y10-09</x:v>
      </x:c>
      <x:c r="D130" s="27" t="n">
        <x:v>9</x:v>
      </x:c>
      <x:c r="E130" s="27" t="str">
        <x:v>Quadratics: Factors, Roots and Graphs</x:v>
      </x:c>
      <x:c r="F130" s="27" t="str">
        <x:v>Structure &amp; Generalisation</x:v>
      </x:c>
      <x:c r="G130" s="27" t="n">
        <x:v>5</x:v>
      </x:c>
      <x:c r="H130" s="27" t="str">
        <x:v>Core</x:v>
      </x:c>
      <x:c r="I130" s="27" t="str">
        <x:v>Connect ideas: Form simple quadratic models</x:v>
      </x:c>
      <x:c r="J130" s="27" t="str">
        <x:v>How does form simple quadratic models connect to the earlier relationship?</x:v>
      </x:c>
      <x:c r="K130" s="27" t="str">
        <x:v>form simple quadratic models</x:v>
      </x:c>
      <x:c r="L130" s="27" t="str">
        <x:v>form simple quadratic models</x:v>
      </x:c>
      <x:c r="M130" s="27" t="str">
        <x:v>plot and interpret quadratics</x:v>
      </x:c>
      <x:c r="N130" s="27" t="str"/>
      <x:c r="O130" s="27" t="str">
        <x:v>Connection</x:v>
      </x:c>
      <x:c r="P130" s="27" t="str">
        <x:v>Movement, Reflection</x:v>
      </x:c>
      <x:c r="Q130" s="27" t="str">
        <x:v>Root–Graph Connector</x:v>
      </x:c>
      <x:c r="R130" s="27" t="str">
        <x:v>Structure Lab</x:v>
      </x:c>
      <x:c r="S130" s="27" t="str">
        <x:v>Coordinate grid</x:v>
      </x:c>
      <x:c r="T130" s="27" t="str">
        <x:v>Quadratics: Factors, Roots and Graphs – form simple quadratic models</x:v>
      </x:c>
      <x:c r="U130" s="27" t="str">
        <x:v>Annotated representation of form simple quadratic models</x:v>
      </x:c>
      <x:c r="V130" s="27" t="str">
        <x:v>Learner can form simple quadratic models and give a reason or check.</x:v>
      </x:c>
      <x:c r="W130" s="27" t="str">
        <x:v>Connect 8 / Explore 20 / Notice 10 / Reflect 7</x:v>
      </x:c>
      <x:c r="X130" s="27" t="str">
        <x:v>Pearson Edexcel 4MA1 2.2, 2.7, 3.3</x:v>
      </x:c>
      <x:c r="Y130" s="27" t="str">
        <x:v>High</x:v>
      </x:c>
      <x:c r="Z130" s="27" t="str">
        <x:v>Live, Asynchronous, Independent</x:v>
      </x:c>
      <x:c r="AA130" s="27" t="str">
        <x:v>Architecture mapped</x:v>
      </x:c>
      <x:c r="AB130" s="27" t="str">
        <x:v>Part of the canonical Y10 route. May pause or branch to a Reconnection lesson before returning.</x:v>
      </x:c>
    </x:row>
    <x:row r="131" ht="44" customHeight="1">
      <x:c r="A131" s="27" t="str">
        <x:v>NEO-MATH-Y10-128</x:v>
      </x:c>
      <x:c r="B131" s="27" t="n">
        <x:v>128</x:v>
      </x:c>
      <x:c r="C131" s="27" t="str">
        <x:v>NEO-MATH-Y10-09</x:v>
      </x:c>
      <x:c r="D131" s="27" t="n">
        <x:v>9</x:v>
      </x:c>
      <x:c r="E131" s="27" t="str">
        <x:v>Quadratics: Factors, Roots and Graphs</x:v>
      </x:c>
      <x:c r="F131" s="27" t="str">
        <x:v>Structure &amp; Generalisation</x:v>
      </x:c>
      <x:c r="G131" s="27" t="n">
        <x:v>6</x:v>
      </x:c>
      <x:c r="H131" s="27" t="str">
        <x:v>Core</x:v>
      </x:c>
      <x:c r="I131" s="27" t="str">
        <x:v>Repair a misconception: Compare methods</x:v>
      </x:c>
      <x:c r="J131" s="27" t="str">
        <x:v>What tempting mistake can compare methods create?</x:v>
      </x:c>
      <x:c r="K131" s="27" t="str">
        <x:v>compare methods</x:v>
      </x:c>
      <x:c r="L131" s="27" t="str">
        <x:v>compare methods</x:v>
      </x:c>
      <x:c r="M131" s="27" t="str">
        <x:v>form simple quadratic models</x:v>
      </x:c>
      <x:c r="N131" s="27" t="str"/>
      <x:c r="O131" s="27" t="str">
        <x:v>Connection</x:v>
      </x:c>
      <x:c r="P131" s="27" t="str">
        <x:v>Movement, Reflection</x:v>
      </x:c>
      <x:c r="Q131" s="27" t="str">
        <x:v>Root–Graph Connector</x:v>
      </x:c>
      <x:c r="R131" s="27" t="str">
        <x:v>Structure Lab</x:v>
      </x:c>
      <x:c r="S131" s="27" t="str">
        <x:v>Coordinate grid</x:v>
      </x:c>
      <x:c r="T131" s="27" t="str">
        <x:v>Quadratics: Factors, Roots and Graphs – compare methods</x:v>
      </x:c>
      <x:c r="U131" s="27" t="str">
        <x:v>Corrected misconception note: compare methods</x:v>
      </x:c>
      <x:c r="V131" s="27" t="str">
        <x:v>Learner can compare methods and give a reason or check.</x:v>
      </x:c>
      <x:c r="W131" s="27" t="str">
        <x:v>Connect 5 / Explore 20 / Create or Apply 12 / Reflect 8</x:v>
      </x:c>
      <x:c r="X131" s="27" t="str">
        <x:v>Pearson Edexcel 4MA1 2.2, 2.7, 3.3</x:v>
      </x:c>
      <x:c r="Y131" s="27" t="str">
        <x:v>High</x:v>
      </x:c>
      <x:c r="Z131" s="27" t="str">
        <x:v>Live, Asynchronous, Independent</x:v>
      </x:c>
      <x:c r="AA131" s="27" t="str">
        <x:v>Architecture mapped</x:v>
      </x:c>
      <x:c r="AB131" s="27" t="str">
        <x:v>Part of the canonical Y10 route. May pause or branch to a Reconnection lesson before returning.</x:v>
      </x:c>
    </x:row>
    <x:row r="132" ht="44" customHeight="1">
      <x:c r="A132" s="27" t="str">
        <x:v>NEO-MATH-Y10-129</x:v>
      </x:c>
      <x:c r="B132" s="27" t="n">
        <x:v>129</x:v>
      </x:c>
      <x:c r="C132" s="27" t="str">
        <x:v>NEO-MATH-Y10-09</x:v>
      </x:c>
      <x:c r="D132" s="27" t="n">
        <x:v>9</x:v>
      </x:c>
      <x:c r="E132" s="27" t="str">
        <x:v>Quadratics: Factors, Roots and Graphs</x:v>
      </x:c>
      <x:c r="F132" s="27" t="str">
        <x:v>Structure &amp; Generalisation</x:v>
      </x:c>
      <x:c r="G132" s="27" t="n">
        <x:v>7</x:v>
      </x:c>
      <x:c r="H132" s="27" t="str">
        <x:v>Core</x:v>
      </x:c>
      <x:c r="I132" s="27" t="str">
        <x:v>Apply in context: Expand and factorise quadratics</x:v>
      </x:c>
      <x:c r="J132" s="27" t="str">
        <x:v>Where might expand and factorise quadratics help with a real decision?</x:v>
      </x:c>
      <x:c r="K132" s="27" t="str">
        <x:v>expand and factorise quadratics</x:v>
      </x:c>
      <x:c r="L132" s="27" t="str">
        <x:v>expand and factorise quadratics</x:v>
      </x:c>
      <x:c r="M132" s="27" t="str">
        <x:v>compare methods</x:v>
      </x:c>
      <x:c r="N132" s="27" t="str"/>
      <x:c r="O132" s="27" t="str">
        <x:v>Connection</x:v>
      </x:c>
      <x:c r="P132" s="27" t="str">
        <x:v>Movement, Reflection</x:v>
      </x:c>
      <x:c r="Q132" s="27" t="str">
        <x:v>Root–Graph Connector</x:v>
      </x:c>
      <x:c r="R132" s="27" t="str">
        <x:v>Structure Lab</x:v>
      </x:c>
      <x:c r="S132" s="27" t="str">
        <x:v>Coordinate grid</x:v>
      </x:c>
      <x:c r="T132" s="27" t="str">
        <x:v>Quadratics: Factors, Roots and Graphs – expand and factorise quadratics</x:v>
      </x:c>
      <x:c r="U132" s="27" t="str">
        <x:v>Short contextual application of expand and factorise quadratics</x:v>
      </x:c>
      <x:c r="V132" s="27" t="str">
        <x:v>Learner can expand and factorise quadratics and give a reason or check.</x:v>
      </x:c>
      <x:c r="W132" s="27" t="str">
        <x:v>Connect 5 / Explore 20 / Create or Apply 12 / Reflect 8</x:v>
      </x:c>
      <x:c r="X132" s="27" t="str">
        <x:v>Pearson Edexcel 4MA1 2.2, 2.7, 3.3</x:v>
      </x:c>
      <x:c r="Y132" s="27" t="str">
        <x:v>High</x:v>
      </x:c>
      <x:c r="Z132" s="27" t="str">
        <x:v>Live, Asynchronous, Independent</x:v>
      </x:c>
      <x:c r="AA132" s="27" t="str">
        <x:v>Architecture mapped</x:v>
      </x:c>
      <x:c r="AB132" s="27" t="str">
        <x:v>Part of the canonical Y10 route. May pause or branch to a Reconnection lesson before returning.</x:v>
      </x:c>
    </x:row>
    <x:row r="133" ht="44" customHeight="1">
      <x:c r="A133" s="27" t="str">
        <x:v>NEO-MATH-Y10-130</x:v>
      </x:c>
      <x:c r="B133" s="27" t="n">
        <x:v>130</x:v>
      </x:c>
      <x:c r="C133" s="27" t="str">
        <x:v>NEO-MATH-Y10-09</x:v>
      </x:c>
      <x:c r="D133" s="27" t="n">
        <x:v>9</x:v>
      </x:c>
      <x:c r="E133" s="27" t="str">
        <x:v>Quadratics: Factors, Roots and Graphs</x:v>
      </x:c>
      <x:c r="F133" s="27" t="str">
        <x:v>Structure &amp; Generalisation</x:v>
      </x:c>
      <x:c r="G133" s="27" t="n">
        <x:v>8</x:v>
      </x:c>
      <x:c r="H133" s="27" t="str">
        <x:v>Core</x:v>
      </x:c>
      <x:c r="I133" s="27" t="str">
        <x:v>Model and test: Solve by factorisation</x:v>
      </x:c>
      <x:c r="J133" s="27" t="str">
        <x:v>Can I build a model using solve by factorisation and test it?</x:v>
      </x:c>
      <x:c r="K133" s="27" t="str">
        <x:v>solve by factorisation</x:v>
      </x:c>
      <x:c r="L133" s="27" t="str">
        <x:v>solve by factorisation</x:v>
      </x:c>
      <x:c r="M133" s="27" t="str">
        <x:v>expand and factorise quadratics</x:v>
      </x:c>
      <x:c r="N133" s="27" t="str"/>
      <x:c r="O133" s="27" t="str">
        <x:v>Connection</x:v>
      </x:c>
      <x:c r="P133" s="27" t="str">
        <x:v>Movement, Reflection</x:v>
      </x:c>
      <x:c r="Q133" s="27" t="str">
        <x:v>Root–Graph Connector</x:v>
      </x:c>
      <x:c r="R133" s="27" t="str">
        <x:v>Structure Lab</x:v>
      </x:c>
      <x:c r="S133" s="27" t="str">
        <x:v>Coordinate grid</x:v>
      </x:c>
      <x:c r="T133" s="27" t="str">
        <x:v>Quadratics: Factors, Roots and Graphs – solve by factorisation</x:v>
      </x:c>
      <x:c r="U133" s="27" t="str">
        <x:v>Tested model using solve by factorisation</x:v>
      </x:c>
      <x:c r="V133" s="27" t="str">
        <x:v>Learner can solve by factorisation and give a reason or check.</x:v>
      </x:c>
      <x:c r="W133" s="27" t="str">
        <x:v>Connect 5 / Explore 20 / Create or Apply 12 / Reflect 8</x:v>
      </x:c>
      <x:c r="X133" s="27" t="str">
        <x:v>Pearson Edexcel 4MA1 2.2, 2.7, 3.3</x:v>
      </x:c>
      <x:c r="Y133" s="27" t="str">
        <x:v>High</x:v>
      </x:c>
      <x:c r="Z133" s="27" t="str">
        <x:v>Live, Asynchronous, Independent</x:v>
      </x:c>
      <x:c r="AA133" s="27" t="str">
        <x:v>Architecture mapped</x:v>
      </x:c>
      <x:c r="AB133" s="27" t="str">
        <x:v>Part of the canonical Y10 route. May pause or branch to a Reconnection lesson before returning.</x:v>
      </x:c>
    </x:row>
    <x:row r="134" ht="44" customHeight="1">
      <x:c r="A134" s="27" t="str">
        <x:v>NEO-MATH-Y10-131</x:v>
      </x:c>
      <x:c r="B134" s="27" t="n">
        <x:v>131</x:v>
      </x:c>
      <x:c r="C134" s="27" t="str">
        <x:v>NEO-MATH-Y10-09</x:v>
      </x:c>
      <x:c r="D134" s="27" t="n">
        <x:v>9</x:v>
      </x:c>
      <x:c r="E134" s="27" t="str">
        <x:v>Quadratics: Factors, Roots and Graphs</x:v>
      </x:c>
      <x:c r="F134" s="27" t="str">
        <x:v>Structure &amp; Generalisation</x:v>
      </x:c>
      <x:c r="G134" s="27" t="n">
        <x:v>9</x:v>
      </x:c>
      <x:c r="H134" s="27" t="str">
        <x:v>Core</x:v>
      </x:c>
      <x:c r="I134" s="27" t="str">
        <x:v>Compare strategies: Connect roots and intercepts</x:v>
      </x:c>
      <x:c r="J134" s="27" t="str">
        <x:v>Which route through connect roots and intercepts is clearest or most efficient?</x:v>
      </x:c>
      <x:c r="K134" s="27" t="str">
        <x:v>connect roots and intercepts</x:v>
      </x:c>
      <x:c r="L134" s="27" t="str">
        <x:v>connect roots and intercepts</x:v>
      </x:c>
      <x:c r="M134" s="27" t="str">
        <x:v>solve by factorisation</x:v>
      </x:c>
      <x:c r="N134" s="27" t="str"/>
      <x:c r="O134" s="27" t="str">
        <x:v>Connection</x:v>
      </x:c>
      <x:c r="P134" s="27" t="str">
        <x:v>Movement, Reflection</x:v>
      </x:c>
      <x:c r="Q134" s="27" t="str">
        <x:v>Root–Graph Connector</x:v>
      </x:c>
      <x:c r="R134" s="27" t="str">
        <x:v>Structure Lab</x:v>
      </x:c>
      <x:c r="S134" s="27" t="str">
        <x:v>Coordinate grid</x:v>
      </x:c>
      <x:c r="T134" s="27" t="str">
        <x:v>Quadratics: Factors, Roots and Graphs – connect roots and intercepts</x:v>
      </x:c>
      <x:c r="U134" s="27" t="str">
        <x:v>Two-route comparison for connect roots and intercepts</x:v>
      </x:c>
      <x:c r="V134" s="27" t="str">
        <x:v>Learner can connect roots and intercepts and give a reason or check.</x:v>
      </x:c>
      <x:c r="W134" s="27" t="str">
        <x:v>Connect 5 / Explore 20 / Create or Apply 12 / Reflect 8</x:v>
      </x:c>
      <x:c r="X134" s="27" t="str">
        <x:v>Pearson Edexcel 4MA1 2.2, 2.7, 3.3</x:v>
      </x:c>
      <x:c r="Y134" s="27" t="str">
        <x:v>High</x:v>
      </x:c>
      <x:c r="Z134" s="27" t="str">
        <x:v>Live, Asynchronous, Independent</x:v>
      </x:c>
      <x:c r="AA134" s="27" t="str">
        <x:v>Architecture mapped</x:v>
      </x:c>
      <x:c r="AB134" s="27" t="str">
        <x:v>Part of the canonical Y10 route. May pause or branch to a Reconnection lesson before returning.</x:v>
      </x:c>
    </x:row>
    <x:row r="135" ht="44" customHeight="1">
      <x:c r="A135" s="27" t="str">
        <x:v>NEO-MATH-Y10-132</x:v>
      </x:c>
      <x:c r="B135" s="27" t="n">
        <x:v>132</x:v>
      </x:c>
      <x:c r="C135" s="27" t="str">
        <x:v>NEO-MATH-Y10-09</x:v>
      </x:c>
      <x:c r="D135" s="27" t="n">
        <x:v>9</x:v>
      </x:c>
      <x:c r="E135" s="27" t="str">
        <x:v>Quadratics: Factors, Roots and Graphs</x:v>
      </x:c>
      <x:c r="F135" s="27" t="str">
        <x:v>Structure &amp; Generalisation</x:v>
      </x:c>
      <x:c r="G135" s="27" t="n">
        <x:v>11</x:v>
      </x:c>
      <x:c r="H135" s="27" t="str">
        <x:v>Qualification Practice</x:v>
      </x:c>
      <x:c r="I135" s="27" t="str">
        <x:v>Assessment translation 1: Expand and factorise quadratics</x:v>
      </x:c>
      <x:c r="J135" s="27" t="str">
        <x:v>How might a qualification question hide the need to expand and factorise quadratics?</x:v>
      </x:c>
      <x:c r="K135" s="27" t="str">
        <x:v>translate assessed wording into the canonical move: expand and factorise quadratics</x:v>
      </x:c>
      <x:c r="L135" s="27" t="str">
        <x:v>expand and factorise quadratics</x:v>
      </x:c>
      <x:c r="M135" s="27" t="str">
        <x:v>relevant core concept plus question-reading routine</x:v>
      </x:c>
      <x:c r="N135" s="27" t="str">
        <x:v>REC-SRL-01 if wording blocks mathematical access</x:v>
      </x:c>
      <x:c r="O135" s="27" t="str">
        <x:v>Reflection</x:v>
      </x:c>
      <x:c r="P135" s="27" t="str">
        <x:v>Connection, Rest</x:v>
      </x:c>
      <x:c r="Q135" s="27" t="str">
        <x:v>Question Translation Studio</x:v>
      </x:c>
      <x:c r="R135" s="27" t="str">
        <x:v>Navigation Tool</x:v>
      </x:c>
      <x:c r="S135" s="27" t="str">
        <x:v>Coordinate grid</x:v>
      </x:c>
      <x:c r="T135" s="27" t="str">
        <x:v>4MA1-style mixed questions: expand and factorise quadratics</x:v>
      </x:c>
      <x:c r="U135" s="27" t="str">
        <x:v>Annotated assessed-world question showing givens, goal, route and check for expand and factorise quadratics</x:v>
      </x:c>
      <x:c r="V135" s="27" t="str">
        <x:v>Learner identifies the mathematics, selects a route and checks a solution involving expand and factorise quadratics.</x:v>
      </x:c>
      <x:c r="W135" s="27" t="str">
        <x:v>Decode 10 / Solve 20 / Compare 10 / Reflect 5</x:v>
      </x:c>
      <x:c r="X135" s="27" t="str">
        <x:v>Pearson Edexcel 4MA1 2.2, 2.7, 3.3</x:v>
      </x:c>
      <x:c r="Y135" s="27" t="str">
        <x:v>Moderate-High; wording chunked before calculation</x:v>
      </x:c>
      <x:c r="Z135" s="27" t="str">
        <x:v>Live, Asynchronous, Independent</x:v>
      </x:c>
      <x:c r="AA135" s="27" t="str">
        <x:v>Architecture mapped</x:v>
      </x:c>
      <x:c r="AB135" s="27" t="str">
        <x:v>Qualification overlay lesson. Exam wording is translated into mathematics already present in the canonical spine.</x:v>
      </x:c>
    </x:row>
    <x:row r="136" ht="44" customHeight="1">
      <x:c r="A136" s="27" t="str">
        <x:v>NEO-MATH-Y10-133</x:v>
      </x:c>
      <x:c r="B136" s="27" t="n">
        <x:v>133</x:v>
      </x:c>
      <x:c r="C136" s="27" t="str">
        <x:v>NEO-MATH-Y10-09</x:v>
      </x:c>
      <x:c r="D136" s="27" t="n">
        <x:v>9</x:v>
      </x:c>
      <x:c r="E136" s="27" t="str">
        <x:v>Quadratics: Factors, Roots and Graphs</x:v>
      </x:c>
      <x:c r="F136" s="27" t="str">
        <x:v>Structure &amp; Generalisation</x:v>
      </x:c>
      <x:c r="G136" s="27" t="n">
        <x:v>10</x:v>
      </x:c>
      <x:c r="H136" s="27" t="str">
        <x:v>Core</x:v>
      </x:c>
      <x:c r="I136" s="27" t="str">
        <x:v>Practice with choice: Plot and interpret quadratics</x:v>
      </x:c>
      <x:c r="J136" s="27" t="str">
        <x:v>Can I use plot and interpret quadratics without being told the method?</x:v>
      </x:c>
      <x:c r="K136" s="27" t="str">
        <x:v>plot and interpret quadratics</x:v>
      </x:c>
      <x:c r="L136" s="27" t="str">
        <x:v>plot and interpret quadratics</x:v>
      </x:c>
      <x:c r="M136" s="27" t="str">
        <x:v>connect roots and intercepts</x:v>
      </x:c>
      <x:c r="N136" s="27" t="str"/>
      <x:c r="O136" s="27" t="str">
        <x:v>Connection</x:v>
      </x:c>
      <x:c r="P136" s="27" t="str">
        <x:v>Movement, Reflection</x:v>
      </x:c>
      <x:c r="Q136" s="27" t="str">
        <x:v>Root–Graph Connector</x:v>
      </x:c>
      <x:c r="R136" s="27" t="str">
        <x:v>Structure Lab</x:v>
      </x:c>
      <x:c r="S136" s="27" t="str">
        <x:v>Coordinate grid</x:v>
      </x:c>
      <x:c r="T136" s="27" t="str">
        <x:v>Quadratics: Factors, Roots and Graphs – plot and interpret quadratics</x:v>
      </x:c>
      <x:c r="U136" s="27" t="str">
        <x:v>Practice Companion evidence for plot and interpret quadratics</x:v>
      </x:c>
      <x:c r="V136" s="27" t="str">
        <x:v>Learner can plot and interpret quadratics and give a reason or check.</x:v>
      </x:c>
      <x:c r="W136" s="27" t="str">
        <x:v>Reconnect 5 / Practice 25 / Check 10 / Reflect 5</x:v>
      </x:c>
      <x:c r="X136" s="27" t="str">
        <x:v>Pearson Edexcel 4MA1 2.2, 2.7, 3.3</x:v>
      </x:c>
      <x:c r="Y136" s="27" t="str">
        <x:v>High</x:v>
      </x:c>
      <x:c r="Z136" s="27" t="str">
        <x:v>Live, Asynchronous, Independent</x:v>
      </x:c>
      <x:c r="AA136" s="27" t="str">
        <x:v>Architecture mapped</x:v>
      </x:c>
      <x:c r="AB136" s="27" t="str">
        <x:v>Part of the canonical Y10 route. May pause or branch to a Reconnection lesson before returning.</x:v>
      </x:c>
    </x:row>
    <x:row r="137" ht="44" customHeight="1">
      <x:c r="A137" s="27" t="str">
        <x:v>NEO-MATH-Y10-134</x:v>
      </x:c>
      <x:c r="B137" s="27" t="n">
        <x:v>134</x:v>
      </x:c>
      <x:c r="C137" s="27" t="str">
        <x:v>NEO-MATH-Y10-09</x:v>
      </x:c>
      <x:c r="D137" s="27" t="n">
        <x:v>9</x:v>
      </x:c>
      <x:c r="E137" s="27" t="str">
        <x:v>Quadratics: Factors, Roots and Graphs</x:v>
      </x:c>
      <x:c r="F137" s="27" t="str">
        <x:v>Structure &amp; Generalisation</x:v>
      </x:c>
      <x:c r="G137" s="27" t="n">
        <x:v>11</x:v>
      </x:c>
      <x:c r="H137" s="27" t="str">
        <x:v>Core</x:v>
      </x:c>
      <x:c r="I137" s="27" t="str">
        <x:v>Qualification translation: Form simple quadratic models</x:v>
      </x:c>
      <x:c r="J137" s="27" t="str">
        <x:v>How might an assessed question disguise form simple quadratic models?</x:v>
      </x:c>
      <x:c r="K137" s="27" t="str">
        <x:v>form simple quadratic models</x:v>
      </x:c>
      <x:c r="L137" s="27" t="str">
        <x:v>form simple quadratic models</x:v>
      </x:c>
      <x:c r="M137" s="27" t="str">
        <x:v>plot and interpret quadratics</x:v>
      </x:c>
      <x:c r="N137" s="27" t="str"/>
      <x:c r="O137" s="27" t="str">
        <x:v>Connection</x:v>
      </x:c>
      <x:c r="P137" s="27" t="str">
        <x:v>Movement, Reflection</x:v>
      </x:c>
      <x:c r="Q137" s="27" t="str">
        <x:v>Root–Graph Connector</x:v>
      </x:c>
      <x:c r="R137" s="27" t="str">
        <x:v>Structure Lab</x:v>
      </x:c>
      <x:c r="S137" s="27" t="str">
        <x:v>Coordinate grid</x:v>
      </x:c>
      <x:c r="T137" s="27" t="str">
        <x:v>Quadratics: Factors, Roots and Graphs – form simple quadratic models</x:v>
      </x:c>
      <x:c r="U137" s="27" t="str">
        <x:v>Annotated question translation for form simple quadratic models</x:v>
      </x:c>
      <x:c r="V137" s="27" t="str">
        <x:v>Learner can form simple quadratic models and give a reason or check.</x:v>
      </x:c>
      <x:c r="W137" s="27" t="str">
        <x:v>Translate 10 / Solve 20 / Compare 10 / Reflect 5</x:v>
      </x:c>
      <x:c r="X137" s="27" t="str">
        <x:v>Pearson Edexcel 4MA1 2.2, 2.7, 3.3</x:v>
      </x:c>
      <x:c r="Y137" s="27" t="str">
        <x:v>High</x:v>
      </x:c>
      <x:c r="Z137" s="27" t="str">
        <x:v>Live, Asynchronous, Independent</x:v>
      </x:c>
      <x:c r="AA137" s="27" t="str">
        <x:v>Architecture mapped</x:v>
      </x:c>
      <x:c r="AB137" s="27" t="str">
        <x:v>Part of the canonical Y10 route. May pause or branch to a Reconnection lesson before returning.</x:v>
      </x:c>
    </x:row>
    <x:row r="138" ht="44" customHeight="1">
      <x:c r="A138" s="27" t="str">
        <x:v>NEO-MATH-Y10-135</x:v>
      </x:c>
      <x:c r="B138" s="27" t="n">
        <x:v>135</x:v>
      </x:c>
      <x:c r="C138" s="27" t="str">
        <x:v>NEO-MATH-Y10-09</x:v>
      </x:c>
      <x:c r="D138" s="27" t="n">
        <x:v>9</x:v>
      </x:c>
      <x:c r="E138" s="27" t="str">
        <x:v>Quadratics: Factors, Roots and Graphs</x:v>
      </x:c>
      <x:c r="F138" s="27" t="str">
        <x:v>Structure &amp; Generalisation</x:v>
      </x:c>
      <x:c r="G138" s="27" t="n">
        <x:v>12</x:v>
      </x:c>
      <x:c r="H138" s="27" t="str">
        <x:v>Core</x:v>
      </x:c>
      <x:c r="I138" s="27" t="str">
        <x:v>Mastery checkpoint: Compare methods</x:v>
      </x:c>
      <x:c r="J138" s="27" t="str">
        <x:v>What can I now explain, apply and check about compare methods?</x:v>
      </x:c>
      <x:c r="K138" s="27" t="str">
        <x:v>compare methods</x:v>
      </x:c>
      <x:c r="L138" s="27" t="str">
        <x:v>compare methods</x:v>
      </x:c>
      <x:c r="M138" s="27" t="str">
        <x:v>form simple quadratic models</x:v>
      </x:c>
      <x:c r="N138" s="27" t="str"/>
      <x:c r="O138" s="27" t="str">
        <x:v>Connection</x:v>
      </x:c>
      <x:c r="P138" s="27" t="str">
        <x:v>Movement, Reflection</x:v>
      </x:c>
      <x:c r="Q138" s="27" t="str">
        <x:v>Root–Graph Connector</x:v>
      </x:c>
      <x:c r="R138" s="27" t="str">
        <x:v>Structure Lab</x:v>
      </x:c>
      <x:c r="S138" s="27" t="str">
        <x:v>Coordinate grid</x:v>
      </x:c>
      <x:c r="T138" s="27" t="str">
        <x:v>Quadratics: Factors, Roots and Graphs – compare methods</x:v>
      </x:c>
      <x:c r="U138" s="27" t="str">
        <x:v>Quadratic Method Comparison</x:v>
      </x:c>
      <x:c r="V138" s="27" t="str">
        <x:v>Learner can compare methods and give a reason or check.</x:v>
      </x:c>
      <x:c r="W138" s="27" t="str">
        <x:v>Settle 5 / Choose evidence 25 / Mastery check 10 / Reflect 5</x:v>
      </x:c>
      <x:c r="X138" s="27" t="str">
        <x:v>Pearson Edexcel 4MA1 2.2, 2.7, 3.3</x:v>
      </x:c>
      <x:c r="Y138" s="27" t="str">
        <x:v>High</x:v>
      </x:c>
      <x:c r="Z138" s="27" t="str">
        <x:v>Live, Asynchronous, Independent</x:v>
      </x:c>
      <x:c r="AA138" s="27" t="str">
        <x:v>Architecture mapped</x:v>
      </x:c>
      <x:c r="AB138" s="27" t="str">
        <x:v>Part of the canonical Y10 route. May pause or branch to a Reconnection lesson before returning.</x:v>
      </x:c>
    </x:row>
    <x:row r="139" ht="44" customHeight="1">
      <x:c r="A139" s="27" t="str">
        <x:v>NEO-MATH-Y10-136</x:v>
      </x:c>
      <x:c r="B139" s="27" t="n">
        <x:v>136</x:v>
      </x:c>
      <x:c r="C139" s="27" t="str">
        <x:v>NEO-MATH-Y10-09</x:v>
      </x:c>
      <x:c r="D139" s="27" t="n">
        <x:v>9</x:v>
      </x:c>
      <x:c r="E139" s="27" t="str">
        <x:v>Quadratics: Factors, Roots and Graphs</x:v>
      </x:c>
      <x:c r="F139" s="27" t="str">
        <x:v>Structure &amp; Generalisation</x:v>
      </x:c>
      <x:c r="G139" s="27" t="n">
        <x:v>15</x:v>
      </x:c>
      <x:c r="H139" s="27" t="str">
        <x:v>Qualification Practice</x:v>
      </x:c>
      <x:c r="I139" s="27" t="str">
        <x:v>Assessment translation 2: Solve by factorisation</x:v>
      </x:c>
      <x:c r="J139" s="27" t="str">
        <x:v>How might a qualification question hide the need to solve by factorisation?</x:v>
      </x:c>
      <x:c r="K139" s="27" t="str">
        <x:v>translate assessed wording into the canonical move: solve by factorisation</x:v>
      </x:c>
      <x:c r="L139" s="27" t="str">
        <x:v>solve by factorisation</x:v>
      </x:c>
      <x:c r="M139" s="27" t="str">
        <x:v>relevant core concept plus question-reading routine</x:v>
      </x:c>
      <x:c r="N139" s="27" t="str">
        <x:v>REC-SRL-01 if wording blocks mathematical access</x:v>
      </x:c>
      <x:c r="O139" s="27" t="str">
        <x:v>Reflection</x:v>
      </x:c>
      <x:c r="P139" s="27" t="str">
        <x:v>Connection, Rest</x:v>
      </x:c>
      <x:c r="Q139" s="27" t="str">
        <x:v>Question Translation Studio</x:v>
      </x:c>
      <x:c r="R139" s="27" t="str">
        <x:v>Navigation Tool</x:v>
      </x:c>
      <x:c r="S139" s="27" t="str">
        <x:v>Coordinate grid</x:v>
      </x:c>
      <x:c r="T139" s="27" t="str">
        <x:v>4MA1-style mixed questions: solve by factorisation</x:v>
      </x:c>
      <x:c r="U139" s="27" t="str">
        <x:v>Annotated assessed-world question showing givens, goal, route and check for solve by factorisation</x:v>
      </x:c>
      <x:c r="V139" s="27" t="str">
        <x:v>Learner identifies the mathematics, selects a route and checks a solution involving solve by factorisation.</x:v>
      </x:c>
      <x:c r="W139" s="27" t="str">
        <x:v>Decode 10 / Solve 20 / Compare 10 / Reflect 5</x:v>
      </x:c>
      <x:c r="X139" s="27" t="str">
        <x:v>Pearson Edexcel 4MA1 2.2, 2.7, 3.3</x:v>
      </x:c>
      <x:c r="Y139" s="27" t="str">
        <x:v>Moderate-High; wording chunked before calculation</x:v>
      </x:c>
      <x:c r="Z139" s="27" t="str">
        <x:v>Live, Asynchronous, Independent</x:v>
      </x:c>
      <x:c r="AA139" s="27" t="str">
        <x:v>Architecture mapped</x:v>
      </x:c>
      <x:c r="AB139" s="27" t="str">
        <x:v>Qualification overlay lesson. Exam wording is translated into mathematics already present in the canonical spine.</x:v>
      </x:c>
    </x:row>
    <x:row r="140" ht="44" customHeight="1">
      <x:c r="A140" s="27" t="str">
        <x:v>NEO-MATH-Y10-137</x:v>
      </x:c>
      <x:c r="B140" s="27" t="n">
        <x:v>137</x:v>
      </x:c>
      <x:c r="C140" s="27" t="str">
        <x:v>NEO-MATH-Y10-09</x:v>
      </x:c>
      <x:c r="D140" s="27" t="n">
        <x:v>9</x:v>
      </x:c>
      <x:c r="E140" s="27" t="str">
        <x:v>Quadratics: Factors, Roots and Graphs</x:v>
      </x:c>
      <x:c r="F140" s="27" t="str">
        <x:v>Structure &amp; Generalisation</x:v>
      </x:c>
      <x:c r="G140" s="27" t="n">
        <x:v>16</x:v>
      </x:c>
      <x:c r="H140" s="27" t="str">
        <x:v>Portfolio / Pathway Review</x:v>
      </x:c>
      <x:c r="I140" s="27" t="str">
        <x:v>Evidence and next step: Quadratics: Factors, Roots and Graphs</x:v>
      </x:c>
      <x:c r="J140" s="27" t="str">
        <x:v>What evidence shows what I can now do—and what would be a useful next mathematical move?</x:v>
      </x:c>
      <x:c r="K140" s="27" t="str">
        <x:v>select, annotate and reflect on unit evidence</x:v>
      </x:c>
      <x:c r="L140" s="27" t="str">
        <x:v>unit-level synthesis, communication and self-regulation</x:v>
      </x:c>
      <x:c r="M140" s="27" t="str">
        <x:v>any meaningful participation or evidence from the unit</x:v>
      </x:c>
      <x:c r="N140" s="27" t="str">
        <x:v>learner-specific</x:v>
      </x:c>
      <x:c r="O140" s="27" t="str">
        <x:v>Reflection</x:v>
      </x:c>
      <x:c r="P140" s="27" t="str">
        <x:v>Rest, Connection</x:v>
      </x:c>
      <x:c r="Q140" s="27" t="str">
        <x:v>Portfolio Evidence Selector</x:v>
      </x:c>
      <x:c r="R140" s="27" t="str">
        <x:v>Navigation Tool</x:v>
      </x:c>
      <x:c r="S140" s="27" t="str">
        <x:v>Blank</x:v>
      </x:c>
      <x:c r="T140" s="27" t="str">
        <x:v>learner-selected gap or stretch</x:v>
      </x:c>
      <x:c r="U140" s="27" t="str">
        <x:v>Quadratic Method Comparison</x:v>
      </x:c>
      <x:c r="V140" s="27" t="str">
        <x:v>Learner can point to evidence for current mastery and agree a next step.</x:v>
      </x:c>
      <x:c r="W140" s="27" t="str">
        <x:v>Settle 5 / Select 10 / Annotate 15 / Strengthen 10 / Next step 5</x:v>
      </x:c>
      <x:c r="X140" s="27" t="str">
        <x:v>Pearson Edexcel 4MA1 2.2, 2.7, 3.3</x:v>
      </x:c>
      <x:c r="Y140" s="27" t="str">
        <x:v>Low-Moderate; learner choice</x:v>
      </x:c>
      <x:c r="Z140" s="27" t="str">
        <x:v>Live, Asynchronous, Independent</x:v>
      </x:c>
      <x:c r="AA140" s="27" t="str">
        <x:v>Architecture mapped</x:v>
      </x:c>
      <x:c r="AB140" s="27" t="str">
        <x:v>Portfolio and pathway review. Completion volume is not used as a proxy for mastery.</x:v>
      </x:c>
    </x:row>
    <x:row r="141" ht="44" customHeight="1">
      <x:c r="A141" s="27" t="str">
        <x:v>NEO-MATH-Y10-138</x:v>
      </x:c>
      <x:c r="B141" s="27" t="n">
        <x:v>138</x:v>
      </x:c>
      <x:c r="C141" s="27" t="str">
        <x:v>NEO-MATH-Y10-10</x:v>
      </x:c>
      <x:c r="D141" s="27" t="n">
        <x:v>10</x:v>
      </x:c>
      <x:c r="E141" s="27" t="str">
        <x:v>The Connected Maths Performance Project</x:v>
      </x:c>
      <x:c r="F141" s="27" t="str">
        <x:v>Proof &amp; Communication</x:v>
      </x:c>
      <x:c r="G141" s="27" t="n">
        <x:v>1</x:v>
      </x:c>
      <x:c r="H141" s="27" t="str">
        <x:v>Core</x:v>
      </x:c>
      <x:c r="I141" s="27" t="str">
        <x:v>Connect &amp; notice: Identify relevant mathematics</x:v>
      </x:c>
      <x:c r="J141" s="27" t="str">
        <x:v>What do I already notice about identify relevant mathematics?</x:v>
      </x:c>
      <x:c r="K141" s="27" t="str">
        <x:v>identify relevant mathematics</x:v>
      </x:c>
      <x:c r="L141" s="27" t="str">
        <x:v>identify relevant mathematics</x:v>
      </x:c>
      <x:c r="M141" s="27" t="str">
        <x:v>learner entry knowledge and representation confidence</x:v>
      </x:c>
      <x:c r="N141" s="27" t="str"/>
      <x:c r="O141" s="27" t="str">
        <x:v>Creativity</x:v>
      </x:c>
      <x:c r="P141" s="27" t="str">
        <x:v>Connection, Reflection</x:v>
      </x:c>
      <x:c r="Q141" s="27" t="str">
        <x:v>Multi-Topic Model Builder</x:v>
      </x:c>
      <x:c r="R141" s="27" t="str">
        <x:v>Reasoning Studio</x:v>
      </x:c>
      <x:c r="S141" s="27" t="str">
        <x:v>Blank / context preset</x:v>
      </x:c>
      <x:c r="T141" s="27" t="str">
        <x:v>The Connected Maths Performance Project – identify relevant mathematics</x:v>
      </x:c>
      <x:c r="U141" s="27" t="str">
        <x:v>Scratchpad prediction or notice about identify relevant mathematics</x:v>
      </x:c>
      <x:c r="V141" s="27" t="str">
        <x:v>Learner can identify relevant mathematics and give a reason or check.</x:v>
      </x:c>
      <x:c r="W141" s="27" t="str">
        <x:v>Connect 8 / Explore 20 / Notice 10 / Reflect 7</x:v>
      </x:c>
      <x:c r="X141" s="27" t="str">
        <x:v>4MA1 cross-domain reasoning/problem solving</x:v>
      </x:c>
      <x:c r="Y141" s="27" t="str">
        <x:v>Variable</x:v>
      </x:c>
      <x:c r="Z141" s="27" t="str">
        <x:v>Live, Asynchronous, Independent</x:v>
      </x:c>
      <x:c r="AA141" s="27" t="str">
        <x:v>Architecture mapped</x:v>
      </x:c>
      <x:c r="AB141" s="27" t="str">
        <x:v>Part of the canonical Y10 route. May pause or branch to a Reconnection lesson before returning.</x:v>
      </x:c>
    </x:row>
    <x:row r="142" ht="44" customHeight="1">
      <x:c r="A142" s="27" t="str">
        <x:v>NEO-MATH-Y10-139</x:v>
      </x:c>
      <x:c r="B142" s="27" t="n">
        <x:v>139</x:v>
      </x:c>
      <x:c r="C142" s="27" t="str">
        <x:v>NEO-MATH-Y10-10</x:v>
      </x:c>
      <x:c r="D142" s="27" t="n">
        <x:v>10</x:v>
      </x:c>
      <x:c r="E142" s="27" t="str">
        <x:v>The Connected Maths Performance Project</x:v>
      </x:c>
      <x:c r="F142" s="27" t="str">
        <x:v>Proof &amp; Communication</x:v>
      </x:c>
      <x:c r="G142" s="27" t="n">
        <x:v>2</x:v>
      </x:c>
      <x:c r="H142" s="27" t="str">
        <x:v>Core</x:v>
      </x:c>
      <x:c r="I142" s="27" t="str">
        <x:v>Build the idea: Connect domains</x:v>
      </x:c>
      <x:c r="J142" s="27" t="str">
        <x:v>What does connect domains mean before I use a procedure?</x:v>
      </x:c>
      <x:c r="K142" s="27" t="str">
        <x:v>connect domains</x:v>
      </x:c>
      <x:c r="L142" s="27" t="str">
        <x:v>connect domains</x:v>
      </x:c>
      <x:c r="M142" s="27" t="str">
        <x:v>identify relevant mathematics</x:v>
      </x:c>
      <x:c r="N142" s="27" t="str"/>
      <x:c r="O142" s="27" t="str">
        <x:v>Creativity</x:v>
      </x:c>
      <x:c r="P142" s="27" t="str">
        <x:v>Connection, Reflection</x:v>
      </x:c>
      <x:c r="Q142" s="27" t="str">
        <x:v>Multi-Topic Model Builder</x:v>
      </x:c>
      <x:c r="R142" s="27" t="str">
        <x:v>Reasoning Studio</x:v>
      </x:c>
      <x:c r="S142" s="27" t="str">
        <x:v>Blank / context preset</x:v>
      </x:c>
      <x:c r="T142" s="27" t="str">
        <x:v>The Connected Maths Performance Project – connect domains</x:v>
      </x:c>
      <x:c r="U142" s="27" t="str">
        <x:v>Annotated representation of connect domains</x:v>
      </x:c>
      <x:c r="V142" s="27" t="str">
        <x:v>Learner can connect domains and give a reason or check.</x:v>
      </x:c>
      <x:c r="W142" s="27" t="str">
        <x:v>Connect 5 / Explore 20 / Create or Apply 12 / Reflect 8</x:v>
      </x:c>
      <x:c r="X142" s="27" t="str">
        <x:v>4MA1 cross-domain reasoning/problem solving</x:v>
      </x:c>
      <x:c r="Y142" s="27" t="str">
        <x:v>Variable</x:v>
      </x:c>
      <x:c r="Z142" s="27" t="str">
        <x:v>Live, Asynchronous, Independent</x:v>
      </x:c>
      <x:c r="AA142" s="27" t="str">
        <x:v>Architecture mapped</x:v>
      </x:c>
      <x:c r="AB142" s="27" t="str">
        <x:v>Part of the canonical Y10 route. May pause or branch to a Reconnection lesson before returning.</x:v>
      </x:c>
    </x:row>
    <x:row r="143" ht="44" customHeight="1">
      <x:c r="A143" s="27" t="str">
        <x:v>NEO-MATH-Y10-140</x:v>
      </x:c>
      <x:c r="B143" s="27" t="n">
        <x:v>140</x:v>
      </x:c>
      <x:c r="C143" s="27" t="str">
        <x:v>NEO-MATH-Y10-10</x:v>
      </x:c>
      <x:c r="D143" s="27" t="n">
        <x:v>10</x:v>
      </x:c>
      <x:c r="E143" s="27" t="str">
        <x:v>The Connected Maths Performance Project</x:v>
      </x:c>
      <x:c r="F143" s="27" t="str">
        <x:v>Proof &amp; Communication</x:v>
      </x:c>
      <x:c r="G143" s="27" t="n">
        <x:v>3</x:v>
      </x:c>
      <x:c r="H143" s="27" t="str">
        <x:v>Core</x:v>
      </x:c>
      <x:c r="I143" s="27" t="str">
        <x:v>Represent it: Choose representations</x:v>
      </x:c>
      <x:c r="J143" s="27" t="str">
        <x:v>How can I show choose representations in more than one way?</x:v>
      </x:c>
      <x:c r="K143" s="27" t="str">
        <x:v>choose representations</x:v>
      </x:c>
      <x:c r="L143" s="27" t="str">
        <x:v>choose representations</x:v>
      </x:c>
      <x:c r="M143" s="27" t="str">
        <x:v>connect domains</x:v>
      </x:c>
      <x:c r="N143" s="27" t="str"/>
      <x:c r="O143" s="27" t="str">
        <x:v>Creativity</x:v>
      </x:c>
      <x:c r="P143" s="27" t="str">
        <x:v>Connection, Reflection</x:v>
      </x:c>
      <x:c r="Q143" s="27" t="str">
        <x:v>Multi-Topic Model Builder</x:v>
      </x:c>
      <x:c r="R143" s="27" t="str">
        <x:v>Reasoning Studio</x:v>
      </x:c>
      <x:c r="S143" s="27" t="str">
        <x:v>Blank / context preset</x:v>
      </x:c>
      <x:c r="T143" s="27" t="str">
        <x:v>The Connected Maths Performance Project – choose representations</x:v>
      </x:c>
      <x:c r="U143" s="27" t="str">
        <x:v>Annotated representation of choose representations</x:v>
      </x:c>
      <x:c r="V143" s="27" t="str">
        <x:v>Learner can choose representations and give a reason or check.</x:v>
      </x:c>
      <x:c r="W143" s="27" t="str">
        <x:v>Connect 5 / Explore 20 / Create or Apply 12 / Reflect 8</x:v>
      </x:c>
      <x:c r="X143" s="27" t="str">
        <x:v>4MA1 cross-domain reasoning/problem solving</x:v>
      </x:c>
      <x:c r="Y143" s="27" t="str">
        <x:v>Variable</x:v>
      </x:c>
      <x:c r="Z143" s="27" t="str">
        <x:v>Live, Asynchronous, Independent</x:v>
      </x:c>
      <x:c r="AA143" s="27" t="str">
        <x:v>Architecture mapped</x:v>
      </x:c>
      <x:c r="AB143" s="27" t="str">
        <x:v>Part of the canonical Y10 route. May pause or branch to a Reconnection lesson before returning.</x:v>
      </x:c>
    </x:row>
    <x:row r="144" ht="44" customHeight="1">
      <x:c r="A144" s="27" t="str">
        <x:v>NEO-MATH-Y10-141</x:v>
      </x:c>
      <x:c r="B144" s="27" t="n">
        <x:v>141</x:v>
      </x:c>
      <x:c r="C144" s="27" t="str">
        <x:v>NEO-MATH-Y10-10</x:v>
      </x:c>
      <x:c r="D144" s="27" t="n">
        <x:v>10</x:v>
      </x:c>
      <x:c r="E144" s="27" t="str">
        <x:v>The Connected Maths Performance Project</x:v>
      </x:c>
      <x:c r="F144" s="27" t="str">
        <x:v>Self-Regulated Mathematical Learning</x:v>
      </x:c>
      <x:c r="G144" s="27" t="n">
        <x:v>4</x:v>
      </x:c>
      <x:c r="H144" s="27" t="str">
        <x:v>Reconnection</x:v>
      </x:c>
      <x:c r="I144" s="27" t="str">
        <x:v>Reconnection: Reading the question</x:v>
      </x:c>
      <x:c r="J144" s="27" t="str">
        <x:v>What is this problem actually asking me to do?</x:v>
      </x:c>
      <x:c r="K144" s="27" t="str">
        <x:v>identify givens, goal and useful information</x:v>
      </x:c>
      <x:c r="L144" s="27" t="str">
        <x:v>identify givens, goal and useful information</x:v>
      </x:c>
      <x:c r="M144" s="27" t="str">
        <x:v>Branch triggered when identify givens, goal and useful information is not yet secure enough for the current unit.</x:v>
      </x:c>
      <x:c r="N144" s="27" t="str">
        <x:v>REC-SRL-01</x:v>
      </x:c>
      <x:c r="O144" s="27" t="str">
        <x:v>Connection</x:v>
      </x:c>
      <x:c r="P144" s="27" t="str">
        <x:v>Reflection, Rest</x:v>
      </x:c>
      <x:c r="Q144" s="27" t="str">
        <x:v>Question Highlighter</x:v>
      </x:c>
      <x:c r="R144" s="27" t="str">
        <x:v>Navigation Tool</x:v>
      </x:c>
      <x:c r="S144" s="27" t="str">
        <x:v>Blank</x:v>
      </x:c>
      <x:c r="T144" s="27" t="str">
        <x:v>Reading the question targeted practice</x:v>
      </x:c>
      <x:c r="U144" s="27" t="str">
        <x:v>Short reconnection evidence: identify givens, goal and useful information</x:v>
      </x:c>
      <x:c r="V144" s="27" t="str">
        <x:v>Learner can identify givens, goal and useful information sufficiently to return to The Connected Maths Performance Project.</x:v>
      </x:c>
      <x:c r="W144" s="27" t="str">
        <x:v>Arrive 5 / Reconnect 20 / Test 10 / Return link 10</x:v>
      </x:c>
      <x:c r="X144" s="27" t="str">
        <x:v>4MA1 cross-domain reasoning/problem solving</x:v>
      </x:c>
      <x:c r="Y144" s="27" t="str">
        <x:v>Low-Moderate; targeted prerequisite repair</x:v>
      </x:c>
      <x:c r="Z144" s="27" t="str">
        <x:v>Live, Asynchronous, Independent</x:v>
      </x:c>
      <x:c r="AA144" s="27" t="str">
        <x:v>Architecture mapped</x:v>
      </x:c>
      <x:c r="AB144" s="27" t="str">
        <x:v>Not 'catch-up'. A targeted route from Flexible learning that reconnects the learner to NEO-MATH-Y10-10.</x:v>
      </x:c>
    </x:row>
    <x:row r="145" ht="44" customHeight="1">
      <x:c r="A145" s="27" t="str">
        <x:v>NEO-MATH-Y10-142</x:v>
      </x:c>
      <x:c r="B145" s="27" t="n">
        <x:v>142</x:v>
      </x:c>
      <x:c r="C145" s="27" t="str">
        <x:v>NEO-MATH-Y10-10</x:v>
      </x:c>
      <x:c r="D145" s="27" t="n">
        <x:v>10</x:v>
      </x:c>
      <x:c r="E145" s="27" t="str">
        <x:v>The Connected Maths Performance Project</x:v>
      </x:c>
      <x:c r="F145" s="27" t="str">
        <x:v>Proof &amp; Communication</x:v>
      </x:c>
      <x:c r="G145" s="27" t="n">
        <x:v>4</x:v>
      </x:c>
      <x:c r="H145" s="27" t="str">
        <x:v>Core</x:v>
      </x:c>
      <x:c r="I145" s="27" t="str">
        <x:v>Try one change: Justify a strategy</x:v>
      </x:c>
      <x:c r="J145" s="27" t="str">
        <x:v>What changes when I adjust one part of justify a strategy?</x:v>
      </x:c>
      <x:c r="K145" s="27" t="str">
        <x:v>justify a strategy</x:v>
      </x:c>
      <x:c r="L145" s="27" t="str">
        <x:v>justify a strategy</x:v>
      </x:c>
      <x:c r="M145" s="27" t="str">
        <x:v>choose representations</x:v>
      </x:c>
      <x:c r="N145" s="27" t="str"/>
      <x:c r="O145" s="27" t="str">
        <x:v>Creativity</x:v>
      </x:c>
      <x:c r="P145" s="27" t="str">
        <x:v>Connection, Reflection</x:v>
      </x:c>
      <x:c r="Q145" s="27" t="str">
        <x:v>Multi-Topic Model Builder</x:v>
      </x:c>
      <x:c r="R145" s="27" t="str">
        <x:v>Reasoning Studio</x:v>
      </x:c>
      <x:c r="S145" s="27" t="str">
        <x:v>Blank / context preset</x:v>
      </x:c>
      <x:c r="T145" s="27" t="str">
        <x:v>The Connected Maths Performance Project – justify a strategy</x:v>
      </x:c>
      <x:c r="U145" s="27" t="str">
        <x:v>Annotated representation of justify a strategy</x:v>
      </x:c>
      <x:c r="V145" s="27" t="str">
        <x:v>Learner can justify a strategy and give a reason or check.</x:v>
      </x:c>
      <x:c r="W145" s="27" t="str">
        <x:v>Connect 5 / Explore 20 / Create or Apply 12 / Reflect 8</x:v>
      </x:c>
      <x:c r="X145" s="27" t="str">
        <x:v>4MA1 cross-domain reasoning/problem solving</x:v>
      </x:c>
      <x:c r="Y145" s="27" t="str">
        <x:v>Variable</x:v>
      </x:c>
      <x:c r="Z145" s="27" t="str">
        <x:v>Live, Asynchronous, Independent</x:v>
      </x:c>
      <x:c r="AA145" s="27" t="str">
        <x:v>Architecture mapped</x:v>
      </x:c>
      <x:c r="AB145" s="27" t="str">
        <x:v>Part of the canonical Y10 route. May pause or branch to a Reconnection lesson before returning.</x:v>
      </x:c>
    </x:row>
    <x:row r="146" ht="44" customHeight="1">
      <x:c r="A146" s="27" t="str">
        <x:v>NEO-MATH-Y10-143</x:v>
      </x:c>
      <x:c r="B146" s="27" t="n">
        <x:v>143</x:v>
      </x:c>
      <x:c r="C146" s="27" t="str">
        <x:v>NEO-MATH-Y10-10</x:v>
      </x:c>
      <x:c r="D146" s="27" t="n">
        <x:v>10</x:v>
      </x:c>
      <x:c r="E146" s="27" t="str">
        <x:v>The Connected Maths Performance Project</x:v>
      </x:c>
      <x:c r="F146" s="27" t="str">
        <x:v>Proof &amp; Communication</x:v>
      </x:c>
      <x:c r="G146" s="27" t="n">
        <x:v>5</x:v>
      </x:c>
      <x:c r="H146" s="27" t="str">
        <x:v>Core</x:v>
      </x:c>
      <x:c r="I146" s="27" t="str">
        <x:v>Connect ideas: Evaluate assumptions</x:v>
      </x:c>
      <x:c r="J146" s="27" t="str">
        <x:v>How does evaluate assumptions connect to the earlier relationship?</x:v>
      </x:c>
      <x:c r="K146" s="27" t="str">
        <x:v>evaluate assumptions</x:v>
      </x:c>
      <x:c r="L146" s="27" t="str">
        <x:v>evaluate assumptions</x:v>
      </x:c>
      <x:c r="M146" s="27" t="str">
        <x:v>justify a strategy</x:v>
      </x:c>
      <x:c r="N146" s="27" t="str"/>
      <x:c r="O146" s="27" t="str">
        <x:v>Creativity</x:v>
      </x:c>
      <x:c r="P146" s="27" t="str">
        <x:v>Connection, Reflection</x:v>
      </x:c>
      <x:c r="Q146" s="27" t="str">
        <x:v>Multi-Topic Model Builder</x:v>
      </x:c>
      <x:c r="R146" s="27" t="str">
        <x:v>Reasoning Studio</x:v>
      </x:c>
      <x:c r="S146" s="27" t="str">
        <x:v>Blank / context preset</x:v>
      </x:c>
      <x:c r="T146" s="27" t="str">
        <x:v>The Connected Maths Performance Project – evaluate assumptions</x:v>
      </x:c>
      <x:c r="U146" s="27" t="str">
        <x:v>Annotated representation of evaluate assumptions</x:v>
      </x:c>
      <x:c r="V146" s="27" t="str">
        <x:v>Learner can evaluate assumptions and give a reason or check.</x:v>
      </x:c>
      <x:c r="W146" s="27" t="str">
        <x:v>Connect 8 / Explore 20 / Notice 10 / Reflect 7</x:v>
      </x:c>
      <x:c r="X146" s="27" t="str">
        <x:v>4MA1 cross-domain reasoning/problem solving</x:v>
      </x:c>
      <x:c r="Y146" s="27" t="str">
        <x:v>Variable</x:v>
      </x:c>
      <x:c r="Z146" s="27" t="str">
        <x:v>Live, Asynchronous, Independent</x:v>
      </x:c>
      <x:c r="AA146" s="27" t="str">
        <x:v>Architecture mapped</x:v>
      </x:c>
      <x:c r="AB146" s="27" t="str">
        <x:v>Part of the canonical Y10 route. May pause or branch to a Reconnection lesson before returning.</x:v>
      </x:c>
    </x:row>
    <x:row r="147" ht="44" customHeight="1">
      <x:c r="A147" s="27" t="str">
        <x:v>NEO-MATH-Y10-144</x:v>
      </x:c>
      <x:c r="B147" s="27" t="n">
        <x:v>144</x:v>
      </x:c>
      <x:c r="C147" s="27" t="str">
        <x:v>NEO-MATH-Y10-10</x:v>
      </x:c>
      <x:c r="D147" s="27" t="n">
        <x:v>10</x:v>
      </x:c>
      <x:c r="E147" s="27" t="str">
        <x:v>The Connected Maths Performance Project</x:v>
      </x:c>
      <x:c r="F147" s="27" t="str">
        <x:v>Proof &amp; Communication</x:v>
      </x:c>
      <x:c r="G147" s="27" t="n">
        <x:v>6</x:v>
      </x:c>
      <x:c r="H147" s="27" t="str">
        <x:v>Core</x:v>
      </x:c>
      <x:c r="I147" s="27" t="str">
        <x:v>Repair a misconception: Communicate a multi-step solution</x:v>
      </x:c>
      <x:c r="J147" s="27" t="str">
        <x:v>What tempting mistake can communicate a multi-step solution create?</x:v>
      </x:c>
      <x:c r="K147" s="27" t="str">
        <x:v>communicate a multi-step solution</x:v>
      </x:c>
      <x:c r="L147" s="27" t="str">
        <x:v>communicate a multi-step solution</x:v>
      </x:c>
      <x:c r="M147" s="27" t="str">
        <x:v>evaluate assumptions</x:v>
      </x:c>
      <x:c r="N147" s="27" t="str"/>
      <x:c r="O147" s="27" t="str">
        <x:v>Creativity</x:v>
      </x:c>
      <x:c r="P147" s="27" t="str">
        <x:v>Connection, Reflection</x:v>
      </x:c>
      <x:c r="Q147" s="27" t="str">
        <x:v>Multi-Topic Model Builder</x:v>
      </x:c>
      <x:c r="R147" s="27" t="str">
        <x:v>Reasoning Studio</x:v>
      </x:c>
      <x:c r="S147" s="27" t="str">
        <x:v>Blank / context preset</x:v>
      </x:c>
      <x:c r="T147" s="27" t="str">
        <x:v>The Connected Maths Performance Project – communicate a multi-step solution</x:v>
      </x:c>
      <x:c r="U147" s="27" t="str">
        <x:v>Corrected misconception note: communicate a multi-step solution</x:v>
      </x:c>
      <x:c r="V147" s="27" t="str">
        <x:v>Learner can communicate a multi-step solution and give a reason or check.</x:v>
      </x:c>
      <x:c r="W147" s="27" t="str">
        <x:v>Connect 5 / Explore 20 / Create or Apply 12 / Reflect 8</x:v>
      </x:c>
      <x:c r="X147" s="27" t="str">
        <x:v>4MA1 cross-domain reasoning/problem solving</x:v>
      </x:c>
      <x:c r="Y147" s="27" t="str">
        <x:v>Variable</x:v>
      </x:c>
      <x:c r="Z147" s="27" t="str">
        <x:v>Live, Asynchronous, Independent</x:v>
      </x:c>
      <x:c r="AA147" s="27" t="str">
        <x:v>Architecture mapped</x:v>
      </x:c>
      <x:c r="AB147" s="27" t="str">
        <x:v>Part of the canonical Y10 route. May pause or branch to a Reconnection lesson before returning.</x:v>
      </x:c>
    </x:row>
    <x:row r="148" ht="44" customHeight="1">
      <x:c r="A148" s="27" t="str">
        <x:v>NEO-MATH-Y10-145</x:v>
      </x:c>
      <x:c r="B148" s="27" t="n">
        <x:v>145</x:v>
      </x:c>
      <x:c r="C148" s="27" t="str">
        <x:v>NEO-MATH-Y10-10</x:v>
      </x:c>
      <x:c r="D148" s="27" t="n">
        <x:v>10</x:v>
      </x:c>
      <x:c r="E148" s="27" t="str">
        <x:v>The Connected Maths Performance Project</x:v>
      </x:c>
      <x:c r="F148" s="27" t="str">
        <x:v>Proof &amp; Communication</x:v>
      </x:c>
      <x:c r="G148" s="27" t="n">
        <x:v>7</x:v>
      </x:c>
      <x:c r="H148" s="27" t="str">
        <x:v>Core</x:v>
      </x:c>
      <x:c r="I148" s="27" t="str">
        <x:v>Apply in context: Identify relevant mathematics</x:v>
      </x:c>
      <x:c r="J148" s="27" t="str">
        <x:v>Where might identify relevant mathematics help with a real decision?</x:v>
      </x:c>
      <x:c r="K148" s="27" t="str">
        <x:v>identify relevant mathematics</x:v>
      </x:c>
      <x:c r="L148" s="27" t="str">
        <x:v>identify relevant mathematics</x:v>
      </x:c>
      <x:c r="M148" s="27" t="str">
        <x:v>communicate a multi-step solution</x:v>
      </x:c>
      <x:c r="N148" s="27" t="str"/>
      <x:c r="O148" s="27" t="str">
        <x:v>Creativity</x:v>
      </x:c>
      <x:c r="P148" s="27" t="str">
        <x:v>Connection, Reflection</x:v>
      </x:c>
      <x:c r="Q148" s="27" t="str">
        <x:v>Multi-Topic Model Builder</x:v>
      </x:c>
      <x:c r="R148" s="27" t="str">
        <x:v>Reasoning Studio</x:v>
      </x:c>
      <x:c r="S148" s="27" t="str">
        <x:v>Blank / context preset</x:v>
      </x:c>
      <x:c r="T148" s="27" t="str">
        <x:v>The Connected Maths Performance Project – identify relevant mathematics</x:v>
      </x:c>
      <x:c r="U148" s="27" t="str">
        <x:v>Short contextual application of identify relevant mathematics</x:v>
      </x:c>
      <x:c r="V148" s="27" t="str">
        <x:v>Learner can identify relevant mathematics and give a reason or check.</x:v>
      </x:c>
      <x:c r="W148" s="27" t="str">
        <x:v>Connect 5 / Explore 20 / Create or Apply 12 / Reflect 8</x:v>
      </x:c>
      <x:c r="X148" s="27" t="str">
        <x:v>4MA1 cross-domain reasoning/problem solving</x:v>
      </x:c>
      <x:c r="Y148" s="27" t="str">
        <x:v>Variable</x:v>
      </x:c>
      <x:c r="Z148" s="27" t="str">
        <x:v>Live, Asynchronous, Independent</x:v>
      </x:c>
      <x:c r="AA148" s="27" t="str">
        <x:v>Architecture mapped</x:v>
      </x:c>
      <x:c r="AB148" s="27" t="str">
        <x:v>Part of the canonical Y10 route. May pause or branch to a Reconnection lesson before returning.</x:v>
      </x:c>
    </x:row>
    <x:row r="149" ht="44" customHeight="1">
      <x:c r="A149" s="27" t="str">
        <x:v>NEO-MATH-Y10-146</x:v>
      </x:c>
      <x:c r="B149" s="27" t="n">
        <x:v>146</x:v>
      </x:c>
      <x:c r="C149" s="27" t="str">
        <x:v>NEO-MATH-Y10-10</x:v>
      </x:c>
      <x:c r="D149" s="27" t="n">
        <x:v>10</x:v>
      </x:c>
      <x:c r="E149" s="27" t="str">
        <x:v>The Connected Maths Performance Project</x:v>
      </x:c>
      <x:c r="F149" s="27" t="str">
        <x:v>Proof &amp; Communication</x:v>
      </x:c>
      <x:c r="G149" s="27" t="n">
        <x:v>8</x:v>
      </x:c>
      <x:c r="H149" s="27" t="str">
        <x:v>Core</x:v>
      </x:c>
      <x:c r="I149" s="27" t="str">
        <x:v>Model and test: Connect domains</x:v>
      </x:c>
      <x:c r="J149" s="27" t="str">
        <x:v>Can I build a model using connect domains and test it?</x:v>
      </x:c>
      <x:c r="K149" s="27" t="str">
        <x:v>connect domains</x:v>
      </x:c>
      <x:c r="L149" s="27" t="str">
        <x:v>connect domains</x:v>
      </x:c>
      <x:c r="M149" s="27" t="str">
        <x:v>identify relevant mathematics</x:v>
      </x:c>
      <x:c r="N149" s="27" t="str"/>
      <x:c r="O149" s="27" t="str">
        <x:v>Creativity</x:v>
      </x:c>
      <x:c r="P149" s="27" t="str">
        <x:v>Connection, Reflection</x:v>
      </x:c>
      <x:c r="Q149" s="27" t="str">
        <x:v>Multi-Topic Model Builder</x:v>
      </x:c>
      <x:c r="R149" s="27" t="str">
        <x:v>Reasoning Studio</x:v>
      </x:c>
      <x:c r="S149" s="27" t="str">
        <x:v>Blank / context preset</x:v>
      </x:c>
      <x:c r="T149" s="27" t="str">
        <x:v>The Connected Maths Performance Project – connect domains</x:v>
      </x:c>
      <x:c r="U149" s="27" t="str">
        <x:v>Tested model using connect domains</x:v>
      </x:c>
      <x:c r="V149" s="27" t="str">
        <x:v>Learner can connect domains and give a reason or check.</x:v>
      </x:c>
      <x:c r="W149" s="27" t="str">
        <x:v>Connect 5 / Explore 20 / Create or Apply 12 / Reflect 8</x:v>
      </x:c>
      <x:c r="X149" s="27" t="str">
        <x:v>4MA1 cross-domain reasoning/problem solving</x:v>
      </x:c>
      <x:c r="Y149" s="27" t="str">
        <x:v>Variable</x:v>
      </x:c>
      <x:c r="Z149" s="27" t="str">
        <x:v>Live, Asynchronous, Independent</x:v>
      </x:c>
      <x:c r="AA149" s="27" t="str">
        <x:v>Architecture mapped</x:v>
      </x:c>
      <x:c r="AB149" s="27" t="str">
        <x:v>Part of the canonical Y10 route. May pause or branch to a Reconnection lesson before returning.</x:v>
      </x:c>
    </x:row>
    <x:row r="150" ht="44" customHeight="1">
      <x:c r="A150" s="27" t="str">
        <x:v>NEO-MATH-Y10-147</x:v>
      </x:c>
      <x:c r="B150" s="27" t="n">
        <x:v>147</x:v>
      </x:c>
      <x:c r="C150" s="27" t="str">
        <x:v>NEO-MATH-Y10-10</x:v>
      </x:c>
      <x:c r="D150" s="27" t="n">
        <x:v>10</x:v>
      </x:c>
      <x:c r="E150" s="27" t="str">
        <x:v>The Connected Maths Performance Project</x:v>
      </x:c>
      <x:c r="F150" s="27" t="str">
        <x:v>Proof &amp; Communication</x:v>
      </x:c>
      <x:c r="G150" s="27" t="n">
        <x:v>9</x:v>
      </x:c>
      <x:c r="H150" s="27" t="str">
        <x:v>Core</x:v>
      </x:c>
      <x:c r="I150" s="27" t="str">
        <x:v>Compare strategies: Choose representations</x:v>
      </x:c>
      <x:c r="J150" s="27" t="str">
        <x:v>Which route through choose representations is clearest or most efficient?</x:v>
      </x:c>
      <x:c r="K150" s="27" t="str">
        <x:v>choose representations</x:v>
      </x:c>
      <x:c r="L150" s="27" t="str">
        <x:v>choose representations</x:v>
      </x:c>
      <x:c r="M150" s="27" t="str">
        <x:v>connect domains</x:v>
      </x:c>
      <x:c r="N150" s="27" t="str"/>
      <x:c r="O150" s="27" t="str">
        <x:v>Creativity</x:v>
      </x:c>
      <x:c r="P150" s="27" t="str">
        <x:v>Connection, Reflection</x:v>
      </x:c>
      <x:c r="Q150" s="27" t="str">
        <x:v>Multi-Topic Model Builder</x:v>
      </x:c>
      <x:c r="R150" s="27" t="str">
        <x:v>Reasoning Studio</x:v>
      </x:c>
      <x:c r="S150" s="27" t="str">
        <x:v>Blank / context preset</x:v>
      </x:c>
      <x:c r="T150" s="27" t="str">
        <x:v>The Connected Maths Performance Project – choose representations</x:v>
      </x:c>
      <x:c r="U150" s="27" t="str">
        <x:v>Two-route comparison for choose representations</x:v>
      </x:c>
      <x:c r="V150" s="27" t="str">
        <x:v>Learner can choose representations and give a reason or check.</x:v>
      </x:c>
      <x:c r="W150" s="27" t="str">
        <x:v>Connect 5 / Explore 20 / Create or Apply 12 / Reflect 8</x:v>
      </x:c>
      <x:c r="X150" s="27" t="str">
        <x:v>4MA1 cross-domain reasoning/problem solving</x:v>
      </x:c>
      <x:c r="Y150" s="27" t="str">
        <x:v>Variable</x:v>
      </x:c>
      <x:c r="Z150" s="27" t="str">
        <x:v>Live, Asynchronous, Independent</x:v>
      </x:c>
      <x:c r="AA150" s="27" t="str">
        <x:v>Architecture mapped</x:v>
      </x:c>
      <x:c r="AB150" s="27" t="str">
        <x:v>Part of the canonical Y10 route. May pause or branch to a Reconnection lesson before returning.</x:v>
      </x:c>
    </x:row>
    <x:row r="151" ht="44" customHeight="1">
      <x:c r="A151" s="27" t="str">
        <x:v>NEO-MATH-Y10-148</x:v>
      </x:c>
      <x:c r="B151" s="27" t="n">
        <x:v>148</x:v>
      </x:c>
      <x:c r="C151" s="27" t="str">
        <x:v>NEO-MATH-Y10-10</x:v>
      </x:c>
      <x:c r="D151" s="27" t="n">
        <x:v>10</x:v>
      </x:c>
      <x:c r="E151" s="27" t="str">
        <x:v>The Connected Maths Performance Project</x:v>
      </x:c>
      <x:c r="F151" s="27" t="str">
        <x:v>Proof &amp; Communication</x:v>
      </x:c>
      <x:c r="G151" s="27" t="n">
        <x:v>11</x:v>
      </x:c>
      <x:c r="H151" s="27" t="str">
        <x:v>Qualification Practice</x:v>
      </x:c>
      <x:c r="I151" s="27" t="str">
        <x:v>Assessment translation 1: Identify relevant mathematics</x:v>
      </x:c>
      <x:c r="J151" s="27" t="str">
        <x:v>How might a qualification question hide the need to identify relevant mathematics?</x:v>
      </x:c>
      <x:c r="K151" s="27" t="str">
        <x:v>translate assessed wording into the canonical move: identify relevant mathematics</x:v>
      </x:c>
      <x:c r="L151" s="27" t="str">
        <x:v>identify relevant mathematics</x:v>
      </x:c>
      <x:c r="M151" s="27" t="str">
        <x:v>relevant core concept plus question-reading routine</x:v>
      </x:c>
      <x:c r="N151" s="27" t="str">
        <x:v>REC-SRL-01 if wording blocks mathematical access</x:v>
      </x:c>
      <x:c r="O151" s="27" t="str">
        <x:v>Reflection</x:v>
      </x:c>
      <x:c r="P151" s="27" t="str">
        <x:v>Connection, Rest</x:v>
      </x:c>
      <x:c r="Q151" s="27" t="str">
        <x:v>Question Translation Studio</x:v>
      </x:c>
      <x:c r="R151" s="27" t="str">
        <x:v>Navigation Tool</x:v>
      </x:c>
      <x:c r="S151" s="27" t="str">
        <x:v>Blank / context preset</x:v>
      </x:c>
      <x:c r="T151" s="27" t="str">
        <x:v>4MA1-style mixed questions: identify relevant mathematics</x:v>
      </x:c>
      <x:c r="U151" s="27" t="str">
        <x:v>Annotated assessed-world question showing givens, goal, route and check for identify relevant mathematics</x:v>
      </x:c>
      <x:c r="V151" s="27" t="str">
        <x:v>Learner identifies the mathematics, selects a route and checks a solution involving identify relevant mathematics.</x:v>
      </x:c>
      <x:c r="W151" s="27" t="str">
        <x:v>Decode 10 / Solve 20 / Compare 10 / Reflect 5</x:v>
      </x:c>
      <x:c r="X151" s="27" t="str">
        <x:v>4MA1 cross-domain reasoning/problem solving</x:v>
      </x:c>
      <x:c r="Y151" s="27" t="str">
        <x:v>Moderate-High; wording chunked before calculation</x:v>
      </x:c>
      <x:c r="Z151" s="27" t="str">
        <x:v>Live, Asynchronous, Independent</x:v>
      </x:c>
      <x:c r="AA151" s="27" t="str">
        <x:v>Architecture mapped</x:v>
      </x:c>
      <x:c r="AB151" s="27" t="str">
        <x:v>Qualification overlay lesson. Exam wording is translated into mathematics already present in the canonical spine.</x:v>
      </x:c>
    </x:row>
    <x:row r="152" ht="44" customHeight="1">
      <x:c r="A152" s="27" t="str">
        <x:v>NEO-MATH-Y10-149</x:v>
      </x:c>
      <x:c r="B152" s="27" t="n">
        <x:v>149</x:v>
      </x:c>
      <x:c r="C152" s="27" t="str">
        <x:v>NEO-MATH-Y10-10</x:v>
      </x:c>
      <x:c r="D152" s="27" t="n">
        <x:v>10</x:v>
      </x:c>
      <x:c r="E152" s="27" t="str">
        <x:v>The Connected Maths Performance Project</x:v>
      </x:c>
      <x:c r="F152" s="27" t="str">
        <x:v>Proof &amp; Communication</x:v>
      </x:c>
      <x:c r="G152" s="27" t="n">
        <x:v>10</x:v>
      </x:c>
      <x:c r="H152" s="27" t="str">
        <x:v>Core</x:v>
      </x:c>
      <x:c r="I152" s="27" t="str">
        <x:v>Practice with choice: Justify a strategy</x:v>
      </x:c>
      <x:c r="J152" s="27" t="str">
        <x:v>Can I use justify a strategy without being told the method?</x:v>
      </x:c>
      <x:c r="K152" s="27" t="str">
        <x:v>justify a strategy</x:v>
      </x:c>
      <x:c r="L152" s="27" t="str">
        <x:v>justify a strategy</x:v>
      </x:c>
      <x:c r="M152" s="27" t="str">
        <x:v>choose representations</x:v>
      </x:c>
      <x:c r="N152" s="27" t="str"/>
      <x:c r="O152" s="27" t="str">
        <x:v>Creativity</x:v>
      </x:c>
      <x:c r="P152" s="27" t="str">
        <x:v>Connection, Reflection</x:v>
      </x:c>
      <x:c r="Q152" s="27" t="str">
        <x:v>Multi-Topic Model Builder</x:v>
      </x:c>
      <x:c r="R152" s="27" t="str">
        <x:v>Reasoning Studio</x:v>
      </x:c>
      <x:c r="S152" s="27" t="str">
        <x:v>Blank / context preset</x:v>
      </x:c>
      <x:c r="T152" s="27" t="str">
        <x:v>The Connected Maths Performance Project – justify a strategy</x:v>
      </x:c>
      <x:c r="U152" s="27" t="str">
        <x:v>Practice Companion evidence for justify a strategy</x:v>
      </x:c>
      <x:c r="V152" s="27" t="str">
        <x:v>Learner can justify a strategy and give a reason or check.</x:v>
      </x:c>
      <x:c r="W152" s="27" t="str">
        <x:v>Reconnect 5 / Practice 25 / Check 10 / Reflect 5</x:v>
      </x:c>
      <x:c r="X152" s="27" t="str">
        <x:v>4MA1 cross-domain reasoning/problem solving</x:v>
      </x:c>
      <x:c r="Y152" s="27" t="str">
        <x:v>Variable</x:v>
      </x:c>
      <x:c r="Z152" s="27" t="str">
        <x:v>Live, Asynchronous, Independent</x:v>
      </x:c>
      <x:c r="AA152" s="27" t="str">
        <x:v>Architecture mapped</x:v>
      </x:c>
      <x:c r="AB152" s="27" t="str">
        <x:v>Part of the canonical Y10 route. May pause or branch to a Reconnection lesson before returning.</x:v>
      </x:c>
    </x:row>
    <x:row r="153" ht="44" customHeight="1">
      <x:c r="A153" s="27" t="str">
        <x:v>NEO-MATH-Y10-150</x:v>
      </x:c>
      <x:c r="B153" s="27" t="n">
        <x:v>150</x:v>
      </x:c>
      <x:c r="C153" s="27" t="str">
        <x:v>NEO-MATH-Y10-10</x:v>
      </x:c>
      <x:c r="D153" s="27" t="n">
        <x:v>10</x:v>
      </x:c>
      <x:c r="E153" s="27" t="str">
        <x:v>The Connected Maths Performance Project</x:v>
      </x:c>
      <x:c r="F153" s="27" t="str">
        <x:v>Proof &amp; Communication</x:v>
      </x:c>
      <x:c r="G153" s="27" t="n">
        <x:v>11</x:v>
      </x:c>
      <x:c r="H153" s="27" t="str">
        <x:v>Core</x:v>
      </x:c>
      <x:c r="I153" s="27" t="str">
        <x:v>Qualification translation: Evaluate assumptions</x:v>
      </x:c>
      <x:c r="J153" s="27" t="str">
        <x:v>How might an assessed question disguise evaluate assumptions?</x:v>
      </x:c>
      <x:c r="K153" s="27" t="str">
        <x:v>evaluate assumptions</x:v>
      </x:c>
      <x:c r="L153" s="27" t="str">
        <x:v>evaluate assumptions</x:v>
      </x:c>
      <x:c r="M153" s="27" t="str">
        <x:v>justify a strategy</x:v>
      </x:c>
      <x:c r="N153" s="27" t="str"/>
      <x:c r="O153" s="27" t="str">
        <x:v>Creativity</x:v>
      </x:c>
      <x:c r="P153" s="27" t="str">
        <x:v>Connection, Reflection</x:v>
      </x:c>
      <x:c r="Q153" s="27" t="str">
        <x:v>Multi-Topic Model Builder</x:v>
      </x:c>
      <x:c r="R153" s="27" t="str">
        <x:v>Reasoning Studio</x:v>
      </x:c>
      <x:c r="S153" s="27" t="str">
        <x:v>Blank / context preset</x:v>
      </x:c>
      <x:c r="T153" s="27" t="str">
        <x:v>The Connected Maths Performance Project – evaluate assumptions</x:v>
      </x:c>
      <x:c r="U153" s="27" t="str">
        <x:v>Annotated question translation for evaluate assumptions</x:v>
      </x:c>
      <x:c r="V153" s="27" t="str">
        <x:v>Learner can evaluate assumptions and give a reason or check.</x:v>
      </x:c>
      <x:c r="W153" s="27" t="str">
        <x:v>Translate 10 / Solve 20 / Compare 10 / Reflect 5</x:v>
      </x:c>
      <x:c r="X153" s="27" t="str">
        <x:v>4MA1 cross-domain reasoning/problem solving</x:v>
      </x:c>
      <x:c r="Y153" s="27" t="str">
        <x:v>Variable</x:v>
      </x:c>
      <x:c r="Z153" s="27" t="str">
        <x:v>Live, Asynchronous, Independent</x:v>
      </x:c>
      <x:c r="AA153" s="27" t="str">
        <x:v>Architecture mapped</x:v>
      </x:c>
      <x:c r="AB153" s="27" t="str">
        <x:v>Part of the canonical Y10 route. May pause or branch to a Reconnection lesson before returning.</x:v>
      </x:c>
    </x:row>
    <x:row r="154" ht="44" customHeight="1">
      <x:c r="A154" s="27" t="str">
        <x:v>NEO-MATH-Y10-151</x:v>
      </x:c>
      <x:c r="B154" s="27" t="n">
        <x:v>151</x:v>
      </x:c>
      <x:c r="C154" s="27" t="str">
        <x:v>NEO-MATH-Y10-10</x:v>
      </x:c>
      <x:c r="D154" s="27" t="n">
        <x:v>10</x:v>
      </x:c>
      <x:c r="E154" s="27" t="str">
        <x:v>The Connected Maths Performance Project</x:v>
      </x:c>
      <x:c r="F154" s="27" t="str">
        <x:v>Proof &amp; Communication</x:v>
      </x:c>
      <x:c r="G154" s="27" t="n">
        <x:v>12</x:v>
      </x:c>
      <x:c r="H154" s="27" t="str">
        <x:v>Core</x:v>
      </x:c>
      <x:c r="I154" s="27" t="str">
        <x:v>Mastery checkpoint: Communicate a multi-step solution</x:v>
      </x:c>
      <x:c r="J154" s="27" t="str">
        <x:v>What can I now explain, apply and check about communicate a multi-step solution?</x:v>
      </x:c>
      <x:c r="K154" s="27" t="str">
        <x:v>communicate a multi-step solution</x:v>
      </x:c>
      <x:c r="L154" s="27" t="str">
        <x:v>communicate a multi-step solution</x:v>
      </x:c>
      <x:c r="M154" s="27" t="str">
        <x:v>evaluate assumptions</x:v>
      </x:c>
      <x:c r="N154" s="27" t="str"/>
      <x:c r="O154" s="27" t="str">
        <x:v>Creativity</x:v>
      </x:c>
      <x:c r="P154" s="27" t="str">
        <x:v>Connection, Reflection</x:v>
      </x:c>
      <x:c r="Q154" s="27" t="str">
        <x:v>Multi-Topic Model Builder</x:v>
      </x:c>
      <x:c r="R154" s="27" t="str">
        <x:v>Reasoning Studio</x:v>
      </x:c>
      <x:c r="S154" s="27" t="str">
        <x:v>Blank / context preset</x:v>
      </x:c>
      <x:c r="T154" s="27" t="str">
        <x:v>The Connected Maths Performance Project – communicate a multi-step solution</x:v>
      </x:c>
      <x:c r="U154" s="27" t="str">
        <x:v>Year 10 Performance Project</x:v>
      </x:c>
      <x:c r="V154" s="27" t="str">
        <x:v>Learner can communicate a multi-step solution and give a reason or check.</x:v>
      </x:c>
      <x:c r="W154" s="27" t="str">
        <x:v>Settle 5 / Choose evidence 25 / Mastery check 10 / Reflect 5</x:v>
      </x:c>
      <x:c r="X154" s="27" t="str">
        <x:v>4MA1 cross-domain reasoning/problem solving</x:v>
      </x:c>
      <x:c r="Y154" s="27" t="str">
        <x:v>Variable</x:v>
      </x:c>
      <x:c r="Z154" s="27" t="str">
        <x:v>Live, Asynchronous, Independent</x:v>
      </x:c>
      <x:c r="AA154" s="27" t="str">
        <x:v>Architecture mapped</x:v>
      </x:c>
      <x:c r="AB154" s="27" t="str">
        <x:v>Part of the canonical Y10 route. May pause or branch to a Reconnection lesson before returning.</x:v>
      </x:c>
    </x:row>
    <x:row r="155" ht="44" customHeight="1">
      <x:c r="A155" s="27" t="str">
        <x:v>NEO-MATH-Y10-152</x:v>
      </x:c>
      <x:c r="B155" s="27" t="n">
        <x:v>152</x:v>
      </x:c>
      <x:c r="C155" s="27" t="str">
        <x:v>NEO-MATH-Y10-10</x:v>
      </x:c>
      <x:c r="D155" s="27" t="n">
        <x:v>10</x:v>
      </x:c>
      <x:c r="E155" s="27" t="str">
        <x:v>The Connected Maths Performance Project</x:v>
      </x:c>
      <x:c r="F155" s="27" t="str">
        <x:v>Proof &amp; Communication</x:v>
      </x:c>
      <x:c r="G155" s="27" t="n">
        <x:v>15</x:v>
      </x:c>
      <x:c r="H155" s="27" t="str">
        <x:v>Portfolio / Pathway Review</x:v>
      </x:c>
      <x:c r="I155" s="27" t="str">
        <x:v>Evidence and next step: The Connected Maths Performance Project</x:v>
      </x:c>
      <x:c r="J155" s="27" t="str">
        <x:v>What evidence shows what I can now do—and what would be a useful next mathematical move?</x:v>
      </x:c>
      <x:c r="K155" s="27" t="str">
        <x:v>select, annotate and reflect on unit evidence</x:v>
      </x:c>
      <x:c r="L155" s="27" t="str">
        <x:v>unit-level synthesis, communication and self-regulation</x:v>
      </x:c>
      <x:c r="M155" s="27" t="str">
        <x:v>any meaningful participation or evidence from the unit</x:v>
      </x:c>
      <x:c r="N155" s="27" t="str">
        <x:v>learner-specific</x:v>
      </x:c>
      <x:c r="O155" s="27" t="str">
        <x:v>Reflection</x:v>
      </x:c>
      <x:c r="P155" s="27" t="str">
        <x:v>Rest, Connection</x:v>
      </x:c>
      <x:c r="Q155" s="27" t="str">
        <x:v>Portfolio Evidence Selector</x:v>
      </x:c>
      <x:c r="R155" s="27" t="str">
        <x:v>Navigation Tool</x:v>
      </x:c>
      <x:c r="S155" s="27" t="str">
        <x:v>Blank</x:v>
      </x:c>
      <x:c r="T155" s="27" t="str">
        <x:v>learner-selected gap or stretch</x:v>
      </x:c>
      <x:c r="U155" s="27" t="str">
        <x:v>Year 10 Performance Project</x:v>
      </x:c>
      <x:c r="V155" s="27" t="str">
        <x:v>Learner can point to evidence for current mastery and agree a next step.</x:v>
      </x:c>
      <x:c r="W155" s="27" t="str">
        <x:v>Settle 5 / Select 10 / Annotate 15 / Strengthen 10 / Next step 5</x:v>
      </x:c>
      <x:c r="X155" s="27" t="str">
        <x:v>4MA1 cross-domain reasoning/problem solving</x:v>
      </x:c>
      <x:c r="Y155" s="27" t="str">
        <x:v>Low-Moderate; learner choice</x:v>
      </x:c>
      <x:c r="Z155" s="27" t="str">
        <x:v>Live, Asynchronous, Independent</x:v>
      </x:c>
      <x:c r="AA155" s="27" t="str">
        <x:v>Architecture mapped</x:v>
      </x:c>
      <x:c r="AB155" s="27" t="str">
        <x:v>Portfolio and pathway review. Completion volume is not used as a proxy for mastery.</x:v>
      </x:c>
    </x:row>
  </x:sheetData>
  <x:mergeCells>
    <x:mergeCell ref="A1:AB1"/>
    <x:mergeCell ref="A2:AB2"/>
  </x:mergeCells>
  <x:conditionalFormatting sqref="H4:H155">
    <x:cfRule type="expression" dxfId="6" priority="1">
      <x:formula>H4="Reconnection"</x:formula>
    </x:cfRule>
    <x:cfRule type="expression" dxfId="7" priority="2">
      <x:formula>H4="Core"</x:formula>
    </x:cfRule>
    <x:cfRule type="expression" dxfId="8" priority="3">
      <x:formula>H4="Consolidation / Mastery"</x:formula>
    </x:cfRule>
    <x:cfRule type="expression" dxfId="9" priority="4">
      <x:formula>H4="Extension / Portfolio"</x:formula>
    </x:cfRule>
    <x:cfRule type="expression" dxfId="10" priority="5">
      <x:formula>H4="Qualification Practice"</x:formula>
    </x:cfRule>
    <x:cfRule type="expression" dxfId="11" priority="6">
      <x:formula>H4="Portfolio / Pathway Review"</x:formula>
    </x:cfRule>
  </x:conditionalFormatting>
  <x:dataValidations count="2">
    <x:dataValidation type="list" sqref="AA4:AA155">
      <x:formula1>"Architecture mapped,Tool designed,HTML built,Guidance built,Reviewed,Locked"</x:formula1>
    </x:dataValidation>
    <x:dataValidation type="list" sqref="H4:H155">
      <x:formula1>"Core,Reconnection,Consolidation / Mastery,Extension / Portfolio,Qualification Practice,Portfolio / Pathway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3e8a89874d4f1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4" hidden="0" customWidth="1"/>
    <x:col min="4" max="4" width="28" hidden="0" customWidth="1"/>
    <x:col min="5" max="5" width="40" hidden="0" customWidth="1"/>
    <x:col min="6" max="6" width="38" hidden="0" customWidth="1"/>
    <x:col min="7" max="7" width="28" hidden="0" customWidth="1"/>
    <x:col min="8" max="8" width="20" hidden="0" customWidth="1"/>
    <x:col min="9" max="9" width="24" hidden="0" customWidth="1"/>
  </x:cols>
  <x:sheetData>
    <x:row r="1">
      <x:c r="A1" s="3" t="str">
        <x:v>NEO Mathematics Reconnection Lesson Bank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31" t="str">
        <x:v>Targeted prerequisite learning drawn from earlier pathways. These are reconnection routes, not catch-up or lower expectations.</x:v>
      </x:c>
      <x:c r="B2" s="31"/>
      <x:c r="C2" s="31"/>
      <x:c r="D2" s="31"/>
      <x:c r="E2" s="31"/>
      <x:c r="F2" s="31"/>
      <x:c r="G2" s="31"/>
      <x:c r="H2" s="31"/>
      <x:c r="I2" s="31"/>
    </x:row>
    <x:row r="3" ht="42" customHeight="1">
      <x:c r="A3" s="17" t="str">
        <x:v>Reconnection ID</x:v>
      </x:c>
      <x:c r="B3" s="17" t="str">
        <x:v>Source Level</x:v>
      </x:c>
      <x:c r="C3" s="17" t="str">
        <x:v>Mathematical Strand</x:v>
      </x:c>
      <x:c r="D3" s="17" t="str">
        <x:v>Lesson Title</x:v>
      </x:c>
      <x:c r="E3" s="17" t="str">
        <x:v>Driving Question</x:v>
      </x:c>
      <x:c r="F3" s="17" t="str">
        <x:v>Stepping Stone Focus</x:v>
      </x:c>
      <x:c r="G3" s="17" t="str">
        <x:v>Interactive Inquiry Tool</x:v>
      </x:c>
      <x:c r="H3" s="17" t="str">
        <x:v>Scratchpad Preset</x:v>
      </x:c>
      <x:c r="I3" s="17" t="str">
        <x:v>Role in Year 9/10 Routing</x:v>
      </x:c>
    </x:row>
    <x:row r="4" ht="42" customHeight="1">
      <x:c r="A4" s="24" t="str">
        <x:v>REC-NUM-01</x:v>
      </x:c>
      <x:c r="B4" s="24" t="str">
        <x:v>Year 7</x:v>
      </x:c>
      <x:c r="C4" s="24" t="str">
        <x:v>Number Sense</x:v>
      </x:c>
      <x:c r="D4" s="24" t="str">
        <x:v>Place value and magnitude</x:v>
      </x:c>
      <x:c r="E4" s="24" t="str">
        <x:v>Can I tell which number is really larger?</x:v>
      </x:c>
      <x:c r="F4" s="24" t="str">
        <x:v>place value with integers and decimals</x:v>
      </x:c>
      <x:c r="G4" s="24" t="str">
        <x:v>Place-Value Magnifier</x:v>
      </x:c>
      <x:c r="H4" s="24" t="str">
        <x:v>Square grid</x:v>
      </x:c>
      <x:c r="I4" s="24" t="str">
        <x:v>Year 9 route, Year 10 route</x:v>
      </x:c>
    </x:row>
    <x:row r="5" ht="42" customHeight="1">
      <x:c r="A5" s="24" t="str">
        <x:v>REC-NUM-02</x:v>
      </x:c>
      <x:c r="B5" s="24" t="str">
        <x:v>Year 7</x:v>
      </x:c>
      <x:c r="C5" s="24" t="str">
        <x:v>Number Sense</x:v>
      </x:c>
      <x:c r="D5" s="24" t="str">
        <x:v>Directed numbers</x:v>
      </x:c>
      <x:c r="E5" s="24" t="str">
        <x:v>What does moving below zero actually mean?</x:v>
      </x:c>
      <x:c r="F5" s="24" t="str">
        <x:v>order and calculate with negative numbers</x:v>
      </x:c>
      <x:c r="G5" s="24" t="str">
        <x:v>Directed Number Line</x:v>
      </x:c>
      <x:c r="H5" s="24" t="str">
        <x:v>Square grid</x:v>
      </x:c>
      <x:c r="I5" s="24" t="str">
        <x:v>Available on demand</x:v>
      </x:c>
    </x:row>
    <x:row r="6" ht="42" customHeight="1">
      <x:c r="A6" s="24" t="str">
        <x:v>REC-NUM-03</x:v>
      </x:c>
      <x:c r="B6" s="24" t="str">
        <x:v>Year 7</x:v>
      </x:c>
      <x:c r="C6" s="24" t="str">
        <x:v>Number Sense</x:v>
      </x:c>
      <x:c r="D6" s="24" t="str">
        <x:v>Four operations and inverse checks</x:v>
      </x:c>
      <x:c r="E6" s="24" t="str">
        <x:v>How can an inverse catch a convincing mistake?</x:v>
      </x:c>
      <x:c r="F6" s="24" t="str">
        <x:v>use operations and inverse checks</x:v>
      </x:c>
      <x:c r="G6" s="24" t="str">
        <x:v>Estimate–Calculate–Check Lab</x:v>
      </x:c>
      <x:c r="H6" s="24" t="str">
        <x:v>Blank</x:v>
      </x:c>
      <x:c r="I6" s="24" t="str">
        <x:v>Year 9 route, Year 10 route</x:v>
      </x:c>
    </x:row>
    <x:row r="7" ht="42" customHeight="1">
      <x:c r="A7" s="24" t="str">
        <x:v>REC-NUM-04</x:v>
      </x:c>
      <x:c r="B7" s="24" t="str">
        <x:v>Year 7</x:v>
      </x:c>
      <x:c r="C7" s="24" t="str">
        <x:v>Structure &amp; Generalisation</x:v>
      </x:c>
      <x:c r="D7" s="24" t="str">
        <x:v>Factors, multiples and primes</x:v>
      </x:c>
      <x:c r="E7" s="24" t="str">
        <x:v>How can number structure make a calculation easier?</x:v>
      </x:c>
      <x:c r="F7" s="24" t="str">
        <x:v>identify factors, multiples, primes, HCF and LCM</x:v>
      </x:c>
      <x:c r="G7" s="24" t="str">
        <x:v>Factor Web</x:v>
      </x:c>
      <x:c r="H7" s="24" t="str">
        <x:v>Square grid</x:v>
      </x:c>
      <x:c r="I7" s="24" t="str">
        <x:v>Year 9 route</x:v>
      </x:c>
    </x:row>
    <x:row r="8" ht="42" customHeight="1">
      <x:c r="A8" s="24" t="str">
        <x:v>REC-NUM-05</x:v>
      </x:c>
      <x:c r="B8" s="24" t="str">
        <x:v>Year 7</x:v>
      </x:c>
      <x:c r="C8" s="24" t="str">
        <x:v>Proportional Reasoning</x:v>
      </x:c>
      <x:c r="D8" s="24" t="str">
        <x:v>Fraction meaning and equivalence</x:v>
      </x:c>
      <x:c r="E8" s="24" t="str">
        <x:v>When do two fractions describe the same amount?</x:v>
      </x:c>
      <x:c r="F8" s="24" t="str">
        <x:v>recognise and simplify equivalent fractions</x:v>
      </x:c>
      <x:c r="G8" s="24" t="str">
        <x:v>Fraction Bar Explorer</x:v>
      </x:c>
      <x:c r="H8" s="24" t="str">
        <x:v>Double number line</x:v>
      </x:c>
      <x:c r="I8" s="24" t="str">
        <x:v>Available on demand</x:v>
      </x:c>
    </x:row>
    <x:row r="9" ht="42" customHeight="1">
      <x:c r="A9" s="24" t="str">
        <x:v>REC-NUM-06</x:v>
      </x:c>
      <x:c r="B9" s="24" t="str">
        <x:v>Year 7</x:v>
      </x:c>
      <x:c r="C9" s="24" t="str">
        <x:v>Proportional Reasoning</x:v>
      </x:c>
      <x:c r="D9" s="24" t="str">
        <x:v>Fraction operations</x:v>
      </x:c>
      <x:c r="E9" s="24" t="str">
        <x:v>What must be connected before fractions can be combined?</x:v>
      </x:c>
      <x:c r="F9" s="24" t="str">
        <x:v>add, subtract, multiply and divide fractions at readiness</x:v>
      </x:c>
      <x:c r="G9" s="24" t="str">
        <x:v>Fraction Operation Builder</x:v>
      </x:c>
      <x:c r="H9" s="24" t="str">
        <x:v>Blank</x:v>
      </x:c>
      <x:c r="I9" s="24" t="str">
        <x:v>Available on demand</x:v>
      </x:c>
    </x:row>
    <x:row r="10" ht="42" customHeight="1">
      <x:c r="A10" s="24" t="str">
        <x:v>REC-NUM-07</x:v>
      </x:c>
      <x:c r="B10" s="24" t="str">
        <x:v>Year 7</x:v>
      </x:c>
      <x:c r="C10" s="24" t="str">
        <x:v>Proportional Reasoning</x:v>
      </x:c>
      <x:c r="D10" s="24" t="str">
        <x:v>Decimals and percentages</x:v>
      </x:c>
      <x:c r="E10" s="24" t="str">
        <x:v>How can one amount speak three mathematical languages?</x:v>
      </x:c>
      <x:c r="F10" s="24" t="str">
        <x:v>connect fractions, decimals and percentages</x:v>
      </x:c>
      <x:c r="G10" s="24" t="str">
        <x:v>FDP Converter</x:v>
      </x:c>
      <x:c r="H10" s="24" t="str">
        <x:v>Double number line</x:v>
      </x:c>
      <x:c r="I10" s="24" t="str">
        <x:v>Available on demand</x:v>
      </x:c>
    </x:row>
    <x:row r="11" ht="42" customHeight="1">
      <x:c r="A11" s="24" t="str">
        <x:v>REC-NUM-08</x:v>
      </x:c>
      <x:c r="B11" s="24" t="str">
        <x:v>Year 8</x:v>
      </x:c>
      <x:c r="C11" s="24" t="str">
        <x:v>Number Sense</x:v>
      </x:c>
      <x:c r="D11" s="24" t="str">
        <x:v>Percentage change</x:v>
      </x:c>
      <x:c r="E11" s="24" t="str">
        <x:v>Why does 10% off and 10% on not cancel?</x:v>
      </x:c>
      <x:c r="F11" s="24" t="str">
        <x:v>calculate percentage increase and decrease</x:v>
      </x:c>
      <x:c r="G11" s="24" t="str">
        <x:v>Percentage Change Journey</x:v>
      </x:c>
      <x:c r="H11" s="24" t="str">
        <x:v>Double number line</x:v>
      </x:c>
      <x:c r="I11" s="24" t="str">
        <x:v>Available on demand</x:v>
      </x:c>
    </x:row>
    <x:row r="12" ht="42" customHeight="1">
      <x:c r="A12" s="24" t="str">
        <x:v>REC-ALG-01</x:v>
      </x:c>
      <x:c r="B12" s="24" t="str">
        <x:v>Year 7</x:v>
      </x:c>
      <x:c r="C12" s="24" t="str">
        <x:v>Structure &amp; Generalisation</x:v>
      </x:c>
      <x:c r="D12" s="24" t="str">
        <x:v>Letters and expressions</x:v>
      </x:c>
      <x:c r="E12" s="24" t="str">
        <x:v>What can a letter stand for without being a mystery?</x:v>
      </x:c>
      <x:c r="F12" s="24" t="str">
        <x:v>interpret variables and write expressions</x:v>
      </x:c>
      <x:c r="G12" s="24" t="str">
        <x:v>Expression Builder</x:v>
      </x:c>
      <x:c r="H12" s="24" t="str">
        <x:v>Blank</x:v>
      </x:c>
      <x:c r="I12" s="24" t="str">
        <x:v>Available on demand</x:v>
      </x:c>
    </x:row>
    <x:row r="13" ht="42" customHeight="1">
      <x:c r="A13" s="24" t="str">
        <x:v>REC-ALG-02</x:v>
      </x:c>
      <x:c r="B13" s="24" t="str">
        <x:v>Year 8</x:v>
      </x:c>
      <x:c r="C13" s="24" t="str">
        <x:v>Structure &amp; Generalisation</x:v>
      </x:c>
      <x:c r="D13" s="24" t="str">
        <x:v>Collecting like terms</x:v>
      </x:c>
      <x:c r="E13" s="24" t="str">
        <x:v>Which algebraic terms really belong together?</x:v>
      </x:c>
      <x:c r="F13" s="24" t="str">
        <x:v>simplify by collecting like terms</x:v>
      </x:c>
      <x:c r="G13" s="24" t="str">
        <x:v>Expression Equivalence Lab</x:v>
      </x:c>
      <x:c r="H13" s="24" t="str">
        <x:v>Blank</x:v>
      </x:c>
      <x:c r="I13" s="24" t="str">
        <x:v>Year 9 route, Year 10 route</x:v>
      </x:c>
    </x:row>
    <x:row r="14" ht="42" customHeight="1">
      <x:c r="A14" s="24" t="str">
        <x:v>REC-ALG-03</x:v>
      </x:c>
      <x:c r="B14" s="24" t="str">
        <x:v>Year 8</x:v>
      </x:c>
      <x:c r="C14" s="24" t="str">
        <x:v>Structure &amp; Generalisation</x:v>
      </x:c>
      <x:c r="D14" s="24" t="str">
        <x:v>Substitution</x:v>
      </x:c>
      <x:c r="E14" s="24" t="str">
        <x:v>How can a rule produce a number?</x:v>
      </x:c>
      <x:c r="F14" s="24" t="str">
        <x:v>substitute values into expressions and formulae</x:v>
      </x:c>
      <x:c r="G14" s="24" t="str">
        <x:v>Substitution Machine</x:v>
      </x:c>
      <x:c r="H14" s="24" t="str">
        <x:v>Blank</x:v>
      </x:c>
      <x:c r="I14" s="24" t="str">
        <x:v>Year 9 route</x:v>
      </x:c>
    </x:row>
    <x:row r="15" ht="42" customHeight="1">
      <x:c r="A15" s="24" t="str">
        <x:v>REC-ALG-04</x:v>
      </x:c>
      <x:c r="B15" s="24" t="str">
        <x:v>Year 8</x:v>
      </x:c>
      <x:c r="C15" s="24" t="str">
        <x:v>Structure &amp; Generalisation</x:v>
      </x:c>
      <x:c r="D15" s="24" t="str">
        <x:v>Expanding brackets</x:v>
      </x:c>
      <x:c r="E15" s="24" t="str">
        <x:v>What changes when a bracket opens?</x:v>
      </x:c>
      <x:c r="F15" s="24" t="str">
        <x:v>expand single brackets</x:v>
      </x:c>
      <x:c r="G15" s="24" t="str">
        <x:v>Bracket Area Model</x:v>
      </x:c>
      <x:c r="H15" s="24" t="str">
        <x:v>Square grid</x:v>
      </x:c>
      <x:c r="I15" s="24" t="str">
        <x:v>Year 9 route, Year 10 route</x:v>
      </x:c>
    </x:row>
    <x:row r="16" ht="42" customHeight="1">
      <x:c r="A16" s="24" t="str">
        <x:v>REC-ALG-05</x:v>
      </x:c>
      <x:c r="B16" s="24" t="str">
        <x:v>Year 8</x:v>
      </x:c>
      <x:c r="C16" s="24" t="str">
        <x:v>Structure &amp; Generalisation</x:v>
      </x:c>
      <x:c r="D16" s="24" t="str">
        <x:v>Factorising common factors</x:v>
      </x:c>
      <x:c r="E16" s="24" t="str">
        <x:v>Can I rebuild the bracket from an expression?</x:v>
      </x:c>
      <x:c r="F16" s="24" t="str">
        <x:v>factorise by taking out a common factor</x:v>
      </x:c>
      <x:c r="G16" s="24" t="str">
        <x:v>Factor Lens</x:v>
      </x:c>
      <x:c r="H16" s="24" t="str">
        <x:v>Blank</x:v>
      </x:c>
      <x:c r="I16" s="24" t="str">
        <x:v>Available on demand</x:v>
      </x:c>
    </x:row>
    <x:row r="17" ht="42" customHeight="1">
      <x:c r="A17" s="24" t="str">
        <x:v>REC-ALG-06</x:v>
      </x:c>
      <x:c r="B17" s="24" t="str">
        <x:v>Year 8</x:v>
      </x:c>
      <x:c r="C17" s="24" t="str">
        <x:v>Structure &amp; Generalisation</x:v>
      </x:c>
      <x:c r="D17" s="24" t="str">
        <x:v>One- and two-step equations</x:v>
      </x:c>
      <x:c r="E17" s="24" t="str">
        <x:v>What can I change without breaking equality?</x:v>
      </x:c>
      <x:c r="F17" s="24" t="str">
        <x:v>solve linear equations using inverse operations</x:v>
      </x:c>
      <x:c r="G17" s="24" t="str">
        <x:v>Balance Equation Simulator</x:v>
      </x:c>
      <x:c r="H17" s="24" t="str">
        <x:v>Blank</x:v>
      </x:c>
      <x:c r="I17" s="24" t="str">
        <x:v>Year 9 route, Year 10 route</x:v>
      </x:c>
    </x:row>
    <x:row r="18" ht="42" customHeight="1">
      <x:c r="A18" s="24" t="str">
        <x:v>REC-ALG-07</x:v>
      </x:c>
      <x:c r="B18" s="24" t="str">
        <x:v>Year 8</x:v>
      </x:c>
      <x:c r="C18" s="24" t="str">
        <x:v>Change &amp; Functions</x:v>
      </x:c>
      <x:c r="D18" s="24" t="str">
        <x:v>Coordinates</x:v>
      </x:c>
      <x:c r="E18" s="24" t="str">
        <x:v>How does a pair of numbers locate one point?</x:v>
      </x:c>
      <x:c r="F18" s="24" t="str">
        <x:v>plot and read coordinates in four quadrants</x:v>
      </x:c>
      <x:c r="G18" s="24" t="str">
        <x:v>Coordinate Move Studio</x:v>
      </x:c>
      <x:c r="H18" s="24" t="str">
        <x:v>Coordinate grid</x:v>
      </x:c>
      <x:c r="I18" s="24" t="str">
        <x:v>Year 9 route</x:v>
      </x:c>
    </x:row>
    <x:row r="19" ht="42" customHeight="1">
      <x:c r="A19" s="24" t="str">
        <x:v>REC-ALG-08</x:v>
      </x:c>
      <x:c r="B19" s="24" t="str">
        <x:v>Year 8</x:v>
      </x:c>
      <x:c r="C19" s="24" t="str">
        <x:v>Change &amp; Functions</x:v>
      </x:c>
      <x:c r="D19" s="24" t="str">
        <x:v>Linear table to graph</x:v>
      </x:c>
      <x:c r="E19" s="24" t="str">
        <x:v>Can a table predict a line?</x:v>
      </x:c>
      <x:c r="F19" s="24" t="str">
        <x:v>generate coordinates from a linear rule</x:v>
      </x:c>
      <x:c r="G19" s="24" t="str">
        <x:v>Table-to-Line Builder</x:v>
      </x:c>
      <x:c r="H19" s="24" t="str">
        <x:v>Coordinate grid</x:v>
      </x:c>
      <x:c r="I19" s="24" t="str">
        <x:v>Year 9 route, Year 10 route</x:v>
      </x:c>
    </x:row>
    <x:row r="20" ht="42" customHeight="1">
      <x:c r="A20" s="24" t="str">
        <x:v>REC-PR-01</x:v>
      </x:c>
      <x:c r="B20" s="24" t="str">
        <x:v>Year 7</x:v>
      </x:c>
      <x:c r="C20" s="24" t="str">
        <x:v>Proportional Reasoning</x:v>
      </x:c>
      <x:c r="D20" s="24" t="str">
        <x:v>Ratio notation</x:v>
      </x:c>
      <x:c r="E20" s="24" t="str">
        <x:v>What relationship is the colon recording?</x:v>
      </x:c>
      <x:c r="F20" s="24" t="str">
        <x:v>use ratio notation and distinguish part-part/part-whole</x:v>
      </x:c>
      <x:c r="G20" s="24" t="str">
        <x:v>Ratio Sorter</x:v>
      </x:c>
      <x:c r="H20" s="24" t="str">
        <x:v>Ratio table</x:v>
      </x:c>
      <x:c r="I20" s="24" t="str">
        <x:v>Available on demand</x:v>
      </x:c>
    </x:row>
    <x:row r="21" ht="42" customHeight="1">
      <x:c r="A21" s="24" t="str">
        <x:v>REC-PR-02</x:v>
      </x:c>
      <x:c r="B21" s="24" t="str">
        <x:v>Year 7</x:v>
      </x:c>
      <x:c r="C21" s="24" t="str">
        <x:v>Proportional Reasoning</x:v>
      </x:c>
      <x:c r="D21" s="24" t="str">
        <x:v>Equivalent ratios</x:v>
      </x:c>
      <x:c r="E21" s="24" t="str">
        <x:v>How can a ratio change without changing its relationship?</x:v>
      </x:c>
      <x:c r="F21" s="24" t="str">
        <x:v>recognise and simplify equivalent ratios</x:v>
      </x:c>
      <x:c r="G21" s="24" t="str">
        <x:v>Recipe Scaler</x:v>
      </x:c>
      <x:c r="H21" s="24" t="str">
        <x:v>Ratio table</x:v>
      </x:c>
      <x:c r="I21" s="24" t="str">
        <x:v>Year 9 route</x:v>
      </x:c>
    </x:row>
    <x:row r="22" ht="42" customHeight="1">
      <x:c r="A22" s="24" t="str">
        <x:v>REC-PR-03</x:v>
      </x:c>
      <x:c r="B22" s="24" t="str">
        <x:v>Year 7</x:v>
      </x:c>
      <x:c r="C22" s="24" t="str">
        <x:v>Proportional Reasoning</x:v>
      </x:c>
      <x:c r="D22" s="24" t="str">
        <x:v>Scale factors</x:v>
      </x:c>
      <x:c r="E22" s="24" t="str">
        <x:v>What multiplier connects the old size to the new size?</x:v>
      </x:c>
      <x:c r="F22" s="24" t="str">
        <x:v>identify and use scale factors</x:v>
      </x:c>
      <x:c r="G22" s="24" t="str">
        <x:v>Scale Factor Slider</x:v>
      </x:c>
      <x:c r="H22" s="24" t="str">
        <x:v>Double number line</x:v>
      </x:c>
      <x:c r="I22" s="24" t="str">
        <x:v>Year 9 route</x:v>
      </x:c>
    </x:row>
    <x:row r="23" ht="42" customHeight="1">
      <x:c r="A23" s="24" t="str">
        <x:v>REC-PR-04</x:v>
      </x:c>
      <x:c r="B23" s="24" t="str">
        <x:v>Year 8</x:v>
      </x:c>
      <x:c r="C23" s="24" t="str">
        <x:v>Proportional Reasoning</x:v>
      </x:c>
      <x:c r="D23" s="24" t="str">
        <x:v>Unitary method</x:v>
      </x:c>
      <x:c r="E23" s="24" t="str">
        <x:v>What does one unit reveal?</x:v>
      </x:c>
      <x:c r="F23" s="24" t="str">
        <x:v>find one unit then scale</x:v>
      </x:c>
      <x:c r="G23" s="24" t="str">
        <x:v>Unit Rate Builder</x:v>
      </x:c>
      <x:c r="H23" s="24" t="str">
        <x:v>Ratio table</x:v>
      </x:c>
      <x:c r="I23" s="24" t="str">
        <x:v>Year 9 route, Year 10 route</x:v>
      </x:c>
    </x:row>
    <x:row r="24" ht="42" customHeight="1">
      <x:c r="A24" s="24" t="str">
        <x:v>REC-GEO-01</x:v>
      </x:c>
      <x:c r="B24" s="24" t="str">
        <x:v>Year 7</x:v>
      </x:c>
      <x:c r="C24" s="24" t="str">
        <x:v>Spatial Reasoning</x:v>
      </x:c>
      <x:c r="D24" s="24" t="str">
        <x:v>Angle facts</x:v>
      </x:c>
      <x:c r="E24" s="24" t="str">
        <x:v>Which angle facts can unlock the diagram?</x:v>
      </x:c>
      <x:c r="F24" s="24" t="str">
        <x:v>use angle facts around points, lines and triangles</x:v>
      </x:c>
      <x:c r="G24" s="24" t="str">
        <x:v>Angle Constraint Explorer</x:v>
      </x:c>
      <x:c r="H24" s="24" t="str">
        <x:v>Square grid</x:v>
      </x:c>
      <x:c r="I24" s="24" t="str">
        <x:v>Year 9 route, Year 10 route</x:v>
      </x:c>
    </x:row>
    <x:row r="25" ht="42" customHeight="1">
      <x:c r="A25" s="24" t="str">
        <x:v>REC-GEO-02</x:v>
      </x:c>
      <x:c r="B25" s="24" t="str">
        <x:v>Year 7</x:v>
      </x:c>
      <x:c r="C25" s="24" t="str">
        <x:v>Spatial Reasoning</x:v>
      </x:c>
      <x:c r="D25" s="24" t="str">
        <x:v>Perimeter and area</x:v>
      </x:c>
      <x:c r="E25" s="24" t="str">
        <x:v>How are boundary and space different?</x:v>
      </x:c>
      <x:c r="F25" s="24" t="str">
        <x:v>distinguish and calculate perimeter and area</x:v>
      </x:c>
      <x:c r="G25" s="24" t="str">
        <x:v>Fixed-Perimeter Shape Designer</x:v>
      </x:c>
      <x:c r="H25" s="24" t="str">
        <x:v>Square grid</x:v>
      </x:c>
      <x:c r="I25" s="24" t="str">
        <x:v>Year 9 route</x:v>
      </x:c>
    </x:row>
    <x:row r="26" ht="42" customHeight="1">
      <x:c r="A26" s="24" t="str">
        <x:v>REC-GEO-03</x:v>
      </x:c>
      <x:c r="B26" s="24" t="str">
        <x:v>Year 8</x:v>
      </x:c>
      <x:c r="C26" s="24" t="str">
        <x:v>Spatial Reasoning</x:v>
      </x:c>
      <x:c r="D26" s="24" t="str">
        <x:v>Parallel lines</x:v>
      </x:c>
      <x:c r="E26" s="24" t="str">
        <x:v>How can one angle reveal another?</x:v>
      </x:c>
      <x:c r="F26" s="24" t="str">
        <x:v>use alternate, corresponding and co-interior angle facts</x:v>
      </x:c>
      <x:c r="G26" s="24" t="str">
        <x:v>Angle Chain Explorer</x:v>
      </x:c>
      <x:c r="H26" s="24" t="str">
        <x:v>Square grid</x:v>
      </x:c>
      <x:c r="I26" s="24" t="str">
        <x:v>Year 9 route</x:v>
      </x:c>
    </x:row>
    <x:row r="27" ht="42" customHeight="1">
      <x:c r="A27" s="24" t="str">
        <x:v>REC-GEO-04</x:v>
      </x:c>
      <x:c r="B27" s="24" t="str">
        <x:v>Year 8</x:v>
      </x:c>
      <x:c r="C27" s="24" t="str">
        <x:v>Spatial Reasoning</x:v>
      </x:c>
      <x:c r="D27" s="24" t="str">
        <x:v>Circles and formulae</x:v>
      </x:c>
      <x:c r="E27" s="24" t="str">
        <x:v>What does pi connect in every circle?</x:v>
      </x:c>
      <x:c r="F27" s="24" t="str">
        <x:v>use circumference and area formulae</x:v>
      </x:c>
      <x:c r="G27" s="24" t="str">
        <x:v>Circle Measure Explorer</x:v>
      </x:c>
      <x:c r="H27" s="24" t="str">
        <x:v>Square grid</x:v>
      </x:c>
      <x:c r="I27" s="24" t="str">
        <x:v>Available on demand</x:v>
      </x:c>
    </x:row>
    <x:row r="28" ht="42" customHeight="1">
      <x:c r="A28" s="24" t="str">
        <x:v>REC-GEO-05</x:v>
      </x:c>
      <x:c r="B28" s="24" t="str">
        <x:v>Year 8</x:v>
      </x:c>
      <x:c r="C28" s="24" t="str">
        <x:v>Spatial Reasoning</x:v>
      </x:c>
      <x:c r="D28" s="24" t="str">
        <x:v>Volume and units</x:v>
      </x:c>
      <x:c r="E28" s="24" t="str">
        <x:v>How does a 2D measure become a 3D measure?</x:v>
      </x:c>
      <x:c r="F28" s="24" t="str">
        <x:v>calculate prism volume and convert units</x:v>
      </x:c>
      <x:c r="G28" s="24" t="str">
        <x:v>Prism Builder</x:v>
      </x:c>
      <x:c r="H28" s="24" t="str">
        <x:v>Square grid</x:v>
      </x:c>
      <x:c r="I28" s="24" t="str">
        <x:v>Year 9 route</x:v>
      </x:c>
    </x:row>
    <x:row r="29" ht="42" customHeight="1">
      <x:c r="A29" s="24" t="str">
        <x:v>REC-DAT-01</x:v>
      </x:c>
      <x:c r="B29" s="24" t="str">
        <x:v>Year 7</x:v>
      </x:c>
      <x:c r="C29" s="24" t="str">
        <x:v>Data &amp; Uncertainty</x:v>
      </x:c>
      <x:c r="D29" s="24" t="str">
        <x:v>Averages and range</x:v>
      </x:c>
      <x:c r="E29" s="24" t="str">
        <x:v>When is an average a fair summary?</x:v>
      </x:c>
      <x:c r="F29" s="24" t="str">
        <x:v>calculate and interpret mean, median, mode and range</x:v>
      </x:c>
      <x:c r="G29" s="24" t="str">
        <x:v>Average as Fair-Share Simulator</x:v>
      </x:c>
      <x:c r="H29" s="24" t="str">
        <x:v>Blank</x:v>
      </x:c>
      <x:c r="I29" s="24" t="str">
        <x:v>Year 9 route</x:v>
      </x:c>
    </x:row>
    <x:row r="30" ht="42" customHeight="1">
      <x:c r="A30" s="24" t="str">
        <x:v>REC-DAT-02</x:v>
      </x:c>
      <x:c r="B30" s="24" t="str">
        <x:v>Year 8</x:v>
      </x:c>
      <x:c r="C30" s="24" t="str">
        <x:v>Data &amp; Uncertainty</x:v>
      </x:c>
      <x:c r="D30" s="24" t="str">
        <x:v>Comparing distributions</x:v>
      </x:c>
      <x:c r="E30" s="24" t="str">
        <x:v>Can one average speak for a whole group?</x:v>
      </x:c>
      <x:c r="F30" s="24" t="str">
        <x:v>compare centre and spread</x:v>
      </x:c>
      <x:c r="G30" s="24" t="str">
        <x:v>Data Claim Comparator</x:v>
      </x:c>
      <x:c r="H30" s="24" t="str">
        <x:v>Blank</x:v>
      </x:c>
      <x:c r="I30" s="24" t="str">
        <x:v>Year 9 route, Year 10 route</x:v>
      </x:c>
    </x:row>
    <x:row r="31" ht="42" customHeight="1">
      <x:c r="A31" s="24" t="str">
        <x:v>REC-DAT-03</x:v>
      </x:c>
      <x:c r="B31" s="24" t="str">
        <x:v>Year 7</x:v>
      </x:c>
      <x:c r="C31" s="24" t="str">
        <x:v>Data &amp; Uncertainty</x:v>
      </x:c>
      <x:c r="D31" s="24" t="str">
        <x:v>Probability scale</x:v>
      </x:c>
      <x:c r="E31" s="24" t="str">
        <x:v>How likely is likely?</x:v>
      </x:c>
      <x:c r="F31" s="24" t="str">
        <x:v>place and interpret probabilities from 0 to 1</x:v>
      </x:c>
      <x:c r="G31" s="24" t="str">
        <x:v>Probability Scale Slider</x:v>
      </x:c>
      <x:c r="H31" s="24" t="str">
        <x:v>Blank</x:v>
      </x:c>
      <x:c r="I31" s="24" t="str">
        <x:v>Year 9 route</x:v>
      </x:c>
    </x:row>
    <x:row r="32" ht="42" customHeight="1">
      <x:c r="A32" s="24" t="str">
        <x:v>REC-DAT-04</x:v>
      </x:c>
      <x:c r="B32" s="24" t="str">
        <x:v>Year 8</x:v>
      </x:c>
      <x:c r="C32" s="24" t="str">
        <x:v>Data &amp; Uncertainty</x:v>
      </x:c>
      <x:c r="D32" s="24" t="str">
        <x:v>Sample spaces</x:v>
      </x:c>
      <x:c r="E32" s="24" t="str">
        <x:v>Can listing outcomes make chance visible?</x:v>
      </x:c>
      <x:c r="F32" s="24" t="str">
        <x:v>enumerate outcomes and calculate probabilities</x:v>
      </x:c>
      <x:c r="G32" s="24" t="str">
        <x:v>Sample-Space Builder</x:v>
      </x:c>
      <x:c r="H32" s="24" t="str">
        <x:v>Blank</x:v>
      </x:c>
      <x:c r="I32" s="24" t="str">
        <x:v>Year 9 route</x:v>
      </x:c>
    </x:row>
    <x:row r="33" ht="42" customHeight="1">
      <x:c r="A33" s="24" t="str">
        <x:v>REC-SRL-01</x:v>
      </x:c>
      <x:c r="B33" s="24" t="str">
        <x:v>Flexible</x:v>
      </x:c>
      <x:c r="C33" s="24" t="str">
        <x:v>Self-Regulated Mathematical Learning</x:v>
      </x:c>
      <x:c r="D33" s="24" t="str">
        <x:v>Reading the question</x:v>
      </x:c>
      <x:c r="E33" s="24" t="str">
        <x:v>What is this problem actually asking me to do?</x:v>
      </x:c>
      <x:c r="F33" s="24" t="str">
        <x:v>identify givens, goal and useful information</x:v>
      </x:c>
      <x:c r="G33" s="24" t="str">
        <x:v>Question Highlighter</x:v>
      </x:c>
      <x:c r="H33" s="24" t="str">
        <x:v>Blank</x:v>
      </x:c>
      <x:c r="I33" s="24" t="str">
        <x:v>Year 10 route</x:v>
      </x:c>
    </x:row>
    <x:row r="34" ht="42" customHeight="1">
      <x:c r="A34" s="24" t="str">
        <x:v>REC-SRL-02</x:v>
      </x:c>
      <x:c r="B34" s="24" t="str">
        <x:v>Flexible</x:v>
      </x:c>
      <x:c r="C34" s="24" t="str">
        <x:v>Self-Regulated Mathematical Learning</x:v>
      </x:c>
      <x:c r="D34" s="24" t="str">
        <x:v>Start–Change–Check</x:v>
      </x:c>
      <x:c r="E34" s="24" t="str">
        <x:v>Can I reduce a graph problem to two ideas?</x:v>
      </x:c>
      <x:c r="F34" s="24" t="str">
        <x:v>identify start and rate of change</x:v>
      </x:c>
      <x:c r="G34" s="24" t="str">
        <x:v>Start–Change–Check Card</x:v>
      </x:c>
      <x:c r="H34" s="24" t="str">
        <x:v>Coordinate grid</x:v>
      </x:c>
      <x:c r="I34" s="24" t="str">
        <x:v>Available on demand</x:v>
      </x:c>
    </x:row>
    <x:row r="35" ht="42" customHeight="1">
      <x:c r="A35" s="24" t="str">
        <x:v>REC-SRL-03</x:v>
      </x:c>
      <x:c r="B35" s="24" t="str">
        <x:v>Flexible</x:v>
      </x:c>
      <x:c r="C35" s="24" t="str">
        <x:v>Self-Regulated Mathematical Learning</x:v>
      </x:c>
      <x:c r="D35" s="24" t="str">
        <x:v>Estimate before calculate</x:v>
      </x:c>
      <x:c r="E35" s="24" t="str">
        <x:v>What answer size would make sense?</x:v>
      </x:c>
      <x:c r="F35" s="24" t="str">
        <x:v>use estimation to judge reasonableness</x:v>
      </x:c>
      <x:c r="G35" s="24" t="str">
        <x:v>Estimate First Prompt</x:v>
      </x:c>
      <x:c r="H35" s="24" t="str">
        <x:v>Blank</x:v>
      </x:c>
      <x:c r="I35" s="24" t="str">
        <x:v>Year 9 route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468d79619304b4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34" hidden="0" customWidth="1"/>
    <x:col min="4" max="4" width="18" hidden="0" customWidth="1"/>
    <x:col min="5" max="5" width="40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" t="str">
        <x:v>Lesson Count Audit</x:v>
      </x:c>
      <x:c r="B1" s="3"/>
      <x:c r="C1" s="3"/>
      <x:c r="D1" s="3"/>
      <x:c r="E1" s="3"/>
      <x:c r="F1" s="3"/>
      <x:c r="G1" s="3"/>
      <x:c r="H1" s="3"/>
    </x:row>
    <x:row r="2">
      <x:c r="A2" s="31" t="str">
        <x:v>A planning audit of the 152-session assumption for the launch pathways. Counts are formula-driven from the architecture sheets.</x:v>
      </x:c>
      <x:c r="B2" s="31"/>
      <x:c r="C2" s="31"/>
      <x:c r="D2" s="31"/>
      <x:c r="E2" s="31"/>
      <x:c r="F2" s="31"/>
      <x:c r="G2" s="31"/>
      <x:c r="H2" s="31"/>
    </x:row>
    <x:row r="4">
      <x:c r="A4" s="17" t="str">
        <x:v>Route</x:v>
      </x:c>
      <x:c r="B4" s="17" t="str">
        <x:v>Core</x:v>
      </x:c>
      <x:c r="C4" s="17" t="str">
        <x:v>Reconnection</x:v>
      </x:c>
      <x:c r="D4" s="17" t="str">
        <x:v>Consolidation / Mastery</x:v>
      </x:c>
      <x:c r="E4" s="17" t="str">
        <x:v>Extension / Portfolio</x:v>
      </x:c>
      <x:c r="F4" s="17" t="str">
        <x:v>Qualification Practice</x:v>
      </x:c>
      <x:c r="G4" s="17" t="str">
        <x:v>Portfolio / Pathway Review</x:v>
      </x:c>
      <x:c r="H4" s="17" t="str">
        <x:v>Total Sessions</x:v>
      </x:c>
    </x:row>
    <x:row r="5">
      <x:c r="A5" t="str">
        <x:v>Year 9</x:v>
      </x:c>
      <x:c r="B5" t="n">
        <x:f>COUNTIF('Year 9 Architecture'!$H$4:$H$155,"Core")</x:f>
        <x:v>110</x:v>
      </x:c>
      <x:c r="C5" t="n">
        <x:f>COUNTIF('Year 9 Architecture'!$H$4:$H$155,"Reconnection")</x:f>
        <x:v>24</x:v>
      </x:c>
      <x:c r="D5" t="n">
        <x:f>COUNTIF('Year 9 Architecture'!$H$4:$H$155,"Consolidation / Mastery")</x:f>
        <x:v>10</x:v>
      </x:c>
      <x:c r="E5" t="n">
        <x:f>COUNTIF('Year 9 Architecture'!$H$4:$H$155,"Extension / Portfolio")</x:f>
        <x:v>8</x:v>
      </x:c>
      <x:c r="F5" t="n">
        <x:f>COUNTIF('Year 9 Architecture'!$H$4:$H$155,"Qualification Practice")</x:f>
        <x:v>0</x:v>
      </x:c>
      <x:c r="G5" t="n">
        <x:f>COUNTIF('Year 9 Architecture'!$H$4:$H$155,"Portfolio / Pathway Review")</x:f>
        <x:v>0</x:v>
      </x:c>
      <x:c r="H5" t="n">
        <x:f>SUM(B5:G5)</x:f>
        <x:v>152</x:v>
      </x:c>
    </x:row>
    <x:row r="6">
      <x:c r="A6" t="str">
        <x:v>Year 10</x:v>
      </x:c>
      <x:c r="B6" t="n">
        <x:f>COUNTIF('Year 10 Architecture'!$H$4:$H$155,"Core")</x:f>
        <x:v>120</x:v>
      </x:c>
      <x:c r="C6" t="n">
        <x:f>COUNTIF('Year 10 Architecture'!$H$4:$H$155,"Reconnection")</x:f>
        <x:v>10</x:v>
      </x:c>
      <x:c r="D6" t="n">
        <x:f>COUNTIF('Year 10 Architecture'!$H$4:$H$155,"Consolidation / Mastery")</x:f>
        <x:v>0</x:v>
      </x:c>
      <x:c r="E6" t="n">
        <x:f>COUNTIF('Year 10 Architecture'!$H$4:$H$155,"Extension / Portfolio")</x:f>
        <x:v>0</x:v>
      </x:c>
      <x:c r="F6" t="n">
        <x:f>COUNTIF('Year 10 Architecture'!$H$4:$H$155,"Qualification Practice")</x:f>
        <x:v>12</x:v>
      </x:c>
      <x:c r="G6" t="n">
        <x:f>COUNTIF('Year 10 Architecture'!$H$4:$H$155,"Portfolio / Pathway Review")</x:f>
        <x:v>10</x:v>
      </x:c>
      <x:c r="H6" t="n">
        <x:f>SUM(B6:G6)</x:f>
        <x:v>152</x:v>
      </x:c>
    </x:row>
    <x:row r="8">
      <x:c r="A8" s="35" t="str">
        <x:v>Planning assumption</x:v>
      </x:c>
      <x:c r="B8" s="35" t="str">
        <x:v>Lessons per week</x:v>
      </x:c>
      <x:c r="C8" s="35" t="str">
        <x:v>School weeks</x:v>
      </x:c>
      <x:c r="D8" s="35" t="str">
        <x:v>Annual lesson opportunities</x:v>
      </x:c>
      <x:c r="F8" s="35" t="str">
        <x:v>Route</x:v>
      </x:c>
      <x:c r="G8" s="35" t="str">
        <x:v>Planned total</x:v>
      </x:c>
      <x:c r="H8" s="35" t="str">
        <x:v>Difference from 152</x:v>
      </x:c>
    </x:row>
    <x:row r="9">
      <x:c r="A9" t="str">
        <x:v>Average one Maths lesson Monday–Thursday</x:v>
      </x:c>
      <x:c r="B9" t="n">
        <x:v>4</x:v>
      </x:c>
      <x:c r="C9" t="n">
        <x:v>38</x:v>
      </x:c>
      <x:c r="D9" t="n">
        <x:f>B9*C9</x:f>
        <x:v>152</x:v>
      </x:c>
      <x:c r="F9" t="str">
        <x:v>Year 9</x:v>
      </x:c>
      <x:c r="G9" t="n">
        <x:f>H5</x:f>
        <x:v>152</x:v>
      </x:c>
      <x:c r="H9" t="n">
        <x:f>G9-$D$9</x:f>
        <x:v>0</x:v>
      </x:c>
    </x:row>
    <x:row r="10">
      <x:c r="F10" t="str">
        <x:v>Year 10</x:v>
      </x:c>
      <x:c r="G10" t="n">
        <x:f>H6</x:f>
        <x:v>152</x:v>
      </x:c>
      <x:c r="H10" t="n">
        <x:f>G10-$D$9</x:f>
        <x:v>0</x:v>
      </x:c>
    </x:row>
    <x:row r="13">
      <x:c r="A13" s="15" t="str">
        <x:v>Route</x:v>
      </x:c>
      <x:c r="B13" s="15" t="str">
        <x:v>Unit ID</x:v>
      </x:c>
      <x:c r="C13" s="15" t="str">
        <x:v>Unit Title</x:v>
      </x:c>
      <x:c r="D13" s="15" t="str">
        <x:v>Mapped Sessions</x:v>
      </x:c>
      <x:c r="E13" s="15" t="str">
        <x:v>Architecture Note</x:v>
      </x:c>
    </x:row>
    <x:row r="14">
      <x:c r="A14" s="24" t="str">
        <x:v>Year 9</x:v>
      </x:c>
      <x:c r="B14" s="24" t="str">
        <x:v>NEO-MATH-Y9-01</x:v>
      </x:c>
      <x:c r="C14" s="24" t="str">
        <x:v>Accuracy, Powers and Scale</x:v>
      </x:c>
      <x:c r="D14" s="24" t="n">
        <x:f>COUNTIF('Year 9 Architecture'!$C$4:$C$155,B14)</x:f>
        <x:v>16</x:v>
      </x:c>
      <x:c r="E14" s="24" t="str">
        <x:v>Counts include core plus linked route sessions.</x:v>
      </x:c>
    </x:row>
    <x:row r="15">
      <x:c r="A15" s="24" t="str">
        <x:v>Year 9</x:v>
      </x:c>
      <x:c r="B15" s="24" t="str">
        <x:v>NEO-MATH-Y9-02</x:v>
      </x:c>
      <x:c r="C15" s="24" t="str">
        <x:v>Solids, Cross-Sections and Space</x:v>
      </x:c>
      <x:c r="D15" s="24" t="n">
        <x:f>COUNTIF('Year 9 Architecture'!$C$4:$C$155,B15)</x:f>
        <x:v>14</x:v>
      </x:c>
      <x:c r="E15" s="24" t="str">
        <x:v>Counts include core plus linked route sessions.</x:v>
      </x:c>
    </x:row>
    <x:row r="16">
      <x:c r="A16" s="24" t="str">
        <x:v>Year 9</x:v>
      </x:c>
      <x:c r="B16" s="24" t="str">
        <x:v>NEO-MATH-Y9-03</x:v>
      </x:c>
      <x:c r="C16" s="24" t="str">
        <x:v>Quadratics: When Change Itself Changes</x:v>
      </x:c>
      <x:c r="D16" s="24" t="n">
        <x:f>COUNTIF('Year 9 Architecture'!$C$4:$C$155,B16)</x:f>
        <x:v>16</x:v>
      </x:c>
      <x:c r="E16" s="24" t="str">
        <x:v>Counts include core plus linked route sessions.</x:v>
      </x:c>
    </x:row>
    <x:row r="17">
      <x:c r="A17" s="24" t="str">
        <x:v>Year 9</x:v>
      </x:c>
      <x:c r="B17" s="24" t="str">
        <x:v>NEO-MATH-Y9-04</x:v>
      </x:c>
      <x:c r="C17" s="24" t="str">
        <x:v>Precision, Loci and Safe Routes</x:v>
      </x:c>
      <x:c r="D17" s="24" t="n">
        <x:f>COUNTIF('Year 9 Architecture'!$C$4:$C$155,B17)</x:f>
        <x:v>15</x:v>
      </x:c>
      <x:c r="E17" s="24" t="str">
        <x:v>Counts include core plus linked route sessions.</x:v>
      </x:c>
    </x:row>
    <x:row r="18">
      <x:c r="A18" s="24" t="str">
        <x:v>Year 9</x:v>
      </x:c>
      <x:c r="B18" s="24" t="str">
        <x:v>NEO-MATH-Y9-05</x:v>
      </x:c>
      <x:c r="C18" s="24" t="str">
        <x:v>Inequalities: Mathematics with Boundaries</x:v>
      </x:c>
      <x:c r="D18" s="24" t="n">
        <x:f>COUNTIF('Year 9 Architecture'!$C$4:$C$155,B18)</x:f>
        <x:v>15</x:v>
      </x:c>
      <x:c r="E18" s="24" t="str">
        <x:v>Counts include core plus linked route sessions.</x:v>
      </x:c>
    </x:row>
    <x:row r="19">
      <x:c r="A19" s="24" t="str">
        <x:v>Year 9</x:v>
      </x:c>
      <x:c r="B19" s="24" t="str">
        <x:v>NEO-MATH-Y9-06</x:v>
      </x:c>
      <x:c r="C19" s="24" t="str">
        <x:v>Formulae and Rearranging: Changing the Subject</x:v>
      </x:c>
      <x:c r="D19" s="24" t="n">
        <x:f>COUNTIF('Year 9 Architecture'!$C$4:$C$155,B19)</x:f>
        <x:v>15</x:v>
      </x:c>
      <x:c r="E19" s="24" t="str">
        <x:v>Counts include core plus linked route sessions.</x:v>
      </x:c>
    </x:row>
    <x:row r="20">
      <x:c r="A20" s="24" t="str">
        <x:v>Year 9</x:v>
      </x:c>
      <x:c r="B20" s="24" t="str">
        <x:v>NEO-MATH-Y9-07</x:v>
      </x:c>
      <x:c r="C20" s="24" t="str">
        <x:v>Pythagoras and the Hidden Length</x:v>
      </x:c>
      <x:c r="D20" s="24" t="n">
        <x:f>COUNTIF('Year 9 Architecture'!$C$4:$C$155,B20)</x:f>
        <x:v>15</x:v>
      </x:c>
      <x:c r="E20" s="24" t="str">
        <x:v>Counts include core plus linked route sessions.</x:v>
      </x:c>
    </x:row>
    <x:row r="21">
      <x:c r="A21" s="24" t="str">
        <x:v>Year 9</x:v>
      </x:c>
      <x:c r="B21" s="24" t="str">
        <x:v>NEO-MATH-Y9-08</x:v>
      </x:c>
      <x:c r="C21" s="24" t="str">
        <x:v>Similarity and Scale: Same Shape, New Size</x:v>
      </x:c>
      <x:c r="D21" s="24" t="n">
        <x:f>COUNTIF('Year 9 Architecture'!$C$4:$C$155,B21)</x:f>
        <x:v>16</x:v>
      </x:c>
      <x:c r="E21" s="24" t="str">
        <x:v>Counts include core plus linked route sessions.</x:v>
      </x:c>
    </x:row>
    <x:row r="22">
      <x:c r="A22" s="24" t="str">
        <x:v>Year 9</x:v>
      </x:c>
      <x:c r="B22" s="24" t="str">
        <x:v>NEO-MATH-Y9-09</x:v>
      </x:c>
      <x:c r="C22" s="24" t="str">
        <x:v>Sampling, Bias and What We Can Infer</x:v>
      </x:c>
      <x:c r="D22" s="24" t="n">
        <x:f>COUNTIF('Year 9 Architecture'!$C$4:$C$155,B22)</x:f>
        <x:v>15</x:v>
      </x:c>
      <x:c r="E22" s="24" t="str">
        <x:v>Counts include core plus linked route sessions.</x:v>
      </x:c>
    </x:row>
    <x:row r="23">
      <x:c r="A23" s="24" t="str">
        <x:v>Year 9</x:v>
      </x:c>
      <x:c r="B23" s="24" t="str">
        <x:v>NEO-MATH-Y9-10</x:v>
      </x:c>
      <x:c r="C23" s="24" t="str">
        <x:v>Probability Trees and Conditional Change</x:v>
      </x:c>
      <x:c r="D23" s="24" t="n">
        <x:f>COUNTIF('Year 9 Architecture'!$C$4:$C$155,B23)</x:f>
        <x:v>15</x:v>
      </x:c>
      <x:c r="E23" s="24" t="str">
        <x:v>Counts include core plus linked route sessions.</x:v>
      </x:c>
    </x:row>
    <x:row r="24">
      <x:c r="A24" s="24" t="str">
        <x:v>Year 10</x:v>
      </x:c>
      <x:c r="B24" s="24" t="str">
        <x:v>NEO-MATH-Y10-01</x:v>
      </x:c>
      <x:c r="C24" s="24" t="str">
        <x:v>Number Systems and Calculator Judgement</x:v>
      </x:c>
      <x:c r="D24" s="24" t="n">
        <x:f>COUNTIF('Year 10 Architecture'!$C$4:$C$155,B24)</x:f>
        <x:v>15</x:v>
      </x:c>
      <x:c r="E24" s="24" t="str">
        <x:v>Counts include core plus linked route sessions.</x:v>
      </x:c>
    </x:row>
    <x:row r="25">
      <x:c r="A25" s="24" t="str">
        <x:v>Year 10</x:v>
      </x:c>
      <x:c r="B25" s="24" t="str">
        <x:v>NEO-MATH-Y10-02</x:v>
      </x:c>
      <x:c r="C25" s="24" t="str">
        <x:v>Algebraic Expressions and Identities</x:v>
      </x:c>
      <x:c r="D25" s="24" t="n">
        <x:f>COUNTIF('Year 10 Architecture'!$C$4:$C$155,B25)</x:f>
        <x:v>15</x:v>
      </x:c>
      <x:c r="E25" s="24" t="str">
        <x:v>Counts include core plus linked route sessions.</x:v>
      </x:c>
    </x:row>
    <x:row r="26">
      <x:c r="A26" s="24" t="str">
        <x:v>Year 10</x:v>
      </x:c>
      <x:c r="B26" s="24" t="str">
        <x:v>NEO-MATH-Y10-03</x:v>
      </x:c>
      <x:c r="C26" s="24" t="str">
        <x:v>Straight Lines, Sets and Connected Representations</x:v>
      </x:c>
      <x:c r="D26" s="24" t="n">
        <x:f>COUNTIF('Year 10 Architecture'!$C$4:$C$155,B26)</x:f>
        <x:v>15</x:v>
      </x:c>
      <x:c r="E26" s="24" t="str">
        <x:v>Counts include core plus linked route sessions.</x:v>
      </x:c>
    </x:row>
    <x:row r="27">
      <x:c r="A27" s="24" t="str">
        <x:v>Year 10</x:v>
      </x:c>
      <x:c r="B27" s="24" t="str">
        <x:v>NEO-MATH-Y10-04</x:v>
      </x:c>
      <x:c r="C27" s="24" t="str">
        <x:v>Percentages, Ratio and Growth Models</x:v>
      </x:c>
      <x:c r="D27" s="24" t="n">
        <x:f>COUNTIF('Year 10 Architecture'!$C$4:$C$155,B27)</x:f>
        <x:v>15</x:v>
      </x:c>
      <x:c r="E27" s="24" t="str">
        <x:v>Counts include core plus linked route sessions.</x:v>
      </x:c>
    </x:row>
    <x:row r="28">
      <x:c r="A28" s="24" t="str">
        <x:v>Year 10</x:v>
      </x:c>
      <x:c r="B28" s="24" t="str">
        <x:v>NEO-MATH-Y10-05</x:v>
      </x:c>
      <x:c r="C28" s="24" t="str">
        <x:v>Equations, Inequalities and Simultaneous Relationships</x:v>
      </x:c>
      <x:c r="D28" s="24" t="n">
        <x:f>COUNTIF('Year 10 Architecture'!$C$4:$C$155,B28)</x:f>
        <x:v>16</x:v>
      </x:c>
      <x:c r="E28" s="24" t="str">
        <x:v>Counts include core plus linked route sessions.</x:v>
      </x:c>
    </x:row>
    <x:row r="29">
      <x:c r="A29" s="24" t="str">
        <x:v>Year 10</x:v>
      </x:c>
      <x:c r="B29" s="24" t="str">
        <x:v>NEO-MATH-Y10-06</x:v>
      </x:c>
      <x:c r="C29" s="24" t="str">
        <x:v>Pythagoras, Trigonometry and Measuring the Unreachable</x:v>
      </x:c>
      <x:c r="D29" s="24" t="n">
        <x:f>COUNTIF('Year 10 Architecture'!$C$4:$C$155,B29)</x:f>
        <x:v>15</x:v>
      </x:c>
      <x:c r="E29" s="24" t="str">
        <x:v>Counts include core plus linked route sessions.</x:v>
      </x:c>
    </x:row>
    <x:row r="30">
      <x:c r="A30" s="24" t="str">
        <x:v>Year 10</x:v>
      </x:c>
      <x:c r="B30" s="24" t="str">
        <x:v>NEO-MATH-Y10-07</x:v>
      </x:c>
      <x:c r="C30" s="24" t="str">
        <x:v>Frequency, Scatter and the Shape of Data</x:v>
      </x:c>
      <x:c r="D30" s="24" t="n">
        <x:f>COUNTIF('Year 10 Architecture'!$C$4:$C$155,B30)</x:f>
        <x:v>15</x:v>
      </x:c>
      <x:c r="E30" s="24" t="str">
        <x:v>Counts include core plus linked route sessions.</x:v>
      </x:c>
    </x:row>
    <x:row r="31">
      <x:c r="A31" s="24" t="str">
        <x:v>Year 10</x:v>
      </x:c>
      <x:c r="B31" s="24" t="str">
        <x:v>NEO-MATH-Y10-08</x:v>
      </x:c>
      <x:c r="C31" s="24" t="str">
        <x:v>Bounds and the Mathematics of Nearly</x:v>
      </x:c>
      <x:c r="D31" s="24" t="n">
        <x:f>COUNTIF('Year 10 Architecture'!$C$4:$C$155,B31)</x:f>
        <x:v>15</x:v>
      </x:c>
      <x:c r="E31" s="24" t="str">
        <x:v>Counts include core plus linked route sessions.</x:v>
      </x:c>
    </x:row>
    <x:row r="32">
      <x:c r="A32" s="24" t="str">
        <x:v>Year 10</x:v>
      </x:c>
      <x:c r="B32" s="24" t="str">
        <x:v>NEO-MATH-Y10-09</x:v>
      </x:c>
      <x:c r="C32" s="24" t="str">
        <x:v>Quadratics: Factors, Roots and Graphs</x:v>
      </x:c>
      <x:c r="D32" s="24" t="n">
        <x:f>COUNTIF('Year 10 Architecture'!$C$4:$C$155,B32)</x:f>
        <x:v>16</x:v>
      </x:c>
      <x:c r="E32" s="24" t="str">
        <x:v>Counts include core plus linked route sessions.</x:v>
      </x:c>
    </x:row>
    <x:row r="33">
      <x:c r="A33" s="24" t="str">
        <x:v>Year 10</x:v>
      </x:c>
      <x:c r="B33" s="24" t="str">
        <x:v>NEO-MATH-Y10-10</x:v>
      </x:c>
      <x:c r="C33" s="24" t="str">
        <x:v>The Connected Maths Performance Project</x:v>
      </x:c>
      <x:c r="D33" s="24" t="n">
        <x:f>COUNTIF('Year 10 Architecture'!$C$4:$C$155,B33)</x:f>
        <x:v>15</x:v>
      </x:c>
      <x:c r="E33" s="24" t="str">
        <x:v>Counts include core plus linked route sessions.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5cc3a02a19874124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14" hidden="0" customWidth="1"/>
    <x:col min="5" max="5" width="50" hidden="0" customWidth="1"/>
    <x:col min="6" max="6" width="55" hidden="0" customWidth="1"/>
  </x:cols>
  <x:sheetData>
    <x:row r="1">
      <x:c r="A1" s="3" t="str">
        <x:v>Interactive Resource Reuse Audit</x:v>
      </x:c>
      <x:c r="B1" s="3"/>
      <x:c r="C1" s="3"/>
      <x:c r="D1" s="3"/>
      <x:c r="E1" s="3"/>
      <x:c r="F1" s="3"/>
    </x:row>
    <x:row r="2">
      <x:c r="A2" s="31" t="str">
        <x:v>This sheet tests the production model: many lesson sessions can share a smaller family of reusable interactive engines and Scratchpad presets.</x:v>
      </x:c>
      <x:c r="B2" s="31"/>
      <x:c r="C2" s="31"/>
      <x:c r="D2" s="31"/>
      <x:c r="E2" s="31"/>
      <x:c r="F2" s="31"/>
    </x:row>
    <x:row r="3">
      <x:c r="A3" s="16" t="str">
        <x:v>Resource / Tool Family</x:v>
      </x:c>
      <x:c r="B3" s="16" t="str">
        <x:v>Year 9 Sessions</x:v>
      </x:c>
      <x:c r="C3" s="16" t="str">
        <x:v>Year 10 Sessions</x:v>
      </x:c>
      <x:c r="D3" s="16" t="str">
        <x:v>Total Sessions</x:v>
      </x:c>
      <x:c r="E3" s="16" t="str">
        <x:v>Example Interactive Resources</x:v>
      </x:c>
      <x:c r="F3" s="16" t="str">
        <x:v>Curriculum Build Implication</x:v>
      </x:c>
    </x:row>
    <x:row r="4">
      <x:c r="A4" s="24" t="str">
        <x:v>Dynamic Graph Lab</x:v>
      </x:c>
      <x:c r="B4" s="24" t="n">
        <x:f>COUNTIF('Year 9 Architecture'!$R$4:$R$155,A4)</x:f>
        <x:v>2</x:v>
      </x:c>
      <x:c r="C4" s="24" t="n">
        <x:f>COUNTIF('Year 10 Architecture'!$R$4:$R$155,A4)</x:f>
        <x:v>13</x:v>
      </x:c>
      <x:c r="D4" s="24" t="n">
        <x:f>B4+C4</x:f>
        <x:v>15</x:v>
      </x:c>
      <x:c r="E4" s="24" t="str">
        <x:v>Coordinate Move Studio; Gradient Explorer + Venn Set Builder; Table-to-Line Builder</x:v>
      </x:c>
      <x:c r="F4" s="24" t="str">
        <x:v>Build a reusable Dynamic Graph Lab engine with lesson-specific presets rather than a separate app for every session.</x:v>
      </x:c>
    </x:row>
    <x:row r="5">
      <x:c r="A5" s="24" t="str">
        <x:v>Evidence Lab</x:v>
      </x:c>
      <x:c r="B5" s="24" t="n">
        <x:f>COUNTIF('Year 9 Architecture'!$R$4:$R$155,A5)</x:f>
        <x:v>28</x:v>
      </x:c>
      <x:c r="C5" s="24" t="n">
        <x:f>COUNTIF('Year 10 Architecture'!$R$4:$R$155,A5)</x:f>
        <x:v>13</x:v>
      </x:c>
      <x:c r="D5" s="24" t="n">
        <x:f>B5+C5</x:f>
        <x:v>41</x:v>
      </x:c>
      <x:c r="E5" s="24" t="str">
        <x:v>Average as Fair-Share Simulator; Data Claim Comparator; Data Display Switcher; Dynamic Probability Tree; Probability Scale Slider</x:v>
      </x:c>
      <x:c r="F5" s="24" t="str">
        <x:v>Build a reusable Evidence Lab engine with lesson-specific presets rather than a separate app for every session.</x:v>
      </x:c>
    </x:row>
    <x:row r="6">
      <x:c r="A6" s="24" t="str">
        <x:v>Geometry Studio</x:v>
      </x:c>
      <x:c r="B6" s="24" t="n">
        <x:f>COUNTIF('Year 9 Architecture'!$R$4:$R$155,A6)</x:f>
        <x:v>40</x:v>
      </x:c>
      <x:c r="C6" s="24" t="n">
        <x:f>COUNTIF('Year 10 Architecture'!$R$4:$R$155,A6)</x:f>
        <x:v>13</x:v>
      </x:c>
      <x:c r="D6" s="24" t="n">
        <x:f>B6+C6</x:f>
        <x:v>53</x:v>
      </x:c>
      <x:c r="E6" s="24" t="str">
        <x:v>3D Slice and Net Explorer; Angle Chain Explorer; Angle Constraint Explorer; Fixed-Perimeter Shape Designer; Locus and Safe-Route Planner</x:v>
      </x:c>
      <x:c r="F6" s="24" t="str">
        <x:v>Build a reusable Geometry Studio engine with lesson-specific presets rather than a separate app for every session.</x:v>
      </x:c>
    </x:row>
    <x:row r="7">
      <x:c r="A7" s="24" t="str">
        <x:v>Navigation Tool</x:v>
      </x:c>
      <x:c r="B7" s="24" t="n">
        <x:f>COUNTIF('Year 9 Architecture'!$R$4:$R$155,A7)</x:f>
        <x:v>11</x:v>
      </x:c>
      <x:c r="C7" s="24" t="n">
        <x:f>COUNTIF('Year 10 Architecture'!$R$4:$R$155,A7)</x:f>
        <x:v>23</x:v>
      </x:c>
      <x:c r="D7" s="24" t="n">
        <x:f>B7+C7</x:f>
        <x:v>34</x:v>
      </x:c>
      <x:c r="E7" s="24" t="str">
        <x:v>Estimate First Prompt; Mastery Pathway Review; Portfolio Evidence Selector; Question Highlighter; Question Translation Studio</x:v>
      </x:c>
      <x:c r="F7" s="24" t="str">
        <x:v>Build a reusable Navigation Tool engine with lesson-specific presets rather than a separate app for every session.</x:v>
      </x:c>
    </x:row>
    <x:row r="8">
      <x:c r="A8" s="24" t="str">
        <x:v>Number Explorer</x:v>
      </x:c>
      <x:c r="B8" s="24" t="n">
        <x:f>COUNTIF('Year 9 Architecture'!$R$4:$R$155,A8)</x:f>
        <x:v>14</x:v>
      </x:c>
      <x:c r="C8" s="24" t="n">
        <x:f>COUNTIF('Year 10 Architecture'!$R$4:$R$155,A8)</x:f>
        <x:v>26</x:v>
      </x:c>
      <x:c r="D8" s="24" t="n">
        <x:f>B8+C8</x:f>
        <x:v>40</x:v>
      </x:c>
      <x:c r="E8" s="24" t="str">
        <x:v>Bounds Interval Visualiser; Calculator Input Detective; Estimate–Calculate–Check Lab; Micro-to-Macro Scale Explorer; Place-Value Magnifier</x:v>
      </x:c>
      <x:c r="F8" s="24" t="str">
        <x:v>Build a reusable Number Explorer engine with lesson-specific presets rather than a separate app for every session.</x:v>
      </x:c>
    </x:row>
    <x:row r="9">
      <x:c r="A9" s="24" t="str">
        <x:v>Reasoning Studio</x:v>
      </x:c>
      <x:c r="B9" s="24" t="n">
        <x:f>COUNTIF('Year 9 Architecture'!$R$4:$R$155,A9)</x:f>
        <x:v>0</x:v>
      </x:c>
      <x:c r="C9" s="24" t="n">
        <x:f>COUNTIF('Year 10 Architecture'!$R$4:$R$155,A9)</x:f>
        <x:v>12</x:v>
      </x:c>
      <x:c r="D9" s="24" t="n">
        <x:f>B9+C9</x:f>
        <x:v>12</x:v>
      </x:c>
      <x:c r="E9" s="24" t="str">
        <x:v>Multi-Topic Model Builder</x:v>
      </x:c>
      <x:c r="F9" s="24" t="str">
        <x:v>Build a reusable Reasoning Studio engine with lesson-specific presets rather than a separate app for every session.</x:v>
      </x:c>
    </x:row>
    <x:row r="10">
      <x:c r="A10" s="24" t="str">
        <x:v>Scaling Lab</x:v>
      </x:c>
      <x:c r="B10" s="24" t="n">
        <x:f>COUNTIF('Year 9 Architecture'!$R$4:$R$155,A10)</x:f>
        <x:v>15</x:v>
      </x:c>
      <x:c r="C10" s="24" t="n">
        <x:f>COUNTIF('Year 10 Architecture'!$R$4:$R$155,A10)</x:f>
        <x:v>13</x:v>
      </x:c>
      <x:c r="D10" s="24" t="n">
        <x:f>B10+C10</x:f>
        <x:v>28</x:v>
      </x:c>
      <x:c r="E10" s="24" t="str">
        <x:v>Growth Multiplier Lab; Recipe Scaler; Scale Factor Slider; Similarity Zoom Lab; Unit Rate Builder</x:v>
      </x:c>
      <x:c r="F10" s="24" t="str">
        <x:v>Build a reusable Scaling Lab engine with lesson-specific presets rather than a separate app for every session.</x:v>
      </x:c>
    </x:row>
    <x:row r="11">
      <x:c r="A11" s="24" t="str">
        <x:v>Structure Lab</x:v>
      </x:c>
      <x:c r="B11" s="24" t="n">
        <x:f>COUNTIF('Year 9 Architecture'!$R$4:$R$155,A11)</x:f>
        <x:v>42</x:v>
      </x:c>
      <x:c r="C11" s="24" t="n">
        <x:f>COUNTIF('Year 10 Architecture'!$R$4:$R$155,A11)</x:f>
        <x:v>39</x:v>
      </x:c>
      <x:c r="D11" s="24" t="n">
        <x:f>B11+C11</x:f>
        <x:v>81</x:v>
      </x:c>
      <x:c r="E11" s="24" t="str">
        <x:v>Algebra Structure Lens; Balance Equation Simulator; Bracket Area Model; Expression Equivalence Lab; Factor Web</x:v>
      </x:c>
      <x:c r="F11" s="24" t="str">
        <x:v>Build a reusable Structure Lab engine with lesson-specific presets rather than a separate app for every session.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0609ee856b4454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0" hidden="0" customWidth="1"/>
    <x:col min="3" max="3" width="50" hidden="0" customWidth="1"/>
    <x:col min="4" max="4" width="65" hidden="0" customWidth="1"/>
    <x:col min="5" max="5" width="28" hidden="0" customWidth="1"/>
    <x:col min="6" max="6" width="40" hidden="0" customWidth="1"/>
  </x:cols>
  <x:sheetData>
    <x:row r="1">
      <x:c r="A1" s="3" t="str">
        <x:v>Sources &amp; GreenPrint Notes</x:v>
      </x:c>
      <x:c r="B1" s="3"/>
      <x:c r="C1" s="3"/>
      <x:c r="D1" s="3"/>
      <x:c r="E1" s="3"/>
      <x:c r="F1" s="3"/>
    </x:row>
    <x:row r="2">
      <x:c r="A2" s="31" t="str">
        <x:v>This architecture map is a planning GreenPrint, not an approved timetable or qualification scheme of work. Review against learner needs, NEO timetable decisions and current qualification specifications before production lock.</x:v>
      </x:c>
      <x:c r="B2" s="31"/>
      <x:c r="C2" s="31"/>
      <x:c r="D2" s="31"/>
      <x:c r="E2" s="31"/>
      <x:c r="F2" s="31"/>
    </x:row>
    <x:row r="3">
      <x:c r="A3" s="16" t="str">
        <x:v>Source / Artifact</x:v>
      </x:c>
      <x:c r="B3" s="16" t="str">
        <x:v>Status</x:v>
      </x:c>
      <x:c r="C3" s="16" t="str">
        <x:v>Use in this workbook</x:v>
      </x:c>
      <x:c r="D3" s="16" t="str">
        <x:v>Location / URL</x:v>
      </x:c>
      <x:c r="E3" s="16" t="str">
        <x:v>Review Trigger</x:v>
      </x:c>
      <x:c r="F3" s="16" t="str">
        <x:v>Note</x:v>
      </x:c>
    </x:row>
    <x:row r="4">
      <x:c r="A4" s="24" t="str">
        <x:v>NEO Mathematics Curriculum GreenPrint Running Design Record v0.4</x:v>
      </x:c>
      <x:c r="B4" s="24" t="str">
        <x:v>Working GreenPrint</x:v>
      </x:c>
      <x:c r="C4" s="24" t="str">
        <x:v>Locked lesson architecture, Stepping Stones, guidance and Scratchpad principles</x:v>
      </x:c>
      <x:c r="D4" s="24" t="str">
        <x:v>NEO_Mathematics_Curriculum_GreenPrint_Running_Design_Record_v0.4.docx</x:v>
      </x:c>
      <x:c r="E4" s="24" t="str">
        <x:v>Next GreenPrint version</x:v>
      </x:c>
      <x:c r="F4" s="24" t="str">
        <x:v>Current design record</x:v>
      </x:c>
    </x:row>
    <x:row r="5">
      <x:c r="A5" s="24" t="str">
        <x:v>NEO Mathematics KS3–KS4 Curriculum Vault Map GreenPrint v0.1</x:v>
      </x:c>
      <x:c r="B5" s="24" t="str">
        <x:v>Working GreenPrint</x:v>
      </x:c>
      <x:c r="C5" s="24" t="str">
        <x:v>Unit IDs, pathway structure, strands, Cornerstones, tools and qualification overlay fields</x:v>
      </x:c>
      <x:c r="D5" s="24" t="str">
        <x:v>NEO_Mathematics_KS3_KS4_Curriculum_Vault_Map_GreenPrint_v0.1.xlsx</x:v>
      </x:c>
      <x:c r="E5" s="24" t="str">
        <x:v>Any unit-map revision</x:v>
      </x:c>
      <x:c r="F5" s="24" t="str">
        <x:v>Parent curriculum map</x:v>
      </x:c>
    </x:row>
    <x:row r="6">
      <x:c r="A6" s="24" t="str">
        <x:v>NEO Curriculum — Intent, Implementation and Impact v0.1</x:v>
      </x:c>
      <x:c r="B6" s="24" t="str">
        <x:v>Draft / not approved</x:v>
      </x:c>
      <x:c r="C6" s="24" t="str">
        <x:v>Connection before curriculum; routes according to need; Year 9/10 launch context; Curriculum × Overlay model</x:v>
      </x:c>
      <x:c r="D6" s="24" t="str">
        <x:v>Uploaded NEO curriculum draft</x:v>
      </x:c>
      <x:c r="E6" s="24" t="str">
        <x:v>Approval or policy revision</x:v>
      </x:c>
      <x:c r="F6" s="24" t="str">
        <x:v>Confidential working source</x:v>
      </x:c>
    </x:row>
    <x:row r="7">
      <x:c r="A7" s="24" t="str">
        <x:v>National curriculum in England: mathematics programmes of study</x:v>
      </x:c>
      <x:c r="B7" s="24" t="str">
        <x:v>Official programme of study</x:v>
      </x:c>
      <x:c r="C7" s="24" t="str">
        <x:v>KS3 canonical mathematical aims and content alignment</x:v>
      </x:c>
      <x:c r="D7" s="24" t="str">
        <x:v>https://www.gov.uk/government/publications/national-curriculum-in-england-mathematics-programmes-of-study</x:v>
      </x:c>
      <x:c r="E7" s="24" t="str">
        <x:v>Annual curriculum review</x:v>
      </x:c>
      <x:c r="F7" s="24" t="str">
        <x:v>Use current official version</x:v>
      </x:c>
    </x:row>
    <x:row r="8">
      <x:c r="A8" s="24" t="str">
        <x:v>Pearson Edexcel International GCSE Mathematics A 4MA1</x:v>
      </x:c>
      <x:c r="B8" s="24" t="str">
        <x:v>Qualification overlay</x:v>
      </x:c>
      <x:c r="C8" s="24" t="str">
        <x:v>Year 10 qualification mapping inherited from Curriculum Vault map</x:v>
      </x:c>
      <x:c r="D8" s="24" t="str">
        <x:v>https://qualifications.pearson.com/en/qualifications/edexcel-international-gcses/international-gcse-mathematics-a-2016.html</x:v>
      </x:c>
      <x:c r="E8" s="24" t="str">
        <x:v>Annual review and before entries</x:v>
      </x:c>
      <x:c r="F8" s="24" t="str">
        <x:v>Overlay does not define canonical spine</x:v>
      </x:c>
    </x:row>
    <x:row r="9">
      <x:c r="A9" s="24" t="str">
        <x:v>NEO Maths Prototype Lesson Pack v5</x:v>
      </x:c>
      <x:c r="B9" s="24" t="str">
        <x:v>Locked reference prototype</x:v>
      </x:c>
      <x:c r="C9" s="24" t="str">
        <x:v>Interactive lesson, Practice Companion, guidance layers and Scratchpad standard</x:v>
      </x:c>
      <x:c r="D9" s="24" t="str">
        <x:v>NEO_Maths_Prototype_Lesson_Pack_v5.zip</x:v>
      </x:c>
      <x:c r="E9" s="24" t="str">
        <x:v>Prototype standard revision</x:v>
      </x:c>
      <x:c r="F9" s="24" t="str">
        <x:v>Ratio and Straight-Line Graphs reference standard</x:v>
      </x:c>
    </x:row>
  </x:sheetData>
  <x:mergeCells>
    <x:mergeCell ref="A1:F1"/>
    <x:mergeCell ref="A2:F2"/>
  </x:mergeCells>
  <x:pageMargins left="0.7" right="0.7" top="0.75" bottom="0.75" header="0.3" footer="0.3"/>
</x:worksheet>
</file>