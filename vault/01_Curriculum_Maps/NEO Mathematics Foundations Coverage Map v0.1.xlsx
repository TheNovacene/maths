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Coverage Map" sheetId="2" r:id="rId6"/>
    <sheet state="visible" name="Stepping Stones" sheetId="3" r:id="rId7"/>
    <sheet state="visible" name="Reconnection Routes" sheetId="4" r:id="rId8"/>
    <sheet state="visible" name="Header Audit" sheetId="5" r:id="rId9"/>
    <sheet state="visible" name="Evidence Register" sheetId="6" r:id="rId10"/>
    <sheet state="visible" name="Lists &amp; Version" sheetId="7" r:id="rId11"/>
  </sheets>
  <definedNames/>
  <calcPr/>
</workbook>
</file>

<file path=xl/sharedStrings.xml><?xml version="1.0" encoding="utf-8"?>
<sst xmlns="http://schemas.openxmlformats.org/spreadsheetml/2006/main" count="763" uniqueCount="432">
  <si>
    <t>NEO Mathematics Foundations Coverage Map v0.1</t>
  </si>
  <si>
    <t>Live GreenPrint register for Stepping Stones, Reconnection Routes, lesson status, evidence and learner-facing header compliance.</t>
  </si>
  <si>
    <t>Coverage Summary</t>
  </si>
  <si>
    <t>Value</t>
  </si>
  <si>
    <t>GreenPrint Control</t>
  </si>
  <si>
    <t>Decision</t>
  </si>
  <si>
    <t>How to use this workbook</t>
  </si>
  <si>
    <t>Action</t>
  </si>
  <si>
    <t>Mapped learner-facing lessons</t>
  </si>
  <si>
    <t>Pathway</t>
  </si>
  <si>
    <t>Foundations</t>
  </si>
  <si>
    <t>Coverage Map</t>
  </si>
  <si>
    <t>Filter by unit, status, route or evidence gap.</t>
  </si>
  <si>
    <t>Preview-ready lessons</t>
  </si>
  <si>
    <t>Annual rhythm</t>
  </si>
  <si>
    <t>3 × 45 minutes × 38 weeks = 114</t>
  </si>
  <si>
    <t>Stepping Stones</t>
  </si>
  <si>
    <t>Attach evidence to portable learner-facing outcomes.</t>
  </si>
  <si>
    <t>Header actions required</t>
  </si>
  <si>
    <t>Topic allocation</t>
  </si>
  <si>
    <t>Decided live, topic by topic</t>
  </si>
  <si>
    <t>Reconnection Routes</t>
  </si>
  <si>
    <t>Use a short route, then return to the live need.</t>
  </si>
  <si>
    <t>Missing guidance sets</t>
  </si>
  <si>
    <t>Internal tags</t>
  </si>
  <si>
    <t>Y7/Y9/KS3 codes may remain in internal filenames and metadata</t>
  </si>
  <si>
    <t>Header Audit</t>
  </si>
  <si>
    <t>Remove chronological/key-stage labels from learner-visible headers.</t>
  </si>
  <si>
    <t>Worked-solution rule</t>
  </si>
  <si>
    <t>Prompt + hint + two non-empty checked attempts per question</t>
  </si>
  <si>
    <t>Learner-facing levels</t>
  </si>
  <si>
    <t>Foundations / Intermediate / Advanced</t>
  </si>
  <si>
    <t>Evidence Register</t>
  </si>
  <si>
    <t>Record the artifact and the claim it supports.</t>
  </si>
  <si>
    <t>Last reviewed</t>
  </si>
  <si>
    <t>Controlling record</t>
  </si>
  <si>
    <t>GreenPrint v1.1</t>
  </si>
  <si>
    <t>Lists &amp; Version</t>
  </si>
  <si>
    <t>Use the controlled status lists and version log.</t>
  </si>
  <si>
    <t>Current unit focus</t>
  </si>
  <si>
    <t>Pythagoras and linked Foundations exemplars</t>
  </si>
  <si>
    <t>Scope note</t>
  </si>
  <si>
    <t>Straight-Line Graphs appears only in the header audit because it is Intermediate.</t>
  </si>
  <si>
    <t>Next review</t>
  </si>
  <si>
    <t>After header remediation or new lesson production.</t>
  </si>
  <si>
    <t>Foundations Lesson Coverage</t>
  </si>
  <si>
    <t>One row per current learner-facing lesson environment. Status is evidence-based and intentionally provisional.</t>
  </si>
  <si>
    <t>Coverage ID</t>
  </si>
  <si>
    <t>Internal Stage Tag</t>
  </si>
  <si>
    <t>Unit</t>
  </si>
  <si>
    <t>Lesson Sequence</t>
  </si>
  <si>
    <t>Lesson Title</t>
  </si>
  <si>
    <t>Lesson Type</t>
  </si>
  <si>
    <t>Prerequisite Check</t>
  </si>
  <si>
    <t>Reconnection Route</t>
  </si>
  <si>
    <t>Lesson Status</t>
  </si>
  <si>
    <t>Practice Companion</t>
  </si>
  <si>
    <t>Scratchpad</t>
  </si>
  <si>
    <t>Learner Guidance</t>
  </si>
  <si>
    <t>Supporting Adult Guidance</t>
  </si>
  <si>
    <t>Worked-Solution Release</t>
  </si>
  <si>
    <t>Evidence Claim</t>
  </si>
  <si>
    <t>Evidence Location</t>
  </si>
  <si>
    <t>Next Action</t>
  </si>
  <si>
    <t>Owner</t>
  </si>
  <si>
    <t>Last Reviewed</t>
  </si>
  <si>
    <t>FND-PV-01</t>
  </si>
  <si>
    <t>Y7 Reconnection</t>
  </si>
  <si>
    <t>Place Value</t>
  </si>
  <si>
    <t>How Much Is a Digit Worth?</t>
  </si>
  <si>
    <t>Reconnection / Prototype</t>
  </si>
  <si>
    <t>digit value; factors of ten; placeholder zero; compare integers and decimals</t>
  </si>
  <si>
    <t>place-value confidence and magnitude</t>
  </si>
  <si>
    <t>REC-NUM-01</t>
  </si>
  <si>
    <t>Prototype — header update required</t>
  </si>
  <si>
    <t>Present</t>
  </si>
  <si>
    <t>Present — header action</t>
  </si>
  <si>
    <t>Partial safeguard — two attempts; prompt/hint sequence not enforced</t>
  </si>
  <si>
    <t>Action required</t>
  </si>
  <si>
    <t>Interactive lesson, Practice Companion, Scratchpad and two guidance PDFs exist</t>
  </si>
  <si>
    <t>Project artifacts: Place Value migrated v0.6 and guidance v0.6</t>
  </si>
  <si>
    <t>Remove learner-visible Year 7 labels; align worked-solution release rule</t>
  </si>
  <si>
    <t>FND-RP-01</t>
  </si>
  <si>
    <t>KS3 internal reference</t>
  </si>
  <si>
    <t>Ratio and Proportion</t>
  </si>
  <si>
    <t>Locked reference prototype</t>
  </si>
  <si>
    <t>ratio language; connected quantities; scale factor; ratio tables; equivalent ratios</t>
  </si>
  <si>
    <t>multiplicative reasoning and FDP links</t>
  </si>
  <si>
    <t>Core Foundations route</t>
  </si>
  <si>
    <t>Locked reference — header update required</t>
  </si>
  <si>
    <t>Non-compliant — unlocks after one attempt</t>
  </si>
  <si>
    <t>Reference environment and two guidance PDFs exist</t>
  </si>
  <si>
    <t>Project artifacts: Ratio &amp; Proportion Interactive v5 and guidance</t>
  </si>
  <si>
    <t>Replace learner-visible KS3 label; update worked-solution release rule</t>
  </si>
  <si>
    <t>FND-PY-01</t>
  </si>
  <si>
    <t>Y9 Bridge</t>
  </si>
  <si>
    <t>Pythagoras</t>
  </si>
  <si>
    <t>Right Triangles and Hidden Squares</t>
  </si>
  <si>
    <t>Core</t>
  </si>
  <si>
    <t>identify right triangles; identify hypotenuse; explain square-area relationship</t>
  </si>
  <si>
    <t>right angles; square numbers; area of a square</t>
  </si>
  <si>
    <t>REC-GEO-01 / REC-NUM-04 / REC-GEO-02</t>
  </si>
  <si>
    <t>Preview-ready — guidance gap</t>
  </si>
  <si>
    <t>Missing</t>
  </si>
  <si>
    <t>Compliant</t>
  </si>
  <si>
    <t>Pass</t>
  </si>
  <si>
    <t>Current lesson HTML verified; worked-solution safeguard patched</t>
  </si>
  <si>
    <t>https://drive.google.com/drive/folders/1eMQrRKHCjVrWm7ua5nbEWEpTsM099Dzo</t>
  </si>
  <si>
    <t>Create age-neutral Learner and Supporting Adult Guidance for Lesson 1</t>
  </si>
  <si>
    <t>FND-PY-02</t>
  </si>
  <si>
    <t>Finding the Hypotenuse</t>
  </si>
  <si>
    <t>identify hypotenuse; build equation; square, add and root; reasonableness</t>
  </si>
  <si>
    <t>square/root fluency; calculator input</t>
  </si>
  <si>
    <t>REC-NUM-04</t>
  </si>
  <si>
    <t>Preview-ready</t>
  </si>
  <si>
    <t>Current lesson and both guidance PDFs verified</t>
  </si>
  <si>
    <t>Retain and gather learner evidence when piloted</t>
  </si>
  <si>
    <t>FND-PY-03</t>
  </si>
  <si>
    <t>Finding a Shorter Side</t>
  </si>
  <si>
    <t>Core / Misconception repair</t>
  </si>
  <si>
    <t>identify hypotenuse; choose subtraction; calculate shorter side; check reasonableness</t>
  </si>
  <si>
    <t>inverse operations; square/root fluency</t>
  </si>
  <si>
    <t>REC-NUM-03 / REC-NUM-04</t>
  </si>
  <si>
    <t>FND-PY-04</t>
  </si>
  <si>
    <t>Using Pythagoras to Solve Geometrical Problems</t>
  </si>
  <si>
    <t>Core / Application</t>
  </si>
  <si>
    <t>find hidden right triangle; select lengths; solve; interpret and check</t>
  </si>
  <si>
    <t>shape properties; diagram literacy; units</t>
  </si>
  <si>
    <t>REC-GEO-01 / REC-GEO-02</t>
  </si>
  <si>
    <t>Current lesson and both updated age-neutral guidance PDFs verified</t>
  </si>
  <si>
    <t>FND-APS-01</t>
  </si>
  <si>
    <t>Y9 internal</t>
  </si>
  <si>
    <t>Accuracy, Powers and Scale</t>
  </si>
  <si>
    <t>1</t>
  </si>
  <si>
    <t>Which Digits Matter?</t>
  </si>
  <si>
    <t>Core / Conceptual — reference shell</t>
  </si>
  <si>
    <t>round to significant figures</t>
  </si>
  <si>
    <t>place value; powers of ten; magnitude</t>
  </si>
  <si>
    <t>Compliant — prompt + hint + two non-empty checked attempts per question</t>
  </si>
  <si>
    <t>Pythagoras reference shell restored; all six Cornerstones present in the established order and style; Precision Lens, Boundary Explorer, Practice Companion, Scratchpad and two age-neutral guides included</t>
  </si>
  <si>
    <t>https://drive.google.com/drive/folders/1O-tXCBnjYWaaIT4E1zkEU-Zueo7zfwWb</t>
  </si>
  <si>
    <t>Pilot reference-shell v0.2 with learners; gather evidence; confirm route to estimation</t>
  </si>
  <si>
    <t/>
  </si>
  <si>
    <t>2026-07-16</t>
  </si>
  <si>
    <t>FND-APS-02</t>
  </si>
  <si>
    <t>2</t>
  </si>
  <si>
    <t>Estimation</t>
  </si>
  <si>
    <t>Core / Reasonableness — reference shell</t>
  </si>
  <si>
    <t>estimate calculations; use rounded values; judge reasonableness</t>
  </si>
  <si>
    <t>place value; rounding to significant figures; magnitude; four operations</t>
  </si>
  <si>
    <t>REC-NUM-01 / embedded rounding, magnitude and operations routes</t>
  </si>
  <si>
    <t>Pythagoras reference shell retained; all six Cornerstones present; Reconnection Routes control restored; Estimation Laboratory, Sensible or Suspicious?, six-question Practice Companion, organiser Scratchpad and two age-neutral guides verified</t>
  </si>
  <si>
    <t>https://drive.google.com/drive/folders/1eKJMhw0KpHHPpnS-Pi1lPMl7hkaGDFou</t>
  </si>
  <si>
    <t>Pilot with learners; gather evidence; audit and restore Reconnection Routes controls across recent lesson packages</t>
  </si>
  <si>
    <t>FND-APS-03</t>
  </si>
  <si>
    <t>Using Index Laws</t>
  </si>
  <si>
    <t>Core / Pattern reasoning — reference shell</t>
  </si>
  <si>
    <t>use multiplication, division and power-of-a-power index laws; explain the zero-index pattern</t>
  </si>
  <si>
    <t>multiplication; powers as repeated multiplication; base and exponent language; operation symbols</t>
  </si>
  <si>
    <t>REC-NUM-02 / embedded multiplication, powers, language and operation routes</t>
  </si>
  <si>
    <t>Pythagoras reference shell retained; all six Cornerstones present; Reconnection Routes control included; Index Law Detective, Exponent Pattern Machine, six-question Practice Companion, Index-law Organiser Scratchpad and two age-neutral guides verified</t>
  </si>
  <si>
    <t>https://drive.google.com/drive/folders/1vvyy445-eOspO2gpzLD-O2C6Yo-4ZZWy</t>
  </si>
  <si>
    <t>Pilot with learners; gather evidence; confirm scope and route into standard form</t>
  </si>
  <si>
    <t>Foundations Stepping Stones</t>
  </si>
  <si>
    <t>Portable learner-facing outcomes linked to current lesson evidence and the next useful connection.</t>
  </si>
  <si>
    <t>Stepping Stone ID</t>
  </si>
  <si>
    <t>Lesson / Route</t>
  </si>
  <si>
    <t>Learner-Facing Outcome</t>
  </si>
  <si>
    <t>Prerequisite Connection</t>
  </si>
  <si>
    <t>Suggested Evidence</t>
  </si>
  <si>
    <t>Evidence Status</t>
  </si>
  <si>
    <t>Next Connection</t>
  </si>
  <si>
    <t>FND-SS-PV-01</t>
  </si>
  <si>
    <t>Identify the value of a digit in integers and decimals</t>
  </si>
  <si>
    <t>counting and magnitude</t>
  </si>
  <si>
    <t>annotated place-value chart or explanation</t>
  </si>
  <si>
    <t>Artifact available</t>
  </si>
  <si>
    <t>Place Value lesson v0.6</t>
  </si>
  <si>
    <t>factors of ten</t>
  </si>
  <si>
    <t>FND-SS-PV-02</t>
  </si>
  <si>
    <t>Explain the factor-of-ten relationship between neighbouring columns</t>
  </si>
  <si>
    <t>digit value</t>
  </si>
  <si>
    <t>Scratchpad model and verbal explanation</t>
  </si>
  <si>
    <t>powers of ten and standard form</t>
  </si>
  <si>
    <t>FND-SS-PV-03</t>
  </si>
  <si>
    <t>Explain why placeholder zeros matter</t>
  </si>
  <si>
    <t>corrected misconception or example/non-example</t>
  </si>
  <si>
    <t>decimal operations</t>
  </si>
  <si>
    <t>FND-SS-RP-01</t>
  </si>
  <si>
    <t>Use ratio language and notation to describe connected quantities</t>
  </si>
  <si>
    <t>multiplication and division</t>
  </si>
  <si>
    <t>ratio table or annotated model</t>
  </si>
  <si>
    <t>Reference artifact</t>
  </si>
  <si>
    <t>Ratio Interactive v5</t>
  </si>
  <si>
    <t>equivalent ratios</t>
  </si>
  <si>
    <t>FND-SS-RP-02</t>
  </si>
  <si>
    <t>Use a scale factor multiplicatively</t>
  </si>
  <si>
    <t>times tables; division</t>
  </si>
  <si>
    <t>scaled recipe/table and explanation</t>
  </si>
  <si>
    <t>unit rates and direct proportion</t>
  </si>
  <si>
    <t>FND-SS-RP-03</t>
  </si>
  <si>
    <t>Explain why equivalent ratios preserve a relationship</t>
  </si>
  <si>
    <t>scale factors</t>
  </si>
  <si>
    <t>comparison of two equivalent tables</t>
  </si>
  <si>
    <t>similarity and proportion</t>
  </si>
  <si>
    <t>FND-SS-PY-01</t>
  </si>
  <si>
    <t>Identify a right-angled triangle and its hypotenuse</t>
  </si>
  <si>
    <t>right angles</t>
  </si>
  <si>
    <t>REC-GEO-01</t>
  </si>
  <si>
    <t>annotated triangle with reason</t>
  </si>
  <si>
    <t>Current lesson evidence</t>
  </si>
  <si>
    <t>Pythagoras Lesson 1</t>
  </si>
  <si>
    <t>square-area relationship</t>
  </si>
  <si>
    <t>FND-SS-PY-02</t>
  </si>
  <si>
    <t>Explain the theorem as a relationship between three square areas</t>
  </si>
  <si>
    <t>square numbers; area</t>
  </si>
  <si>
    <t>REC-NUM-04 / REC-GEO-02</t>
  </si>
  <si>
    <t>Scratchpad conjecture or area model</t>
  </si>
  <si>
    <t>symbolic equation</t>
  </si>
  <si>
    <t>FND-SS-PY-03</t>
  </si>
  <si>
    <t>Find a hypotenuse using square, add and square root</t>
  </si>
  <si>
    <t>roots; calculator input</t>
  </si>
  <si>
    <t>worked solution with reasonableness check</t>
  </si>
  <si>
    <t>Pythagoras Lesson 2</t>
  </si>
  <si>
    <t>shorter-side problems</t>
  </si>
  <si>
    <t>FND-SS-PY-04</t>
  </si>
  <si>
    <t>Find a shorter side and explain why subtraction is required</t>
  </si>
  <si>
    <t>inverse operations</t>
  </si>
  <si>
    <t>REC-NUM-03</t>
  </si>
  <si>
    <t>misconception-repair explanation</t>
  </si>
  <si>
    <t>Pythagoras Lesson 3</t>
  </si>
  <si>
    <t>method selection</t>
  </si>
  <si>
    <t>FND-SS-PY-05</t>
  </si>
  <si>
    <t>Reveal a useful right triangle inside a larger geometrical situation</t>
  </si>
  <si>
    <t>shape properties; diagram literacy</t>
  </si>
  <si>
    <t>annotated diagram and selected lengths</t>
  </si>
  <si>
    <t>Pythagoras Lesson 4</t>
  </si>
  <si>
    <t>multi-step geometry and 3D links</t>
  </si>
  <si>
    <t>FND-SS-PY-06</t>
  </si>
  <si>
    <t>Interpret a calculated length with units and a reasonableness check</t>
  </si>
  <si>
    <t>measurement and rounding</t>
  </si>
  <si>
    <t>contextual solution and decision statement</t>
  </si>
  <si>
    <t>indirect measurement modelling</t>
  </si>
  <si>
    <t>Foundations Reconnection Routes</t>
  </si>
  <si>
    <t>A Reconnection Route is short, specific and followed by a visible return to the active lesson.</t>
  </si>
  <si>
    <t>Route ID</t>
  </si>
  <si>
    <t>Internal Stage</t>
  </si>
  <si>
    <t>Trigger / Signal</t>
  </si>
  <si>
    <t>Reconnection Focus</t>
  </si>
  <si>
    <t>Return Point</t>
  </si>
  <si>
    <t>Minimum Return Evidence</t>
  </si>
  <si>
    <t>Current Status</t>
  </si>
  <si>
    <t>Y7/Y9 bridge</t>
  </si>
  <si>
    <t>Place value or magnitude blocks reasonableness</t>
  </si>
  <si>
    <t>Place value and magnitude</t>
  </si>
  <si>
    <t>Pythagoras reasonableness / wider Number work</t>
  </si>
  <si>
    <t>Explains digit magnitude sufficiently to continue</t>
  </si>
  <si>
    <t>Prototype available — header action</t>
  </si>
  <si>
    <t>Place Value migrated v0.6</t>
  </si>
  <si>
    <t>Remove visible Year 7 labels; align solution rule</t>
  </si>
  <si>
    <t>Inverse-operation reasoning blocks a shorter-side calculation</t>
  </si>
  <si>
    <t>Operations and inverse checking</t>
  </si>
  <si>
    <t>Explains why subtraction reverses the square-area sum</t>
  </si>
  <si>
    <t>Mapped / not yet built</t>
  </si>
  <si>
    <t>Blueprint and architecture maps</t>
  </si>
  <si>
    <t>Author reusable reconnection lesson when production reaches this need</t>
  </si>
  <si>
    <t>Y8/Y9 bridge</t>
  </si>
  <si>
    <t>Square numbers or roots are not usable enough for Pythagoras</t>
  </si>
  <si>
    <t>Squares, roots and number structure</t>
  </si>
  <si>
    <t>Pythagoras Lessons 1–3</t>
  </si>
  <si>
    <t>Recognises common squares and finds or estimates a root</t>
  </si>
  <si>
    <t>Author route before broader Pythagoras rollout</t>
  </si>
  <si>
    <t>Right angles or triangle recognition are fragile</t>
  </si>
  <si>
    <t>Angles and right triangles</t>
  </si>
  <si>
    <t>Pythagoras Lessons 1 and 4</t>
  </si>
  <si>
    <t>Identifies a right angle and a right triangle</t>
  </si>
  <si>
    <t>Author reusable geometry reconnection route</t>
  </si>
  <si>
    <t>REC-GEO-02</t>
  </si>
  <si>
    <t>Area of a square or hidden-shape decomposition is insecure</t>
  </si>
  <si>
    <t>Square areas and shape decomposition</t>
  </si>
  <si>
    <t>Builds or highlights the relevant square/triangle structure</t>
  </si>
  <si>
    <t>Partly evidenced</t>
  </si>
  <si>
    <t>Separate reconnection preset may still be needed</t>
  </si>
  <si>
    <t>Learner-Facing Header Audit</t>
  </si>
  <si>
    <t>Internal filename and stage tags may remain. Learner-visible titles, headers and guide covers must use age-neutral pathway language.</t>
  </si>
  <si>
    <t>Audit ID</t>
  </si>
  <si>
    <t>Artifact Type</t>
  </si>
  <si>
    <t>Unit / Lesson</t>
  </si>
  <si>
    <t>Artifact / Version</t>
  </si>
  <si>
    <t>Internal Tag Present</t>
  </si>
  <si>
    <t>Visible Label Found</t>
  </si>
  <si>
    <t>Audit Result</t>
  </si>
  <si>
    <t>Required Action</t>
  </si>
  <si>
    <t>Scope Note</t>
  </si>
  <si>
    <t>HDR-001</t>
  </si>
  <si>
    <t>Interactive Lesson</t>
  </si>
  <si>
    <t>Interactive v5</t>
  </si>
  <si>
    <t>KS3 in filename</t>
  </si>
  <si>
    <t>KS3 in browser title and H1</t>
  </si>
  <si>
    <t>Replace learner-visible KS3 with Foundations</t>
  </si>
  <si>
    <t>Project artifact: NEO_Maths_KS3_Ratio_Proportion_Interactive_v5.html</t>
  </si>
  <si>
    <t>Internal filename tag may remain</t>
  </si>
  <si>
    <t>HDR-002</t>
  </si>
  <si>
    <t>Learner Guide</t>
  </si>
  <si>
    <t>No</t>
  </si>
  <si>
    <t>None</t>
  </si>
  <si>
    <t>Project artifact: NEO_Maths_Ratio_Proportion_Learner_Guide.pdf</t>
  </si>
  <si>
    <t>Cover is age-neutral</t>
  </si>
  <si>
    <t>HDR-003</t>
  </si>
  <si>
    <t>Lesson Guidance</t>
  </si>
  <si>
    <t>Project artifact: NEO_Maths_Ratio_Proportion_Lesson_Guidance.pdf</t>
  </si>
  <si>
    <t>HDR-004</t>
  </si>
  <si>
    <t>Intermediate</t>
  </si>
  <si>
    <t>Straight-Line Graphs</t>
  </si>
  <si>
    <t>KS4 in filename</t>
  </si>
  <si>
    <t>KS4 in browser title and H1</t>
  </si>
  <si>
    <t>Replace learner-visible KS4 with Intermediate</t>
  </si>
  <si>
    <t>Project artifact: NEO_Maths_KS4_Straight_Line_Graphs_Interactive_v5.html</t>
  </si>
  <si>
    <t>Included because this is a locked reference exemplar</t>
  </si>
  <si>
    <t>HDR-005</t>
  </si>
  <si>
    <t>Project artifact: NEO_Maths_Straight_Line_Graphs_Learner_Guide.pdf</t>
  </si>
  <si>
    <t>HDR-006</t>
  </si>
  <si>
    <t>Project artifact: NEO_Maths_Straight_Line_Graphs_Lesson_Guidance.pdf</t>
  </si>
  <si>
    <t>HDR-007</t>
  </si>
  <si>
    <t>Migrated v0.6</t>
  </si>
  <si>
    <t>Y7 in filename</t>
  </si>
  <si>
    <t>Year 7 / Year 7 Autumn 1 in title, H1, overview, task and Practice header</t>
  </si>
  <si>
    <t>Replace learner-visible Year 7 labels with Foundations; retain stage internally</t>
  </si>
  <si>
    <t>Project artifact: NEO_Maths_Y7_Place_Value_Migrated_v0.6.html</t>
  </si>
  <si>
    <t>Multiple visible occurrences</t>
  </si>
  <si>
    <t>HDR-008</t>
  </si>
  <si>
    <t>Learner Guide v0.6</t>
  </si>
  <si>
    <t>Project artifact: NEO_Maths_Y7_Place_Value_Learner_Guide_v0.6.pdf</t>
  </si>
  <si>
    <t>HDR-009</t>
  </si>
  <si>
    <t>Supporting Adult v0.6</t>
  </si>
  <si>
    <t>Year 7 in cover lesson title</t>
  </si>
  <si>
    <t>Replace cover label with Foundations</t>
  </si>
  <si>
    <t>Project artifact: NEO_Maths_Y7_Place_Value_Supporting_Adult_Guidance_v0.6.pdf</t>
  </si>
  <si>
    <t>HDR-010</t>
  </si>
  <si>
    <t>Current Drive HTML</t>
  </si>
  <si>
    <t>Y9 in master filename</t>
  </si>
  <si>
    <t>Drive: Pythagorean Theorem / Lesson 01</t>
  </si>
  <si>
    <t>Learner-visible title is age-neutral</t>
  </si>
  <si>
    <t>HDR-011</t>
  </si>
  <si>
    <t>Drive: Pythagorean Theorem / Lesson 02</t>
  </si>
  <si>
    <t>HDR-012</t>
  </si>
  <si>
    <t>Drive: Pythagorean Theorem / Lesson 03</t>
  </si>
  <si>
    <t>HDR-013</t>
  </si>
  <si>
    <t>Drive: Pythagorean Theorem / Lesson 04</t>
  </si>
  <si>
    <t>HDR-014</t>
  </si>
  <si>
    <t>Pythagoras Lessons 2–4</t>
  </si>
  <si>
    <t>Latest available PDFs</t>
  </si>
  <si>
    <t>Y9 in stored source filenames</t>
  </si>
  <si>
    <t>Project artifacts / local preview pack</t>
  </si>
  <si>
    <t>Covers are age-neutral</t>
  </si>
  <si>
    <t>HDR-015</t>
  </si>
  <si>
    <t>HDR-016</t>
  </si>
  <si>
    <t>Guidance Set</t>
  </si>
  <si>
    <t>Not available</t>
  </si>
  <si>
    <t>N/A</t>
  </si>
  <si>
    <t>Create both age-neutral guidance documents</t>
  </si>
  <si>
    <t>No current source located</t>
  </si>
  <si>
    <t>A gap, not a failed header</t>
  </si>
  <si>
    <t>Foundations Evidence Register</t>
  </si>
  <si>
    <t>Evidence records what currently exists; it does not claim learner mastery until learner work is attached.</t>
  </si>
  <si>
    <t>Evidence ID</t>
  </si>
  <si>
    <t>Unit / Package</t>
  </si>
  <si>
    <t>Artifact Set</t>
  </si>
  <si>
    <t>Version / Date</t>
  </si>
  <si>
    <t>Claim Supported</t>
  </si>
  <si>
    <t>Location</t>
  </si>
  <si>
    <t>Next Evidence Needed</t>
  </si>
  <si>
    <t>EV-FND-001</t>
  </si>
  <si>
    <t>Interactive lesson + Practice Companion + Scratchpad + two guides</t>
  </si>
  <si>
    <t>v0.6</t>
  </si>
  <si>
    <t>A migrated Reconnection prototype exists</t>
  </si>
  <si>
    <t>Header and solution-rule remediation required</t>
  </si>
  <si>
    <t>Project artifacts</t>
  </si>
  <si>
    <t>Learner pilot evidence and corrected headers</t>
  </si>
  <si>
    <t>EV-FND-002</t>
  </si>
  <si>
    <t>Interactive reference + Practice Companion + Scratchpad + two guides</t>
  </si>
  <si>
    <t>v5</t>
  </si>
  <si>
    <t>A locked reference environment exists</t>
  </si>
  <si>
    <t>Learner pilot evidence and corrected header</t>
  </si>
  <si>
    <t>EV-FND-003</t>
  </si>
  <si>
    <t>Interactive lesson + Practice Companion + Scratchpad</t>
  </si>
  <si>
    <t>current 2026-07-15</t>
  </si>
  <si>
    <t>Current preview-ready lesson exists</t>
  </si>
  <si>
    <t>Guidance gap</t>
  </si>
  <si>
    <t>Google Drive Pythagorean Theorem unit</t>
  </si>
  <si>
    <t>Learner and Supporting Adult Guidance; pilot evidence</t>
  </si>
  <si>
    <t>EV-FND-004</t>
  </si>
  <si>
    <t>Complete current lesson package exists</t>
  </si>
  <si>
    <t>Learner pilot evidence</t>
  </si>
  <si>
    <t>EV-FND-005</t>
  </si>
  <si>
    <t>EV-FND-006</t>
  </si>
  <si>
    <t>Interactive lesson + Practice Companion + Scratchpad + updated age-neutral guides</t>
  </si>
  <si>
    <t>EV-INT-001</t>
  </si>
  <si>
    <t>A reusable Intermediate reference environment exists</t>
  </si>
  <si>
    <t>Corrected header/rule and learner pilot evidence</t>
  </si>
  <si>
    <t>EV-FND-007</t>
  </si>
  <si>
    <t>Accuracy, Powers and Scale Lesson 1</t>
  </si>
  <si>
    <t>Interactive lesson in Pythagoras reference shell + Precision Lens + Boundary Explorer + Practice Companion + Scratchpad + two guides</t>
  </si>
  <si>
    <t>v0.2 / 2026-07-16</t>
  </si>
  <si>
    <t>Reference-shell consistency verified: all six Cornerstones present in the established sequence; age-neutral labels and worked-solution safeguard retained</t>
  </si>
  <si>
    <t>Drive lesson folder + live preview: https://neo-foundations-rounding-sf.jinxy2358.chatgpt.site</t>
  </si>
  <si>
    <t>Learner pilot evidence for reference-shell v0.2; confirm next lesson route to estimation</t>
  </si>
  <si>
    <t>EV-FND-008</t>
  </si>
  <si>
    <t>Accuracy, Powers and Scale Lesson 2</t>
  </si>
  <si>
    <t>Interactive lesson in Pythagoras reference shell + restored Reconnection Routes + Estimation Laboratory + reasonableness investigation + Practice Companion + Scratchpad + two guides</t>
  </si>
  <si>
    <t>v0.1 / 2026-07-16</t>
  </si>
  <si>
    <t>Complete reference-shell lesson ecosystem exists; all six Cornerstones, age-neutral labels, Reconnection Routes and worked-solution safeguard verified</t>
  </si>
  <si>
    <t>Drive lesson folder + live preview: https://neo-foundations-estimation.jinxy2358.chatgpt.site</t>
  </si>
  <si>
    <t>Learner pilot evidence; audit Reconnection Routes visibility across recent lesson packages</t>
  </si>
  <si>
    <t>EV-FND-009</t>
  </si>
  <si>
    <t>Accuracy, Powers and Scale Lesson 3</t>
  </si>
  <si>
    <t>Interactive lesson in Pythagoras reference shell + Reconnection Routes + Index Law Detective + Exponent Pattern Machine + Practice Companion + Scratchpad + two guides</t>
  </si>
  <si>
    <t>Complete reference-shell lesson ecosystem exists; all six Cornerstones, age-neutral labels, Reconnection Routes and independent worked-solution safeguard verified</t>
  </si>
  <si>
    <t>Drive lesson folder + live lesson: https://neo-foundations-index-laws.jinxy2358.chatgpt.site</t>
  </si>
  <si>
    <t>Learner pilot evidence; confirm transition to writing and ordering standard form</t>
  </si>
  <si>
    <t>Controlled Lists and Version Log</t>
  </si>
  <si>
    <t>Use these values when updating the live map so status language remains consistent.</t>
  </si>
  <si>
    <t>Artifact Status</t>
  </si>
  <si>
    <t>Version Log</t>
  </si>
  <si>
    <t>Change</t>
  </si>
  <si>
    <t>v0.1 — 2026-07-16</t>
  </si>
  <si>
    <t>Created live Foundations coverage, Stepping Stones, Reconnection Routes, header audit and evidence register.</t>
  </si>
  <si>
    <t>Partial safeguard</t>
  </si>
  <si>
    <t>Advanced</t>
  </si>
  <si>
    <t>Non-compliant</t>
  </si>
  <si>
    <t>Locked</t>
  </si>
  <si>
    <t>Not yet checked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</si>
</sst>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1.0"/>
      <color rgb="FF000000"/>
      <name val="Carlito"/>
      <scheme val="minor"/>
    </font>
    <font>
      <b/>
      <sz val="16.0"/>
      <color rgb="FFFFFFFF"/>
      <name val="Carlito"/>
    </font>
    <font>
      <i/>
      <sz val="10.0"/>
      <color rgb="FF24342B"/>
      <name val="Carlito"/>
    </font>
    <font>
      <b/>
      <sz val="11.0"/>
      <color rgb="FFFFFFFF"/>
      <name val="Carlito"/>
    </font>
    <font>
      <sz val="11.0"/>
      <color theme="1"/>
      <name val="Carlito"/>
    </font>
    <font>
      <u/>
      <sz val="11.0"/>
      <color rgb="FF0000FF"/>
      <name val="Carlito"/>
    </font>
    <font>
      <color theme="1"/>
      <name val="Carlito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365F43"/>
        <bgColor rgb="FF365F43"/>
      </patternFill>
    </fill>
    <fill>
      <patternFill patternType="solid">
        <fgColor rgb="FFEAF1E6"/>
        <bgColor rgb="FFEAF1E6"/>
      </patternFill>
    </fill>
    <fill>
      <patternFill patternType="solid">
        <fgColor rgb="FF526943"/>
        <bgColor rgb="FF52694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2" numFmtId="0" xfId="0" applyAlignment="1" applyFill="1" applyFont="1">
      <alignment shrinkToFit="0" vertical="center" wrapText="1"/>
    </xf>
    <xf borderId="0" fillId="4" fontId="3" numFmtId="0" xfId="0" applyAlignment="1" applyFill="1" applyFont="1">
      <alignment shrinkToFit="0" vertical="center" wrapText="1"/>
    </xf>
    <xf borderId="0" fillId="0" fontId="4" numFmtId="0" xfId="0" applyAlignment="1" applyFont="1">
      <alignment shrinkToFit="0" wrapText="1"/>
    </xf>
    <xf borderId="0" fillId="0" fontId="4" numFmtId="164" xfId="0" applyAlignment="1" applyFont="1" applyNumberFormat="1">
      <alignment shrinkToFit="0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readingOrder="0" shrinkToFit="0" wrapText="1"/>
    </xf>
    <xf quotePrefix="1"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 shrinkToFit="0" wrapText="1"/>
    </xf>
    <xf quotePrefix="1" borderId="0" fillId="0" fontId="4" numFmtId="164" xfId="0" applyAlignment="1" applyFont="1" applyNumberFormat="1">
      <alignment readingOrder="0" shrinkToFit="0" wrapText="1"/>
    </xf>
    <xf borderId="0" fillId="0" fontId="6" numFmtId="0" xfId="0" applyAlignment="1" applyFont="1">
      <alignment readingOrder="0"/>
    </xf>
    <xf quotePrefix="1"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Font="1"/>
    <xf quotePrefix="1"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>
        <b/>
        <color rgb="FF9B1C1C"/>
      </font>
      <fill>
        <patternFill patternType="solid">
          <fgColor rgb="FFFCE8E6"/>
          <bgColor rgb="FFFCE8E6"/>
        </patternFill>
      </fill>
      <border/>
    </dxf>
    <dxf>
      <font>
        <b/>
        <color rgb="FF246B3B"/>
      </font>
      <fill>
        <patternFill patternType="solid">
          <fgColor rgb="FFE6F4EA"/>
          <bgColor rgb="FFE6F4EA"/>
        </patternFill>
      </fill>
      <border/>
    </dxf>
    <dxf>
      <font>
        <b/>
        <color rgb="FF174EA6"/>
      </font>
      <fill>
        <patternFill patternType="solid">
          <fgColor rgb="FFE8F0FE"/>
          <bgColor rgb="FFE8F0FE"/>
        </patternFill>
      </fill>
      <border/>
    </dxf>
    <dxf>
      <font>
        <color rgb="FF246B3B"/>
      </font>
      <fill>
        <patternFill patternType="solid">
          <fgColor rgb="FFE6F4EA"/>
          <bgColor rgb="FFE6F4EA"/>
        </patternFill>
      </fill>
      <border/>
    </dxf>
    <dxf>
      <font>
        <color rgb="FF7A4F01"/>
      </font>
      <fill>
        <patternFill patternType="solid">
          <fgColor rgb="FFFFF4CE"/>
          <bgColor rgb="FFFFF4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O-tXCBnjYWaaIT4E1zkEU-Zueo7zfwWb" TargetMode="External"/><Relationship Id="rId2" Type="http://schemas.openxmlformats.org/officeDocument/2006/relationships/hyperlink" Target="https://drive.google.com/drive/folders/1eKJMhw0KpHHPpnS-Pi1lPMl7hkaGDFou" TargetMode="External"/><Relationship Id="rId3" Type="http://schemas.openxmlformats.org/officeDocument/2006/relationships/hyperlink" Target="https://drive.google.com/drive/folders/1vvyy445-eOspO2gpzLD-O2C6Yo-4ZZWy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5.0"/>
    <col customWidth="1" min="2" max="2" width="34.0"/>
    <col customWidth="1" min="3" max="3" width="8.63"/>
    <col customWidth="1" min="4" max="4" width="22.0"/>
    <col customWidth="1" min="5" max="5" width="44.0"/>
    <col customWidth="1" min="6" max="6" width="8.63"/>
    <col customWidth="1" min="7" max="7" width="22.0"/>
    <col customWidth="1" min="8" max="8" width="50.0"/>
    <col customWidth="1" min="9" max="26" width="8.63"/>
  </cols>
  <sheetData>
    <row r="1" ht="25.5" customHeight="1">
      <c r="A1" s="1" t="s">
        <v>0</v>
      </c>
    </row>
    <row r="2" ht="33.75" customHeight="1">
      <c r="A2" s="2" t="s">
        <v>1</v>
      </c>
    </row>
    <row r="4">
      <c r="A4" s="3" t="s">
        <v>2</v>
      </c>
      <c r="B4" s="3" t="s">
        <v>3</v>
      </c>
      <c r="C4" s="4"/>
      <c r="D4" s="3" t="s">
        <v>4</v>
      </c>
      <c r="E4" s="3" t="s">
        <v>5</v>
      </c>
      <c r="F4" s="4"/>
      <c r="G4" s="3" t="s">
        <v>6</v>
      </c>
      <c r="H4" s="3" t="s">
        <v>7</v>
      </c>
    </row>
    <row r="5">
      <c r="A5" s="4" t="s">
        <v>8</v>
      </c>
      <c r="B5" s="4">
        <f>COUNTA('Coverage Map'!$A$5:$A$200)</f>
        <v>9</v>
      </c>
      <c r="C5" s="4"/>
      <c r="D5" s="4" t="s">
        <v>9</v>
      </c>
      <c r="E5" s="4" t="s">
        <v>10</v>
      </c>
      <c r="F5" s="4"/>
      <c r="G5" s="4" t="s">
        <v>11</v>
      </c>
      <c r="H5" s="4" t="s">
        <v>12</v>
      </c>
    </row>
    <row r="6">
      <c r="A6" s="4" t="s">
        <v>13</v>
      </c>
      <c r="B6" s="4">
        <f>COUNTIF('Coverage Map'!$K$5:$K$200,"Preview-ready")+COUNTIF('Coverage Map'!$K$5:$K$200,"Preview-ready — guidance gap")</f>
        <v>7</v>
      </c>
      <c r="C6" s="4"/>
      <c r="D6" s="4" t="s">
        <v>14</v>
      </c>
      <c r="E6" s="4" t="s">
        <v>15</v>
      </c>
      <c r="F6" s="4"/>
      <c r="G6" s="4" t="s">
        <v>16</v>
      </c>
      <c r="H6" s="4" t="s">
        <v>17</v>
      </c>
    </row>
    <row r="7">
      <c r="A7" s="4" t="s">
        <v>18</v>
      </c>
      <c r="B7" s="4">
        <f>COUNTIF('Header Audit'!$H$5:$H$200,"Action required")</f>
        <v>4</v>
      </c>
      <c r="C7" s="4"/>
      <c r="D7" s="4" t="s">
        <v>19</v>
      </c>
      <c r="E7" s="4" t="s">
        <v>20</v>
      </c>
      <c r="F7" s="4"/>
      <c r="G7" s="4" t="s">
        <v>21</v>
      </c>
      <c r="H7" s="4" t="s">
        <v>22</v>
      </c>
    </row>
    <row r="8">
      <c r="A8" s="4" t="s">
        <v>23</v>
      </c>
      <c r="B8" s="4">
        <f>COUNTIF('Coverage Map'!$N$5:$N$200,"Missing")</f>
        <v>1</v>
      </c>
      <c r="C8" s="4"/>
      <c r="D8" s="4" t="s">
        <v>24</v>
      </c>
      <c r="E8" s="4" t="s">
        <v>25</v>
      </c>
      <c r="F8" s="4"/>
      <c r="G8" s="4" t="s">
        <v>26</v>
      </c>
      <c r="H8" s="4" t="s">
        <v>27</v>
      </c>
    </row>
    <row r="9">
      <c r="A9" s="4" t="s">
        <v>28</v>
      </c>
      <c r="B9" s="4" t="s">
        <v>29</v>
      </c>
      <c r="C9" s="4"/>
      <c r="D9" s="4" t="s">
        <v>30</v>
      </c>
      <c r="E9" s="4" t="s">
        <v>31</v>
      </c>
      <c r="F9" s="4"/>
      <c r="G9" s="4" t="s">
        <v>32</v>
      </c>
      <c r="H9" s="4" t="s">
        <v>33</v>
      </c>
    </row>
    <row r="10">
      <c r="A10" s="4" t="s">
        <v>34</v>
      </c>
      <c r="B10" s="5">
        <v>46219.0</v>
      </c>
      <c r="C10" s="4"/>
      <c r="D10" s="4" t="s">
        <v>35</v>
      </c>
      <c r="E10" s="4" t="s">
        <v>36</v>
      </c>
      <c r="F10" s="4"/>
      <c r="G10" s="4" t="s">
        <v>37</v>
      </c>
      <c r="H10" s="4" t="s">
        <v>38</v>
      </c>
    </row>
    <row r="11">
      <c r="A11" s="4" t="s">
        <v>39</v>
      </c>
      <c r="B11" s="4" t="s">
        <v>40</v>
      </c>
      <c r="C11" s="4"/>
      <c r="D11" s="4" t="s">
        <v>41</v>
      </c>
      <c r="E11" s="4" t="s">
        <v>42</v>
      </c>
      <c r="F11" s="4"/>
      <c r="G11" s="4" t="s">
        <v>43</v>
      </c>
      <c r="H11" s="4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0"/>
    <col customWidth="1" min="2" max="2" width="14.0"/>
    <col customWidth="1" min="3" max="3" width="18.0"/>
    <col customWidth="1" min="4" max="4" width="22.0"/>
    <col customWidth="1" min="5" max="5" width="11.0"/>
    <col customWidth="1" min="6" max="6" width="32.0"/>
    <col customWidth="1" min="7" max="7" width="24.0"/>
    <col customWidth="1" min="8" max="8" width="48.0"/>
    <col customWidth="1" min="9" max="9" width="36.0"/>
    <col customWidth="1" min="10" max="11" width="28.0"/>
    <col customWidth="1" min="12" max="12" width="15.0"/>
    <col customWidth="1" min="13" max="13" width="13.0"/>
    <col customWidth="1" min="14" max="14" width="18.0"/>
    <col customWidth="1" min="15" max="15" width="24.0"/>
    <col customWidth="1" min="16" max="16" width="35.0"/>
    <col customWidth="1" min="17" max="17" width="18.0"/>
    <col customWidth="1" min="18" max="20" width="48.0"/>
    <col customWidth="1" min="21" max="21" width="16.0"/>
    <col customWidth="1" min="22" max="22" width="14.0"/>
    <col customWidth="1" min="23" max="26" width="8.63"/>
  </cols>
  <sheetData>
    <row r="1" ht="25.5" customHeight="1">
      <c r="A1" s="1" t="s">
        <v>45</v>
      </c>
    </row>
    <row r="2" ht="33.75" customHeight="1">
      <c r="A2" s="2" t="s">
        <v>46</v>
      </c>
    </row>
    <row r="4" ht="36.0" customHeight="1">
      <c r="A4" s="3" t="s">
        <v>47</v>
      </c>
      <c r="B4" s="3" t="s">
        <v>9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16</v>
      </c>
      <c r="I4" s="3" t="s">
        <v>53</v>
      </c>
      <c r="J4" s="3" t="s">
        <v>54</v>
      </c>
      <c r="K4" s="3" t="s">
        <v>55</v>
      </c>
      <c r="L4" s="3" t="s">
        <v>56</v>
      </c>
      <c r="M4" s="3" t="s">
        <v>57</v>
      </c>
      <c r="N4" s="3" t="s">
        <v>58</v>
      </c>
      <c r="O4" s="3" t="s">
        <v>59</v>
      </c>
      <c r="P4" s="3" t="s">
        <v>60</v>
      </c>
      <c r="Q4" s="3" t="s">
        <v>26</v>
      </c>
      <c r="R4" s="3" t="s">
        <v>61</v>
      </c>
      <c r="S4" s="3" t="s">
        <v>62</v>
      </c>
      <c r="T4" s="3" t="s">
        <v>63</v>
      </c>
      <c r="U4" s="3" t="s">
        <v>64</v>
      </c>
      <c r="V4" s="3" t="s">
        <v>65</v>
      </c>
    </row>
    <row r="5">
      <c r="A5" s="4" t="s">
        <v>66</v>
      </c>
      <c r="B5" s="4" t="s">
        <v>10</v>
      </c>
      <c r="C5" s="4" t="s">
        <v>67</v>
      </c>
      <c r="D5" s="4" t="s">
        <v>68</v>
      </c>
      <c r="E5" s="6">
        <v>1.0</v>
      </c>
      <c r="F5" s="4" t="s">
        <v>69</v>
      </c>
      <c r="G5" s="4" t="s">
        <v>70</v>
      </c>
      <c r="H5" s="4" t="s">
        <v>71</v>
      </c>
      <c r="I5" s="4" t="s">
        <v>72</v>
      </c>
      <c r="J5" s="4" t="s">
        <v>73</v>
      </c>
      <c r="K5" s="4" t="s">
        <v>74</v>
      </c>
      <c r="L5" s="4" t="s">
        <v>75</v>
      </c>
      <c r="M5" s="4" t="s">
        <v>75</v>
      </c>
      <c r="N5" s="4" t="s">
        <v>75</v>
      </c>
      <c r="O5" s="4" t="s">
        <v>76</v>
      </c>
      <c r="P5" s="4" t="s">
        <v>77</v>
      </c>
      <c r="Q5" s="4" t="s">
        <v>78</v>
      </c>
      <c r="R5" s="4" t="s">
        <v>79</v>
      </c>
      <c r="S5" s="4" t="s">
        <v>80</v>
      </c>
      <c r="T5" s="4" t="s">
        <v>81</v>
      </c>
      <c r="U5" s="4"/>
      <c r="V5" s="5">
        <v>46219.0</v>
      </c>
    </row>
    <row r="6">
      <c r="A6" s="4" t="s">
        <v>82</v>
      </c>
      <c r="B6" s="4" t="s">
        <v>10</v>
      </c>
      <c r="C6" s="4" t="s">
        <v>83</v>
      </c>
      <c r="D6" s="4" t="s">
        <v>84</v>
      </c>
      <c r="E6" s="6">
        <v>1.0</v>
      </c>
      <c r="F6" s="4" t="s">
        <v>84</v>
      </c>
      <c r="G6" s="4" t="s">
        <v>85</v>
      </c>
      <c r="H6" s="4" t="s">
        <v>86</v>
      </c>
      <c r="I6" s="4" t="s">
        <v>87</v>
      </c>
      <c r="J6" s="4" t="s">
        <v>88</v>
      </c>
      <c r="K6" s="4" t="s">
        <v>89</v>
      </c>
      <c r="L6" s="4" t="s">
        <v>75</v>
      </c>
      <c r="M6" s="4" t="s">
        <v>75</v>
      </c>
      <c r="N6" s="4" t="s">
        <v>75</v>
      </c>
      <c r="O6" s="4" t="s">
        <v>75</v>
      </c>
      <c r="P6" s="4" t="s">
        <v>90</v>
      </c>
      <c r="Q6" s="4" t="s">
        <v>78</v>
      </c>
      <c r="R6" s="4" t="s">
        <v>91</v>
      </c>
      <c r="S6" s="4" t="s">
        <v>92</v>
      </c>
      <c r="T6" s="4" t="s">
        <v>93</v>
      </c>
      <c r="U6" s="4"/>
      <c r="V6" s="5">
        <v>46219.0</v>
      </c>
    </row>
    <row r="7">
      <c r="A7" s="4" t="s">
        <v>94</v>
      </c>
      <c r="B7" s="4" t="s">
        <v>10</v>
      </c>
      <c r="C7" s="4" t="s">
        <v>95</v>
      </c>
      <c r="D7" s="4" t="s">
        <v>96</v>
      </c>
      <c r="E7" s="6">
        <v>1.0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75</v>
      </c>
      <c r="M7" s="4" t="s">
        <v>75</v>
      </c>
      <c r="N7" s="4" t="s">
        <v>103</v>
      </c>
      <c r="O7" s="4" t="s">
        <v>103</v>
      </c>
      <c r="P7" s="4" t="s">
        <v>104</v>
      </c>
      <c r="Q7" s="4" t="s">
        <v>105</v>
      </c>
      <c r="R7" s="4" t="s">
        <v>106</v>
      </c>
      <c r="S7" s="4" t="s">
        <v>107</v>
      </c>
      <c r="T7" s="4" t="s">
        <v>108</v>
      </c>
      <c r="U7" s="4"/>
      <c r="V7" s="5">
        <v>46219.0</v>
      </c>
    </row>
    <row r="8">
      <c r="A8" s="4" t="s">
        <v>109</v>
      </c>
      <c r="B8" s="4" t="s">
        <v>10</v>
      </c>
      <c r="C8" s="4" t="s">
        <v>95</v>
      </c>
      <c r="D8" s="4" t="s">
        <v>96</v>
      </c>
      <c r="E8" s="6">
        <v>2.0</v>
      </c>
      <c r="F8" s="4" t="s">
        <v>110</v>
      </c>
      <c r="G8" s="4" t="s">
        <v>98</v>
      </c>
      <c r="H8" s="4" t="s">
        <v>111</v>
      </c>
      <c r="I8" s="4" t="s">
        <v>112</v>
      </c>
      <c r="J8" s="4" t="s">
        <v>113</v>
      </c>
      <c r="K8" s="4" t="s">
        <v>114</v>
      </c>
      <c r="L8" s="4" t="s">
        <v>75</v>
      </c>
      <c r="M8" s="4" t="s">
        <v>75</v>
      </c>
      <c r="N8" s="4" t="s">
        <v>75</v>
      </c>
      <c r="O8" s="4" t="s">
        <v>75</v>
      </c>
      <c r="P8" s="4" t="s">
        <v>104</v>
      </c>
      <c r="Q8" s="4" t="s">
        <v>105</v>
      </c>
      <c r="R8" s="4" t="s">
        <v>115</v>
      </c>
      <c r="S8" s="4" t="s">
        <v>107</v>
      </c>
      <c r="T8" s="4" t="s">
        <v>116</v>
      </c>
      <c r="U8" s="4"/>
      <c r="V8" s="5">
        <v>46219.0</v>
      </c>
    </row>
    <row r="9">
      <c r="A9" s="4" t="s">
        <v>117</v>
      </c>
      <c r="B9" s="4" t="s">
        <v>10</v>
      </c>
      <c r="C9" s="4" t="s">
        <v>95</v>
      </c>
      <c r="D9" s="4" t="s">
        <v>96</v>
      </c>
      <c r="E9" s="6">
        <v>3.0</v>
      </c>
      <c r="F9" s="4" t="s">
        <v>118</v>
      </c>
      <c r="G9" s="4" t="s">
        <v>119</v>
      </c>
      <c r="H9" s="4" t="s">
        <v>120</v>
      </c>
      <c r="I9" s="4" t="s">
        <v>121</v>
      </c>
      <c r="J9" s="4" t="s">
        <v>122</v>
      </c>
      <c r="K9" s="4" t="s">
        <v>114</v>
      </c>
      <c r="L9" s="4" t="s">
        <v>75</v>
      </c>
      <c r="M9" s="4" t="s">
        <v>75</v>
      </c>
      <c r="N9" s="4" t="s">
        <v>75</v>
      </c>
      <c r="O9" s="4" t="s">
        <v>75</v>
      </c>
      <c r="P9" s="4" t="s">
        <v>104</v>
      </c>
      <c r="Q9" s="4" t="s">
        <v>105</v>
      </c>
      <c r="R9" s="4" t="s">
        <v>115</v>
      </c>
      <c r="S9" s="4" t="s">
        <v>107</v>
      </c>
      <c r="T9" s="4" t="s">
        <v>116</v>
      </c>
      <c r="U9" s="4"/>
      <c r="V9" s="5">
        <v>46219.0</v>
      </c>
    </row>
    <row r="10">
      <c r="A10" s="4" t="s">
        <v>123</v>
      </c>
      <c r="B10" s="4" t="s">
        <v>10</v>
      </c>
      <c r="C10" s="4" t="s">
        <v>95</v>
      </c>
      <c r="D10" s="4" t="s">
        <v>96</v>
      </c>
      <c r="E10" s="6">
        <v>4.0</v>
      </c>
      <c r="F10" s="4" t="s">
        <v>124</v>
      </c>
      <c r="G10" s="4" t="s">
        <v>125</v>
      </c>
      <c r="H10" s="4" t="s">
        <v>126</v>
      </c>
      <c r="I10" s="4" t="s">
        <v>127</v>
      </c>
      <c r="J10" s="4" t="s">
        <v>128</v>
      </c>
      <c r="K10" s="4" t="s">
        <v>114</v>
      </c>
      <c r="L10" s="4" t="s">
        <v>75</v>
      </c>
      <c r="M10" s="4" t="s">
        <v>75</v>
      </c>
      <c r="N10" s="4" t="s">
        <v>75</v>
      </c>
      <c r="O10" s="4" t="s">
        <v>75</v>
      </c>
      <c r="P10" s="4" t="s">
        <v>104</v>
      </c>
      <c r="Q10" s="4" t="s">
        <v>105</v>
      </c>
      <c r="R10" s="4" t="s">
        <v>129</v>
      </c>
      <c r="S10" s="4" t="s">
        <v>107</v>
      </c>
      <c r="T10" s="4" t="s">
        <v>116</v>
      </c>
      <c r="U10" s="4"/>
      <c r="V10" s="5">
        <v>46219.0</v>
      </c>
    </row>
    <row r="11">
      <c r="A11" s="7" t="s">
        <v>130</v>
      </c>
      <c r="B11" s="7" t="s">
        <v>10</v>
      </c>
      <c r="C11" s="7" t="s">
        <v>131</v>
      </c>
      <c r="D11" s="7" t="s">
        <v>132</v>
      </c>
      <c r="E11" s="8" t="s">
        <v>133</v>
      </c>
      <c r="F11" s="7" t="s">
        <v>134</v>
      </c>
      <c r="G11" s="7" t="s">
        <v>135</v>
      </c>
      <c r="H11" s="7" t="s">
        <v>136</v>
      </c>
      <c r="I11" s="7" t="s">
        <v>137</v>
      </c>
      <c r="J11" s="7" t="s">
        <v>73</v>
      </c>
      <c r="K11" s="7" t="s">
        <v>114</v>
      </c>
      <c r="L11" s="7" t="s">
        <v>75</v>
      </c>
      <c r="M11" s="7" t="s">
        <v>75</v>
      </c>
      <c r="N11" s="7" t="s">
        <v>75</v>
      </c>
      <c r="O11" s="7" t="s">
        <v>75</v>
      </c>
      <c r="P11" s="7" t="s">
        <v>138</v>
      </c>
      <c r="Q11" s="7" t="s">
        <v>105</v>
      </c>
      <c r="R11" s="7" t="s">
        <v>139</v>
      </c>
      <c r="S11" s="9" t="s">
        <v>140</v>
      </c>
      <c r="T11" s="7" t="s">
        <v>141</v>
      </c>
      <c r="U11" s="7" t="s">
        <v>142</v>
      </c>
      <c r="V11" s="10" t="s">
        <v>143</v>
      </c>
    </row>
    <row r="12">
      <c r="A12" s="11" t="s">
        <v>144</v>
      </c>
      <c r="B12" s="11" t="s">
        <v>10</v>
      </c>
      <c r="C12" s="11" t="s">
        <v>131</v>
      </c>
      <c r="D12" s="11" t="s">
        <v>132</v>
      </c>
      <c r="E12" s="12" t="s">
        <v>145</v>
      </c>
      <c r="F12" s="11" t="s">
        <v>146</v>
      </c>
      <c r="G12" s="11" t="s">
        <v>147</v>
      </c>
      <c r="H12" s="11" t="s">
        <v>148</v>
      </c>
      <c r="I12" s="11" t="s">
        <v>149</v>
      </c>
      <c r="J12" s="11" t="s">
        <v>150</v>
      </c>
      <c r="K12" s="11" t="s">
        <v>114</v>
      </c>
      <c r="L12" s="11" t="s">
        <v>75</v>
      </c>
      <c r="M12" s="11" t="s">
        <v>75</v>
      </c>
      <c r="N12" s="11" t="s">
        <v>75</v>
      </c>
      <c r="O12" s="11" t="s">
        <v>75</v>
      </c>
      <c r="P12" s="11" t="s">
        <v>138</v>
      </c>
      <c r="Q12" s="11" t="s">
        <v>105</v>
      </c>
      <c r="R12" s="11" t="s">
        <v>151</v>
      </c>
      <c r="S12" s="13" t="s">
        <v>152</v>
      </c>
      <c r="T12" s="11" t="s">
        <v>153</v>
      </c>
    </row>
    <row r="13">
      <c r="A13" s="11" t="s">
        <v>154</v>
      </c>
      <c r="B13" s="11" t="s">
        <v>10</v>
      </c>
      <c r="C13" s="11" t="s">
        <v>131</v>
      </c>
      <c r="D13" s="11" t="s">
        <v>132</v>
      </c>
      <c r="E13" s="14">
        <v>3.0</v>
      </c>
      <c r="F13" s="11" t="s">
        <v>155</v>
      </c>
      <c r="G13" s="11" t="s">
        <v>156</v>
      </c>
      <c r="H13" s="11" t="s">
        <v>157</v>
      </c>
      <c r="I13" s="11" t="s">
        <v>158</v>
      </c>
      <c r="J13" s="11" t="s">
        <v>159</v>
      </c>
      <c r="K13" s="11" t="s">
        <v>114</v>
      </c>
      <c r="L13" s="11" t="s">
        <v>75</v>
      </c>
      <c r="M13" s="11" t="s">
        <v>75</v>
      </c>
      <c r="N13" s="11" t="s">
        <v>75</v>
      </c>
      <c r="O13" s="11" t="s">
        <v>75</v>
      </c>
      <c r="P13" s="11" t="s">
        <v>138</v>
      </c>
      <c r="Q13" s="11" t="s">
        <v>105</v>
      </c>
      <c r="R13" s="11" t="s">
        <v>160</v>
      </c>
      <c r="S13" s="13" t="s">
        <v>161</v>
      </c>
      <c r="T13" s="11" t="s">
        <v>162</v>
      </c>
    </row>
    <row r="14">
      <c r="K14" s="15"/>
      <c r="Q14" s="15"/>
    </row>
    <row r="15">
      <c r="K15" s="15"/>
      <c r="Q15" s="15"/>
    </row>
    <row r="16">
      <c r="K16" s="15"/>
      <c r="Q16" s="15"/>
    </row>
    <row r="17">
      <c r="K17" s="15"/>
      <c r="Q17" s="15"/>
    </row>
    <row r="18">
      <c r="K18" s="15"/>
      <c r="Q18" s="15"/>
    </row>
    <row r="19">
      <c r="K19" s="15"/>
      <c r="Q19" s="15"/>
    </row>
    <row r="20">
      <c r="K20" s="15"/>
      <c r="Q20" s="15"/>
    </row>
    <row r="21" ht="15.75" customHeight="1">
      <c r="K21" s="15"/>
      <c r="Q21" s="15"/>
    </row>
    <row r="22" ht="15.75" customHeight="1">
      <c r="K22" s="15"/>
      <c r="Q22" s="15"/>
    </row>
    <row r="23" ht="15.75" customHeight="1">
      <c r="K23" s="15"/>
      <c r="Q23" s="15"/>
    </row>
    <row r="24" ht="15.75" customHeight="1">
      <c r="K24" s="15"/>
      <c r="Q24" s="15"/>
    </row>
    <row r="25" ht="15.75" customHeight="1">
      <c r="K25" s="15"/>
      <c r="Q25" s="15"/>
    </row>
    <row r="26" ht="15.75" customHeight="1">
      <c r="K26" s="15"/>
      <c r="Q26" s="15"/>
    </row>
    <row r="27" ht="15.75" customHeight="1">
      <c r="K27" s="15"/>
      <c r="Q27" s="15"/>
    </row>
    <row r="28" ht="15.75" customHeight="1">
      <c r="K28" s="15"/>
      <c r="Q28" s="15"/>
    </row>
    <row r="29" ht="15.75" customHeight="1">
      <c r="K29" s="15"/>
      <c r="Q29" s="15"/>
    </row>
    <row r="30" ht="15.75" customHeight="1">
      <c r="K30" s="15"/>
      <c r="Q30" s="15"/>
    </row>
    <row r="31" ht="15.75" customHeight="1">
      <c r="K31" s="15"/>
      <c r="Q31" s="15"/>
    </row>
    <row r="32" ht="15.75" customHeight="1">
      <c r="K32" s="15"/>
      <c r="Q32" s="15"/>
    </row>
    <row r="33" ht="15.75" customHeight="1">
      <c r="K33" s="15"/>
      <c r="Q33" s="15"/>
    </row>
    <row r="34" ht="15.75" customHeight="1">
      <c r="K34" s="15"/>
      <c r="Q34" s="15"/>
    </row>
    <row r="35" ht="15.75" customHeight="1">
      <c r="K35" s="15"/>
      <c r="Q35" s="15"/>
    </row>
    <row r="36" ht="15.75" customHeight="1">
      <c r="K36" s="15"/>
      <c r="Q36" s="15"/>
    </row>
    <row r="37" ht="15.75" customHeight="1">
      <c r="K37" s="15"/>
      <c r="Q37" s="15"/>
    </row>
    <row r="38" ht="15.75" customHeight="1">
      <c r="K38" s="15"/>
      <c r="Q38" s="15"/>
    </row>
    <row r="39" ht="15.75" customHeight="1">
      <c r="K39" s="15"/>
      <c r="Q39" s="15"/>
    </row>
    <row r="40" ht="15.75" customHeight="1">
      <c r="K40" s="15"/>
      <c r="Q40" s="15"/>
    </row>
    <row r="41" ht="15.75" customHeight="1">
      <c r="K41" s="15"/>
      <c r="Q41" s="15"/>
    </row>
    <row r="42" ht="15.75" customHeight="1">
      <c r="K42" s="15"/>
      <c r="Q42" s="15"/>
    </row>
    <row r="43" ht="15.75" customHeight="1">
      <c r="K43" s="15"/>
      <c r="Q43" s="15"/>
    </row>
    <row r="44" ht="15.75" customHeight="1">
      <c r="K44" s="15"/>
      <c r="Q44" s="15"/>
    </row>
    <row r="45" ht="15.75" customHeight="1">
      <c r="K45" s="15"/>
      <c r="Q45" s="15"/>
    </row>
    <row r="46" ht="15.75" customHeight="1">
      <c r="K46" s="15"/>
      <c r="Q46" s="15"/>
    </row>
    <row r="47" ht="15.75" customHeight="1">
      <c r="K47" s="15"/>
      <c r="Q47" s="15"/>
    </row>
    <row r="48" ht="15.75" customHeight="1">
      <c r="K48" s="15"/>
      <c r="Q48" s="15"/>
    </row>
    <row r="49" ht="15.75" customHeight="1">
      <c r="K49" s="15"/>
      <c r="Q49" s="15"/>
    </row>
    <row r="50" ht="15.75" customHeight="1">
      <c r="K50" s="15"/>
      <c r="Q50" s="15"/>
    </row>
    <row r="51" ht="15.75" customHeight="1">
      <c r="K51" s="15"/>
      <c r="Q51" s="15"/>
    </row>
    <row r="52" ht="15.75" customHeight="1">
      <c r="K52" s="15"/>
      <c r="Q52" s="15"/>
    </row>
    <row r="53" ht="15.75" customHeight="1">
      <c r="K53" s="15"/>
      <c r="Q53" s="15"/>
    </row>
    <row r="54" ht="15.75" customHeight="1">
      <c r="K54" s="15"/>
      <c r="Q54" s="15"/>
    </row>
    <row r="55" ht="15.75" customHeight="1">
      <c r="K55" s="15"/>
      <c r="Q55" s="15"/>
    </row>
    <row r="56" ht="15.75" customHeight="1">
      <c r="K56" s="15"/>
      <c r="Q56" s="15"/>
    </row>
    <row r="57" ht="15.75" customHeight="1">
      <c r="K57" s="15"/>
      <c r="Q57" s="15"/>
    </row>
    <row r="58" ht="15.75" customHeight="1">
      <c r="K58" s="15"/>
      <c r="Q58" s="15"/>
    </row>
    <row r="59" ht="15.75" customHeight="1">
      <c r="K59" s="15"/>
      <c r="Q59" s="15"/>
    </row>
    <row r="60" ht="15.75" customHeight="1">
      <c r="K60" s="15"/>
      <c r="Q60" s="15"/>
    </row>
    <row r="61" ht="15.75" customHeight="1">
      <c r="K61" s="15"/>
      <c r="Q61" s="15"/>
    </row>
    <row r="62" ht="15.75" customHeight="1">
      <c r="K62" s="15"/>
      <c r="Q62" s="15"/>
    </row>
    <row r="63" ht="15.75" customHeight="1">
      <c r="K63" s="15"/>
      <c r="Q63" s="15"/>
    </row>
    <row r="64" ht="15.75" customHeight="1">
      <c r="K64" s="15"/>
      <c r="Q64" s="15"/>
    </row>
    <row r="65" ht="15.75" customHeight="1">
      <c r="K65" s="15"/>
      <c r="Q65" s="15"/>
    </row>
    <row r="66" ht="15.75" customHeight="1">
      <c r="K66" s="15"/>
      <c r="Q66" s="15"/>
    </row>
    <row r="67" ht="15.75" customHeight="1">
      <c r="K67" s="15"/>
      <c r="Q67" s="15"/>
    </row>
    <row r="68" ht="15.75" customHeight="1">
      <c r="K68" s="15"/>
      <c r="Q68" s="15"/>
    </row>
    <row r="69" ht="15.75" customHeight="1">
      <c r="K69" s="15"/>
      <c r="Q69" s="15"/>
    </row>
    <row r="70" ht="15.75" customHeight="1">
      <c r="K70" s="15"/>
      <c r="Q70" s="15"/>
    </row>
    <row r="71" ht="15.75" customHeight="1">
      <c r="K71" s="15"/>
      <c r="Q71" s="15"/>
    </row>
    <row r="72" ht="15.75" customHeight="1">
      <c r="K72" s="15"/>
      <c r="Q72" s="15"/>
    </row>
    <row r="73" ht="15.75" customHeight="1">
      <c r="K73" s="15"/>
      <c r="Q73" s="15"/>
    </row>
    <row r="74" ht="15.75" customHeight="1">
      <c r="K74" s="15"/>
      <c r="Q74" s="15"/>
    </row>
    <row r="75" ht="15.75" customHeight="1">
      <c r="K75" s="15"/>
      <c r="Q75" s="15"/>
    </row>
    <row r="76" ht="15.75" customHeight="1">
      <c r="K76" s="15"/>
      <c r="Q76" s="15"/>
    </row>
    <row r="77" ht="15.75" customHeight="1">
      <c r="K77" s="15"/>
      <c r="Q77" s="15"/>
    </row>
    <row r="78" ht="15.75" customHeight="1">
      <c r="K78" s="15"/>
      <c r="Q78" s="15"/>
    </row>
    <row r="79" ht="15.75" customHeight="1">
      <c r="K79" s="15"/>
      <c r="Q79" s="15"/>
    </row>
    <row r="80" ht="15.75" customHeight="1">
      <c r="K80" s="15"/>
      <c r="Q80" s="15"/>
    </row>
    <row r="81" ht="15.75" customHeight="1">
      <c r="K81" s="15"/>
      <c r="Q81" s="15"/>
    </row>
    <row r="82" ht="15.75" customHeight="1">
      <c r="K82" s="15"/>
      <c r="Q82" s="15"/>
    </row>
    <row r="83" ht="15.75" customHeight="1">
      <c r="K83" s="15"/>
      <c r="Q83" s="15"/>
    </row>
    <row r="84" ht="15.75" customHeight="1">
      <c r="K84" s="15"/>
      <c r="Q84" s="15"/>
    </row>
    <row r="85" ht="15.75" customHeight="1">
      <c r="K85" s="15"/>
      <c r="Q85" s="15"/>
    </row>
    <row r="86" ht="15.75" customHeight="1">
      <c r="K86" s="15"/>
      <c r="Q86" s="15"/>
    </row>
    <row r="87" ht="15.75" customHeight="1">
      <c r="K87" s="15"/>
      <c r="Q87" s="15"/>
    </row>
    <row r="88" ht="15.75" customHeight="1">
      <c r="K88" s="15"/>
      <c r="Q88" s="15"/>
    </row>
    <row r="89" ht="15.75" customHeight="1">
      <c r="K89" s="15"/>
      <c r="Q89" s="15"/>
    </row>
    <row r="90" ht="15.75" customHeight="1">
      <c r="K90" s="15"/>
      <c r="Q90" s="15"/>
    </row>
    <row r="91" ht="15.75" customHeight="1">
      <c r="K91" s="15"/>
      <c r="Q91" s="15"/>
    </row>
    <row r="92" ht="15.75" customHeight="1">
      <c r="K92" s="15"/>
      <c r="Q92" s="15"/>
    </row>
    <row r="93" ht="15.75" customHeight="1">
      <c r="K93" s="15"/>
      <c r="Q93" s="15"/>
    </row>
    <row r="94" ht="15.75" customHeight="1">
      <c r="K94" s="15"/>
      <c r="Q94" s="15"/>
    </row>
    <row r="95" ht="15.75" customHeight="1">
      <c r="K95" s="15"/>
      <c r="Q95" s="15"/>
    </row>
    <row r="96" ht="15.75" customHeight="1">
      <c r="K96" s="15"/>
      <c r="Q96" s="15"/>
    </row>
    <row r="97" ht="15.75" customHeight="1">
      <c r="K97" s="15"/>
      <c r="Q97" s="15"/>
    </row>
    <row r="98" ht="15.75" customHeight="1">
      <c r="K98" s="15"/>
      <c r="Q98" s="15"/>
    </row>
    <row r="99" ht="15.75" customHeight="1">
      <c r="K99" s="15"/>
      <c r="Q99" s="15"/>
    </row>
    <row r="100" ht="15.75" customHeight="1">
      <c r="K100" s="15"/>
      <c r="Q100" s="15"/>
    </row>
    <row r="101" ht="15.75" customHeight="1">
      <c r="K101" s="15"/>
      <c r="Q101" s="15"/>
    </row>
    <row r="102" ht="15.75" customHeight="1">
      <c r="K102" s="15"/>
      <c r="Q102" s="15"/>
    </row>
    <row r="103" ht="15.75" customHeight="1">
      <c r="K103" s="15"/>
      <c r="Q103" s="15"/>
    </row>
    <row r="104" ht="15.75" customHeight="1">
      <c r="K104" s="15"/>
      <c r="Q104" s="15"/>
    </row>
    <row r="105" ht="15.75" customHeight="1">
      <c r="K105" s="15"/>
      <c r="Q105" s="15"/>
    </row>
    <row r="106" ht="15.75" customHeight="1">
      <c r="K106" s="15"/>
      <c r="Q106" s="15"/>
    </row>
    <row r="107" ht="15.75" customHeight="1">
      <c r="K107" s="15"/>
      <c r="Q107" s="15"/>
    </row>
    <row r="108" ht="15.75" customHeight="1">
      <c r="K108" s="15"/>
      <c r="Q108" s="15"/>
    </row>
    <row r="109" ht="15.75" customHeight="1">
      <c r="K109" s="15"/>
      <c r="Q109" s="15"/>
    </row>
    <row r="110" ht="15.75" customHeight="1">
      <c r="K110" s="15"/>
      <c r="Q110" s="15"/>
    </row>
    <row r="111" ht="15.75" customHeight="1">
      <c r="K111" s="15"/>
      <c r="Q111" s="15"/>
    </row>
    <row r="112" ht="15.75" customHeight="1">
      <c r="K112" s="15"/>
      <c r="Q112" s="15"/>
    </row>
    <row r="113" ht="15.75" customHeight="1">
      <c r="K113" s="15"/>
      <c r="Q113" s="15"/>
    </row>
    <row r="114" ht="15.75" customHeight="1">
      <c r="K114" s="15"/>
      <c r="Q114" s="15"/>
    </row>
    <row r="115" ht="15.75" customHeight="1">
      <c r="K115" s="15"/>
      <c r="Q115" s="15"/>
    </row>
    <row r="116" ht="15.75" customHeight="1">
      <c r="K116" s="15"/>
      <c r="Q116" s="15"/>
    </row>
    <row r="117" ht="15.75" customHeight="1">
      <c r="K117" s="15"/>
      <c r="Q117" s="15"/>
    </row>
    <row r="118" ht="15.75" customHeight="1">
      <c r="K118" s="15"/>
      <c r="Q118" s="15"/>
    </row>
    <row r="119" ht="15.75" customHeight="1">
      <c r="K119" s="15"/>
      <c r="Q119" s="15"/>
    </row>
    <row r="120" ht="15.75" customHeight="1">
      <c r="K120" s="15"/>
      <c r="Q120" s="15"/>
    </row>
    <row r="121" ht="15.75" customHeight="1">
      <c r="K121" s="15"/>
      <c r="Q121" s="15"/>
    </row>
    <row r="122" ht="15.75" customHeight="1">
      <c r="K122" s="15"/>
      <c r="Q122" s="15"/>
    </row>
    <row r="123" ht="15.75" customHeight="1">
      <c r="K123" s="15"/>
      <c r="Q123" s="15"/>
    </row>
    <row r="124" ht="15.75" customHeight="1">
      <c r="K124" s="15"/>
      <c r="Q124" s="15"/>
    </row>
    <row r="125" ht="15.75" customHeight="1">
      <c r="K125" s="15"/>
      <c r="Q125" s="15"/>
    </row>
    <row r="126" ht="15.75" customHeight="1">
      <c r="K126" s="15"/>
      <c r="Q126" s="15"/>
    </row>
    <row r="127" ht="15.75" customHeight="1">
      <c r="K127" s="15"/>
      <c r="Q127" s="15"/>
    </row>
    <row r="128" ht="15.75" customHeight="1">
      <c r="K128" s="15"/>
      <c r="Q128" s="15"/>
    </row>
    <row r="129" ht="15.75" customHeight="1">
      <c r="K129" s="15"/>
      <c r="Q129" s="15"/>
    </row>
    <row r="130" ht="15.75" customHeight="1">
      <c r="K130" s="15"/>
      <c r="Q130" s="15"/>
    </row>
    <row r="131" ht="15.75" customHeight="1">
      <c r="K131" s="15"/>
      <c r="Q131" s="15"/>
    </row>
    <row r="132" ht="15.75" customHeight="1">
      <c r="K132" s="15"/>
      <c r="Q132" s="15"/>
    </row>
    <row r="133" ht="15.75" customHeight="1">
      <c r="K133" s="15"/>
      <c r="Q133" s="15"/>
    </row>
    <row r="134" ht="15.75" customHeight="1">
      <c r="K134" s="15"/>
      <c r="Q134" s="15"/>
    </row>
    <row r="135" ht="15.75" customHeight="1">
      <c r="K135" s="15"/>
      <c r="Q135" s="15"/>
    </row>
    <row r="136" ht="15.75" customHeight="1">
      <c r="K136" s="15"/>
      <c r="Q136" s="15"/>
    </row>
    <row r="137" ht="15.75" customHeight="1">
      <c r="K137" s="15"/>
      <c r="Q137" s="15"/>
    </row>
    <row r="138" ht="15.75" customHeight="1">
      <c r="K138" s="15"/>
      <c r="Q138" s="15"/>
    </row>
    <row r="139" ht="15.75" customHeight="1">
      <c r="K139" s="15"/>
      <c r="Q139" s="15"/>
    </row>
    <row r="140" ht="15.75" customHeight="1">
      <c r="K140" s="15"/>
      <c r="Q140" s="15"/>
    </row>
    <row r="141" ht="15.75" customHeight="1">
      <c r="K141" s="15"/>
      <c r="Q141" s="15"/>
    </row>
    <row r="142" ht="15.75" customHeight="1">
      <c r="K142" s="15"/>
      <c r="Q142" s="15"/>
    </row>
    <row r="143" ht="15.75" customHeight="1">
      <c r="K143" s="15"/>
      <c r="Q143" s="15"/>
    </row>
    <row r="144" ht="15.75" customHeight="1">
      <c r="K144" s="15"/>
      <c r="Q144" s="15"/>
    </row>
    <row r="145" ht="15.75" customHeight="1">
      <c r="K145" s="15"/>
      <c r="Q145" s="15"/>
    </row>
    <row r="146" ht="15.75" customHeight="1">
      <c r="K146" s="15"/>
      <c r="Q146" s="15"/>
    </row>
    <row r="147" ht="15.75" customHeight="1">
      <c r="K147" s="15"/>
      <c r="Q147" s="15"/>
    </row>
    <row r="148" ht="15.75" customHeight="1">
      <c r="K148" s="15"/>
      <c r="Q148" s="15"/>
    </row>
    <row r="149" ht="15.75" customHeight="1">
      <c r="K149" s="15"/>
      <c r="Q149" s="15"/>
    </row>
    <row r="150" ht="15.75" customHeight="1">
      <c r="K150" s="15"/>
      <c r="Q150" s="15"/>
    </row>
    <row r="151" ht="15.75" customHeight="1">
      <c r="K151" s="15"/>
      <c r="Q151" s="15"/>
    </row>
    <row r="152" ht="15.75" customHeight="1">
      <c r="K152" s="15"/>
      <c r="Q152" s="15"/>
    </row>
    <row r="153" ht="15.75" customHeight="1">
      <c r="K153" s="15"/>
      <c r="Q153" s="15"/>
    </row>
    <row r="154" ht="15.75" customHeight="1">
      <c r="K154" s="15"/>
      <c r="Q154" s="15"/>
    </row>
    <row r="155" ht="15.75" customHeight="1">
      <c r="K155" s="15"/>
      <c r="Q155" s="15"/>
    </row>
    <row r="156" ht="15.75" customHeight="1">
      <c r="K156" s="15"/>
      <c r="Q156" s="15"/>
    </row>
    <row r="157" ht="15.75" customHeight="1">
      <c r="K157" s="15"/>
      <c r="Q157" s="15"/>
    </row>
    <row r="158" ht="15.75" customHeight="1">
      <c r="K158" s="15"/>
      <c r="Q158" s="15"/>
    </row>
    <row r="159" ht="15.75" customHeight="1">
      <c r="K159" s="15"/>
      <c r="Q159" s="15"/>
    </row>
    <row r="160" ht="15.75" customHeight="1">
      <c r="K160" s="15"/>
      <c r="Q160" s="15"/>
    </row>
    <row r="161" ht="15.75" customHeight="1">
      <c r="K161" s="15"/>
      <c r="Q161" s="15"/>
    </row>
    <row r="162" ht="15.75" customHeight="1">
      <c r="K162" s="15"/>
      <c r="Q162" s="15"/>
    </row>
    <row r="163" ht="15.75" customHeight="1">
      <c r="K163" s="15"/>
      <c r="Q163" s="15"/>
    </row>
    <row r="164" ht="15.75" customHeight="1">
      <c r="K164" s="15"/>
      <c r="Q164" s="15"/>
    </row>
    <row r="165" ht="15.75" customHeight="1">
      <c r="K165" s="15"/>
      <c r="Q165" s="15"/>
    </row>
    <row r="166" ht="15.75" customHeight="1">
      <c r="K166" s="15"/>
      <c r="Q166" s="15"/>
    </row>
    <row r="167" ht="15.75" customHeight="1">
      <c r="K167" s="15"/>
      <c r="Q167" s="15"/>
    </row>
    <row r="168" ht="15.75" customHeight="1">
      <c r="K168" s="15"/>
      <c r="Q168" s="15"/>
    </row>
    <row r="169" ht="15.75" customHeight="1">
      <c r="K169" s="15"/>
      <c r="Q169" s="15"/>
    </row>
    <row r="170" ht="15.75" customHeight="1">
      <c r="K170" s="15"/>
      <c r="Q170" s="15"/>
    </row>
    <row r="171" ht="15.75" customHeight="1">
      <c r="K171" s="15"/>
      <c r="Q171" s="15"/>
    </row>
    <row r="172" ht="15.75" customHeight="1">
      <c r="K172" s="15"/>
      <c r="Q172" s="15"/>
    </row>
    <row r="173" ht="15.75" customHeight="1">
      <c r="K173" s="15"/>
      <c r="Q173" s="15"/>
    </row>
    <row r="174" ht="15.75" customHeight="1">
      <c r="K174" s="15"/>
      <c r="Q174" s="15"/>
    </row>
    <row r="175" ht="15.75" customHeight="1">
      <c r="K175" s="15"/>
      <c r="Q175" s="15"/>
    </row>
    <row r="176" ht="15.75" customHeight="1">
      <c r="K176" s="15"/>
      <c r="Q176" s="15"/>
    </row>
    <row r="177" ht="15.75" customHeight="1">
      <c r="K177" s="15"/>
      <c r="Q177" s="15"/>
    </row>
    <row r="178" ht="15.75" customHeight="1">
      <c r="K178" s="15"/>
      <c r="Q178" s="15"/>
    </row>
    <row r="179" ht="15.75" customHeight="1">
      <c r="K179" s="15"/>
      <c r="Q179" s="15"/>
    </row>
    <row r="180" ht="15.75" customHeight="1">
      <c r="K180" s="15"/>
      <c r="Q180" s="15"/>
    </row>
    <row r="181" ht="15.75" customHeight="1">
      <c r="K181" s="15"/>
      <c r="Q181" s="15"/>
    </row>
    <row r="182" ht="15.75" customHeight="1">
      <c r="K182" s="15"/>
      <c r="Q182" s="15"/>
    </row>
    <row r="183" ht="15.75" customHeight="1">
      <c r="K183" s="15"/>
      <c r="Q183" s="15"/>
    </row>
    <row r="184" ht="15.75" customHeight="1">
      <c r="K184" s="15"/>
      <c r="Q184" s="15"/>
    </row>
    <row r="185" ht="15.75" customHeight="1">
      <c r="K185" s="15"/>
      <c r="Q185" s="15"/>
    </row>
    <row r="186" ht="15.75" customHeight="1">
      <c r="K186" s="15"/>
      <c r="Q186" s="15"/>
    </row>
    <row r="187" ht="15.75" customHeight="1">
      <c r="K187" s="15"/>
      <c r="Q187" s="15"/>
    </row>
    <row r="188" ht="15.75" customHeight="1">
      <c r="K188" s="15"/>
      <c r="Q188" s="15"/>
    </row>
    <row r="189" ht="15.75" customHeight="1">
      <c r="K189" s="15"/>
      <c r="Q189" s="15"/>
    </row>
    <row r="190" ht="15.75" customHeight="1">
      <c r="K190" s="15"/>
      <c r="Q190" s="15"/>
    </row>
    <row r="191" ht="15.75" customHeight="1">
      <c r="K191" s="15"/>
      <c r="Q191" s="15"/>
    </row>
    <row r="192" ht="15.75" customHeight="1">
      <c r="K192" s="15"/>
      <c r="Q192" s="15"/>
    </row>
    <row r="193" ht="15.75" customHeight="1">
      <c r="K193" s="15"/>
      <c r="Q193" s="15"/>
    </row>
    <row r="194" ht="15.75" customHeight="1">
      <c r="K194" s="15"/>
      <c r="Q194" s="15"/>
    </row>
    <row r="195" ht="15.75" customHeight="1">
      <c r="K195" s="15"/>
      <c r="Q195" s="15"/>
    </row>
    <row r="196" ht="15.75" customHeight="1">
      <c r="K196" s="15"/>
      <c r="Q196" s="15"/>
    </row>
    <row r="197" ht="15.75" customHeight="1">
      <c r="K197" s="15"/>
      <c r="Q197" s="15"/>
    </row>
    <row r="198" ht="15.75" customHeight="1">
      <c r="K198" s="15"/>
      <c r="Q198" s="15"/>
    </row>
    <row r="199" ht="15.75" customHeight="1">
      <c r="K199" s="15"/>
      <c r="Q199" s="15"/>
    </row>
    <row r="200" ht="15.75" customHeight="1">
      <c r="K200" s="15"/>
      <c r="Q200" s="1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V1"/>
    <mergeCell ref="A2:V2"/>
  </mergeCells>
  <conditionalFormatting sqref="K5:Q1000">
    <cfRule type="containsText" dxfId="0" priority="1" operator="containsText" text="Action required">
      <formula>NOT(ISERROR(SEARCH(("Action required"),(K5))))</formula>
    </cfRule>
  </conditionalFormatting>
  <conditionalFormatting sqref="K5:Q1000">
    <cfRule type="containsText" dxfId="1" priority="2" operator="containsText" text="Preview-ready">
      <formula>NOT(ISERROR(SEARCH(("Preview-ready"),(K5))))</formula>
    </cfRule>
  </conditionalFormatting>
  <conditionalFormatting sqref="K5:Q1000">
    <cfRule type="containsText" dxfId="2" priority="3" operator="containsText" text="Locked reference">
      <formula>NOT(ISERROR(SEARCH(("Locked reference"),(K5))))</formula>
    </cfRule>
  </conditionalFormatting>
  <conditionalFormatting sqref="K5:Q1000">
    <cfRule type="containsText" dxfId="3" priority="4" operator="containsText" text="Pass">
      <formula>NOT(ISERROR(SEARCH(("Pass"),(K5))))</formula>
    </cfRule>
  </conditionalFormatting>
  <conditionalFormatting sqref="K5:Q1000">
    <cfRule type="containsText" dxfId="4" priority="5" operator="containsText" text="Missing">
      <formula>NOT(ISERROR(SEARCH(("Missing"),(K5))))</formula>
    </cfRule>
  </conditionalFormatting>
  <dataValidations>
    <dataValidation type="list" allowBlank="1" sqref="Q5:Q200">
      <formula1>"Pass,Action required,Not available"</formula1>
    </dataValidation>
    <dataValidation type="list" allowBlank="1" sqref="K5:K200">
      <formula1>"Mapped / not yet built,Prototype — header update required,Locked reference — header update required,Preview-ready — guidance gap,Preview-ready,Locked"</formula1>
    </dataValidation>
  </dataValidations>
  <hyperlinks>
    <hyperlink r:id="rId1" ref="S11"/>
    <hyperlink r:id="rId2" ref="S12"/>
    <hyperlink r:id="rId3" ref="S13"/>
  </hyperlinks>
  <printOptions/>
  <pageMargins bottom="0.75" footer="0.0" header="0.0" left="0.7" right="0.7" top="0.75"/>
  <pageSetup orientation="landscape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0"/>
    <col customWidth="1" min="2" max="2" width="20.0"/>
    <col customWidth="1" min="3" max="3" width="18.0"/>
    <col customWidth="1" min="4" max="4" width="48.0"/>
    <col customWidth="1" min="5" max="5" width="30.0"/>
    <col customWidth="1" min="6" max="6" width="28.0"/>
    <col customWidth="1" min="7" max="7" width="42.0"/>
    <col customWidth="1" min="8" max="8" width="22.0"/>
    <col customWidth="1" min="9" max="9" width="28.0"/>
    <col customWidth="1" min="10" max="10" width="32.0"/>
    <col customWidth="1" min="11" max="11" width="14.0"/>
    <col customWidth="1" min="12" max="26" width="8.63"/>
  </cols>
  <sheetData>
    <row r="1" ht="25.5" customHeight="1">
      <c r="A1" s="1" t="s">
        <v>163</v>
      </c>
    </row>
    <row r="2" ht="33.75" customHeight="1">
      <c r="A2" s="2" t="s">
        <v>164</v>
      </c>
    </row>
    <row r="4" ht="36.0" customHeight="1">
      <c r="A4" s="3" t="s">
        <v>165</v>
      </c>
      <c r="B4" s="3" t="s">
        <v>49</v>
      </c>
      <c r="C4" s="3" t="s">
        <v>166</v>
      </c>
      <c r="D4" s="3" t="s">
        <v>167</v>
      </c>
      <c r="E4" s="3" t="s">
        <v>168</v>
      </c>
      <c r="F4" s="3" t="s">
        <v>54</v>
      </c>
      <c r="G4" s="3" t="s">
        <v>169</v>
      </c>
      <c r="H4" s="3" t="s">
        <v>170</v>
      </c>
      <c r="I4" s="3" t="s">
        <v>62</v>
      </c>
      <c r="J4" s="3" t="s">
        <v>171</v>
      </c>
      <c r="K4" s="3" t="s">
        <v>65</v>
      </c>
    </row>
    <row r="5">
      <c r="A5" s="4" t="s">
        <v>172</v>
      </c>
      <c r="B5" s="4" t="s">
        <v>68</v>
      </c>
      <c r="C5" s="4" t="s">
        <v>66</v>
      </c>
      <c r="D5" s="4" t="s">
        <v>173</v>
      </c>
      <c r="E5" s="4" t="s">
        <v>174</v>
      </c>
      <c r="F5" s="4" t="s">
        <v>73</v>
      </c>
      <c r="G5" s="4" t="s">
        <v>175</v>
      </c>
      <c r="H5" s="4" t="s">
        <v>176</v>
      </c>
      <c r="I5" s="4" t="s">
        <v>177</v>
      </c>
      <c r="J5" s="4" t="s">
        <v>178</v>
      </c>
      <c r="K5" s="5">
        <v>46219.0</v>
      </c>
    </row>
    <row r="6">
      <c r="A6" s="4" t="s">
        <v>179</v>
      </c>
      <c r="B6" s="4" t="s">
        <v>68</v>
      </c>
      <c r="C6" s="4" t="s">
        <v>66</v>
      </c>
      <c r="D6" s="4" t="s">
        <v>180</v>
      </c>
      <c r="E6" s="4" t="s">
        <v>181</v>
      </c>
      <c r="F6" s="4" t="s">
        <v>73</v>
      </c>
      <c r="G6" s="4" t="s">
        <v>182</v>
      </c>
      <c r="H6" s="4" t="s">
        <v>176</v>
      </c>
      <c r="I6" s="4" t="s">
        <v>177</v>
      </c>
      <c r="J6" s="4" t="s">
        <v>183</v>
      </c>
      <c r="K6" s="5">
        <v>46219.0</v>
      </c>
    </row>
    <row r="7">
      <c r="A7" s="4" t="s">
        <v>184</v>
      </c>
      <c r="B7" s="4" t="s">
        <v>68</v>
      </c>
      <c r="C7" s="4" t="s">
        <v>66</v>
      </c>
      <c r="D7" s="4" t="s">
        <v>185</v>
      </c>
      <c r="E7" s="4" t="s">
        <v>181</v>
      </c>
      <c r="F7" s="4" t="s">
        <v>73</v>
      </c>
      <c r="G7" s="4" t="s">
        <v>186</v>
      </c>
      <c r="H7" s="4" t="s">
        <v>176</v>
      </c>
      <c r="I7" s="4" t="s">
        <v>177</v>
      </c>
      <c r="J7" s="4" t="s">
        <v>187</v>
      </c>
      <c r="K7" s="5">
        <v>46219.0</v>
      </c>
    </row>
    <row r="8">
      <c r="A8" s="4" t="s">
        <v>188</v>
      </c>
      <c r="B8" s="4" t="s">
        <v>84</v>
      </c>
      <c r="C8" s="4" t="s">
        <v>82</v>
      </c>
      <c r="D8" s="4" t="s">
        <v>189</v>
      </c>
      <c r="E8" s="4" t="s">
        <v>190</v>
      </c>
      <c r="F8" s="4" t="s">
        <v>88</v>
      </c>
      <c r="G8" s="4" t="s">
        <v>191</v>
      </c>
      <c r="H8" s="4" t="s">
        <v>192</v>
      </c>
      <c r="I8" s="4" t="s">
        <v>193</v>
      </c>
      <c r="J8" s="4" t="s">
        <v>194</v>
      </c>
      <c r="K8" s="5">
        <v>46219.0</v>
      </c>
    </row>
    <row r="9">
      <c r="A9" s="4" t="s">
        <v>195</v>
      </c>
      <c r="B9" s="4" t="s">
        <v>84</v>
      </c>
      <c r="C9" s="4" t="s">
        <v>82</v>
      </c>
      <c r="D9" s="4" t="s">
        <v>196</v>
      </c>
      <c r="E9" s="4" t="s">
        <v>197</v>
      </c>
      <c r="F9" s="4" t="s">
        <v>88</v>
      </c>
      <c r="G9" s="4" t="s">
        <v>198</v>
      </c>
      <c r="H9" s="4" t="s">
        <v>192</v>
      </c>
      <c r="I9" s="4" t="s">
        <v>193</v>
      </c>
      <c r="J9" s="4" t="s">
        <v>199</v>
      </c>
      <c r="K9" s="5">
        <v>46219.0</v>
      </c>
    </row>
    <row r="10">
      <c r="A10" s="4" t="s">
        <v>200</v>
      </c>
      <c r="B10" s="4" t="s">
        <v>84</v>
      </c>
      <c r="C10" s="4" t="s">
        <v>82</v>
      </c>
      <c r="D10" s="4" t="s">
        <v>201</v>
      </c>
      <c r="E10" s="4" t="s">
        <v>202</v>
      </c>
      <c r="F10" s="4" t="s">
        <v>88</v>
      </c>
      <c r="G10" s="4" t="s">
        <v>203</v>
      </c>
      <c r="H10" s="4" t="s">
        <v>192</v>
      </c>
      <c r="I10" s="4" t="s">
        <v>193</v>
      </c>
      <c r="J10" s="4" t="s">
        <v>204</v>
      </c>
      <c r="K10" s="5">
        <v>46219.0</v>
      </c>
    </row>
    <row r="11">
      <c r="A11" s="4" t="s">
        <v>205</v>
      </c>
      <c r="B11" s="4" t="s">
        <v>96</v>
      </c>
      <c r="C11" s="4" t="s">
        <v>94</v>
      </c>
      <c r="D11" s="4" t="s">
        <v>206</v>
      </c>
      <c r="E11" s="4" t="s">
        <v>207</v>
      </c>
      <c r="F11" s="4" t="s">
        <v>208</v>
      </c>
      <c r="G11" s="4" t="s">
        <v>209</v>
      </c>
      <c r="H11" s="4" t="s">
        <v>210</v>
      </c>
      <c r="I11" s="4" t="s">
        <v>211</v>
      </c>
      <c r="J11" s="4" t="s">
        <v>212</v>
      </c>
      <c r="K11" s="5">
        <v>46219.0</v>
      </c>
    </row>
    <row r="12">
      <c r="A12" s="4" t="s">
        <v>213</v>
      </c>
      <c r="B12" s="4" t="s">
        <v>96</v>
      </c>
      <c r="C12" s="4" t="s">
        <v>94</v>
      </c>
      <c r="D12" s="4" t="s">
        <v>214</v>
      </c>
      <c r="E12" s="4" t="s">
        <v>215</v>
      </c>
      <c r="F12" s="4" t="s">
        <v>216</v>
      </c>
      <c r="G12" s="4" t="s">
        <v>217</v>
      </c>
      <c r="H12" s="4" t="s">
        <v>210</v>
      </c>
      <c r="I12" s="4" t="s">
        <v>211</v>
      </c>
      <c r="J12" s="4" t="s">
        <v>218</v>
      </c>
      <c r="K12" s="5">
        <v>46219.0</v>
      </c>
    </row>
    <row r="13">
      <c r="A13" s="4" t="s">
        <v>219</v>
      </c>
      <c r="B13" s="4" t="s">
        <v>96</v>
      </c>
      <c r="C13" s="4" t="s">
        <v>109</v>
      </c>
      <c r="D13" s="4" t="s">
        <v>220</v>
      </c>
      <c r="E13" s="4" t="s">
        <v>221</v>
      </c>
      <c r="F13" s="4" t="s">
        <v>113</v>
      </c>
      <c r="G13" s="4" t="s">
        <v>222</v>
      </c>
      <c r="H13" s="4" t="s">
        <v>210</v>
      </c>
      <c r="I13" s="4" t="s">
        <v>223</v>
      </c>
      <c r="J13" s="4" t="s">
        <v>224</v>
      </c>
      <c r="K13" s="5">
        <v>46219.0</v>
      </c>
    </row>
    <row r="14">
      <c r="A14" s="4" t="s">
        <v>225</v>
      </c>
      <c r="B14" s="4" t="s">
        <v>96</v>
      </c>
      <c r="C14" s="4" t="s">
        <v>117</v>
      </c>
      <c r="D14" s="4" t="s">
        <v>226</v>
      </c>
      <c r="E14" s="4" t="s">
        <v>227</v>
      </c>
      <c r="F14" s="4" t="s">
        <v>228</v>
      </c>
      <c r="G14" s="4" t="s">
        <v>229</v>
      </c>
      <c r="H14" s="4" t="s">
        <v>210</v>
      </c>
      <c r="I14" s="4" t="s">
        <v>230</v>
      </c>
      <c r="J14" s="4" t="s">
        <v>231</v>
      </c>
      <c r="K14" s="5">
        <v>46219.0</v>
      </c>
    </row>
    <row r="15">
      <c r="A15" s="4" t="s">
        <v>232</v>
      </c>
      <c r="B15" s="4" t="s">
        <v>96</v>
      </c>
      <c r="C15" s="4" t="s">
        <v>123</v>
      </c>
      <c r="D15" s="4" t="s">
        <v>233</v>
      </c>
      <c r="E15" s="4" t="s">
        <v>234</v>
      </c>
      <c r="F15" s="4" t="s">
        <v>128</v>
      </c>
      <c r="G15" s="4" t="s">
        <v>235</v>
      </c>
      <c r="H15" s="4" t="s">
        <v>210</v>
      </c>
      <c r="I15" s="4" t="s">
        <v>236</v>
      </c>
      <c r="J15" s="4" t="s">
        <v>237</v>
      </c>
      <c r="K15" s="5">
        <v>46219.0</v>
      </c>
    </row>
    <row r="16">
      <c r="A16" s="4" t="s">
        <v>238</v>
      </c>
      <c r="B16" s="4" t="s">
        <v>96</v>
      </c>
      <c r="C16" s="4" t="s">
        <v>123</v>
      </c>
      <c r="D16" s="4" t="s">
        <v>239</v>
      </c>
      <c r="E16" s="4" t="s">
        <v>240</v>
      </c>
      <c r="F16" s="4" t="s">
        <v>73</v>
      </c>
      <c r="G16" s="4" t="s">
        <v>241</v>
      </c>
      <c r="H16" s="4" t="s">
        <v>210</v>
      </c>
      <c r="I16" s="4" t="s">
        <v>236</v>
      </c>
      <c r="J16" s="4" t="s">
        <v>242</v>
      </c>
      <c r="K16" s="5">
        <v>46219.0</v>
      </c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0"/>
    <col customWidth="1" min="2" max="2" width="14.0"/>
    <col customWidth="1" min="3" max="3" width="18.0"/>
    <col customWidth="1" min="4" max="4" width="44.0"/>
    <col customWidth="1" min="5" max="5" width="36.0"/>
    <col customWidth="1" min="6" max="6" width="34.0"/>
    <col customWidth="1" min="7" max="7" width="44.0"/>
    <col customWidth="1" min="8" max="8" width="28.0"/>
    <col customWidth="1" min="9" max="9" width="38.0"/>
    <col customWidth="1" min="10" max="10" width="44.0"/>
    <col customWidth="1" min="11" max="11" width="14.0"/>
    <col customWidth="1" min="12" max="26" width="8.63"/>
  </cols>
  <sheetData>
    <row r="1" ht="25.5" customHeight="1">
      <c r="A1" s="1" t="s">
        <v>243</v>
      </c>
    </row>
    <row r="2" ht="33.75" customHeight="1">
      <c r="A2" s="2" t="s">
        <v>244</v>
      </c>
    </row>
    <row r="4" ht="36.0" customHeight="1">
      <c r="A4" s="3" t="s">
        <v>245</v>
      </c>
      <c r="B4" s="3" t="s">
        <v>9</v>
      </c>
      <c r="C4" s="3" t="s">
        <v>246</v>
      </c>
      <c r="D4" s="3" t="s">
        <v>247</v>
      </c>
      <c r="E4" s="3" t="s">
        <v>248</v>
      </c>
      <c r="F4" s="3" t="s">
        <v>249</v>
      </c>
      <c r="G4" s="3" t="s">
        <v>250</v>
      </c>
      <c r="H4" s="3" t="s">
        <v>251</v>
      </c>
      <c r="I4" s="3" t="s">
        <v>62</v>
      </c>
      <c r="J4" s="3" t="s">
        <v>63</v>
      </c>
      <c r="K4" s="3" t="s">
        <v>65</v>
      </c>
    </row>
    <row r="5">
      <c r="A5" s="4" t="s">
        <v>73</v>
      </c>
      <c r="B5" s="4" t="s">
        <v>10</v>
      </c>
      <c r="C5" s="4" t="s">
        <v>252</v>
      </c>
      <c r="D5" s="4" t="s">
        <v>253</v>
      </c>
      <c r="E5" s="4" t="s">
        <v>254</v>
      </c>
      <c r="F5" s="4" t="s">
        <v>255</v>
      </c>
      <c r="G5" s="4" t="s">
        <v>256</v>
      </c>
      <c r="H5" s="4" t="s">
        <v>257</v>
      </c>
      <c r="I5" s="4" t="s">
        <v>258</v>
      </c>
      <c r="J5" s="4" t="s">
        <v>259</v>
      </c>
      <c r="K5" s="5">
        <v>46219.0</v>
      </c>
    </row>
    <row r="6">
      <c r="A6" s="4" t="s">
        <v>228</v>
      </c>
      <c r="B6" s="4" t="s">
        <v>10</v>
      </c>
      <c r="C6" s="4" t="s">
        <v>252</v>
      </c>
      <c r="D6" s="4" t="s">
        <v>260</v>
      </c>
      <c r="E6" s="4" t="s">
        <v>261</v>
      </c>
      <c r="F6" s="4" t="s">
        <v>230</v>
      </c>
      <c r="G6" s="4" t="s">
        <v>262</v>
      </c>
      <c r="H6" s="4" t="s">
        <v>263</v>
      </c>
      <c r="I6" s="4" t="s">
        <v>264</v>
      </c>
      <c r="J6" s="4" t="s">
        <v>265</v>
      </c>
      <c r="K6" s="5">
        <v>46219.0</v>
      </c>
    </row>
    <row r="7">
      <c r="A7" s="4" t="s">
        <v>113</v>
      </c>
      <c r="B7" s="4" t="s">
        <v>10</v>
      </c>
      <c r="C7" s="4" t="s">
        <v>266</v>
      </c>
      <c r="D7" s="4" t="s">
        <v>267</v>
      </c>
      <c r="E7" s="4" t="s">
        <v>268</v>
      </c>
      <c r="F7" s="4" t="s">
        <v>269</v>
      </c>
      <c r="G7" s="4" t="s">
        <v>270</v>
      </c>
      <c r="H7" s="4" t="s">
        <v>263</v>
      </c>
      <c r="I7" s="4" t="s">
        <v>264</v>
      </c>
      <c r="J7" s="4" t="s">
        <v>271</v>
      </c>
      <c r="K7" s="5">
        <v>46219.0</v>
      </c>
    </row>
    <row r="8">
      <c r="A8" s="4" t="s">
        <v>208</v>
      </c>
      <c r="B8" s="4" t="s">
        <v>10</v>
      </c>
      <c r="C8" s="4" t="s">
        <v>252</v>
      </c>
      <c r="D8" s="4" t="s">
        <v>272</v>
      </c>
      <c r="E8" s="4" t="s">
        <v>273</v>
      </c>
      <c r="F8" s="4" t="s">
        <v>274</v>
      </c>
      <c r="G8" s="4" t="s">
        <v>275</v>
      </c>
      <c r="H8" s="4" t="s">
        <v>263</v>
      </c>
      <c r="I8" s="4" t="s">
        <v>264</v>
      </c>
      <c r="J8" s="4" t="s">
        <v>276</v>
      </c>
      <c r="K8" s="5">
        <v>46219.0</v>
      </c>
    </row>
    <row r="9">
      <c r="A9" s="4" t="s">
        <v>277</v>
      </c>
      <c r="B9" s="4" t="s">
        <v>10</v>
      </c>
      <c r="C9" s="4" t="s">
        <v>252</v>
      </c>
      <c r="D9" s="4" t="s">
        <v>278</v>
      </c>
      <c r="E9" s="4" t="s">
        <v>279</v>
      </c>
      <c r="F9" s="4" t="s">
        <v>274</v>
      </c>
      <c r="G9" s="4" t="s">
        <v>280</v>
      </c>
      <c r="H9" s="4" t="s">
        <v>281</v>
      </c>
      <c r="I9" s="4" t="s">
        <v>274</v>
      </c>
      <c r="J9" s="4" t="s">
        <v>282</v>
      </c>
      <c r="K9" s="5">
        <v>46219.0</v>
      </c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conditionalFormatting sqref="H5:H1000">
    <cfRule type="containsText" dxfId="0" priority="1" operator="containsText" text="Action required">
      <formula>NOT(ISERROR(SEARCH(("Action required"),(H5))))</formula>
    </cfRule>
  </conditionalFormatting>
  <conditionalFormatting sqref="H5:H1000">
    <cfRule type="containsText" dxfId="1" priority="2" operator="containsText" text="Preview-ready">
      <formula>NOT(ISERROR(SEARCH(("Preview-ready"),(H5))))</formula>
    </cfRule>
  </conditionalFormatting>
  <conditionalFormatting sqref="H5:H1000">
    <cfRule type="containsText" dxfId="2" priority="3" operator="containsText" text="Locked reference">
      <formula>NOT(ISERROR(SEARCH(("Locked reference"),(H5))))</formula>
    </cfRule>
  </conditionalFormatting>
  <conditionalFormatting sqref="H5:H1000">
    <cfRule type="containsText" dxfId="3" priority="4" operator="containsText" text="Pass">
      <formula>NOT(ISERROR(SEARCH(("Pass"),(H5))))</formula>
    </cfRule>
  </conditionalFormatting>
  <conditionalFormatting sqref="H5:H1000">
    <cfRule type="containsText" dxfId="4" priority="5" operator="containsText" text="Missing">
      <formula>NOT(ISERROR(SEARCH(("Missing"),(H5))))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0"/>
    <col customWidth="1" min="2" max="2" width="14.0"/>
    <col customWidth="1" min="3" max="3" width="24.0"/>
    <col customWidth="1" min="4" max="4" width="27.0"/>
    <col customWidth="1" min="5" max="5" width="30.0"/>
    <col customWidth="1" min="6" max="6" width="22.0"/>
    <col customWidth="1" min="7" max="7" width="48.0"/>
    <col customWidth="1" min="8" max="8" width="18.0"/>
    <col customWidth="1" min="9" max="10" width="48.0"/>
    <col customWidth="1" min="11" max="11" width="36.0"/>
    <col customWidth="1" min="12" max="12" width="14.0"/>
    <col customWidth="1" min="13" max="26" width="8.63"/>
  </cols>
  <sheetData>
    <row r="1" ht="25.5" customHeight="1">
      <c r="A1" s="1" t="s">
        <v>283</v>
      </c>
    </row>
    <row r="2" ht="33.75" customHeight="1">
      <c r="A2" s="2" t="s">
        <v>284</v>
      </c>
    </row>
    <row r="4" ht="36.0" customHeight="1">
      <c r="A4" s="3" t="s">
        <v>285</v>
      </c>
      <c r="B4" s="3" t="s">
        <v>9</v>
      </c>
      <c r="C4" s="3" t="s">
        <v>286</v>
      </c>
      <c r="D4" s="3" t="s">
        <v>287</v>
      </c>
      <c r="E4" s="3" t="s">
        <v>288</v>
      </c>
      <c r="F4" s="3" t="s">
        <v>289</v>
      </c>
      <c r="G4" s="3" t="s">
        <v>290</v>
      </c>
      <c r="H4" s="3" t="s">
        <v>291</v>
      </c>
      <c r="I4" s="3" t="s">
        <v>292</v>
      </c>
      <c r="J4" s="3" t="s">
        <v>62</v>
      </c>
      <c r="K4" s="3" t="s">
        <v>293</v>
      </c>
      <c r="L4" s="3" t="s">
        <v>65</v>
      </c>
    </row>
    <row r="5">
      <c r="A5" s="4" t="s">
        <v>294</v>
      </c>
      <c r="B5" s="4" t="s">
        <v>10</v>
      </c>
      <c r="C5" s="4" t="s">
        <v>295</v>
      </c>
      <c r="D5" s="4" t="s">
        <v>84</v>
      </c>
      <c r="E5" s="4" t="s">
        <v>296</v>
      </c>
      <c r="F5" s="4" t="s">
        <v>297</v>
      </c>
      <c r="G5" s="4" t="s">
        <v>298</v>
      </c>
      <c r="H5" s="4" t="s">
        <v>78</v>
      </c>
      <c r="I5" s="4" t="s">
        <v>299</v>
      </c>
      <c r="J5" s="4" t="s">
        <v>300</v>
      </c>
      <c r="K5" s="4" t="s">
        <v>301</v>
      </c>
      <c r="L5" s="5">
        <v>46219.0</v>
      </c>
    </row>
    <row r="6">
      <c r="A6" s="4" t="s">
        <v>302</v>
      </c>
      <c r="B6" s="4" t="s">
        <v>10</v>
      </c>
      <c r="C6" s="4" t="s">
        <v>58</v>
      </c>
      <c r="D6" s="4" t="s">
        <v>84</v>
      </c>
      <c r="E6" s="4" t="s">
        <v>303</v>
      </c>
      <c r="F6" s="4" t="s">
        <v>304</v>
      </c>
      <c r="G6" s="4" t="s">
        <v>305</v>
      </c>
      <c r="H6" s="4" t="s">
        <v>105</v>
      </c>
      <c r="I6" s="4" t="s">
        <v>305</v>
      </c>
      <c r="J6" s="4" t="s">
        <v>306</v>
      </c>
      <c r="K6" s="4" t="s">
        <v>307</v>
      </c>
      <c r="L6" s="5">
        <v>46219.0</v>
      </c>
    </row>
    <row r="7">
      <c r="A7" s="4" t="s">
        <v>308</v>
      </c>
      <c r="B7" s="4" t="s">
        <v>10</v>
      </c>
      <c r="C7" s="4" t="s">
        <v>59</v>
      </c>
      <c r="D7" s="4" t="s">
        <v>84</v>
      </c>
      <c r="E7" s="4" t="s">
        <v>309</v>
      </c>
      <c r="F7" s="4" t="s">
        <v>304</v>
      </c>
      <c r="G7" s="4" t="s">
        <v>305</v>
      </c>
      <c r="H7" s="4" t="s">
        <v>105</v>
      </c>
      <c r="I7" s="4" t="s">
        <v>305</v>
      </c>
      <c r="J7" s="4" t="s">
        <v>310</v>
      </c>
      <c r="K7" s="4" t="s">
        <v>307</v>
      </c>
      <c r="L7" s="5">
        <v>46219.0</v>
      </c>
    </row>
    <row r="8">
      <c r="A8" s="4" t="s">
        <v>311</v>
      </c>
      <c r="B8" s="4" t="s">
        <v>312</v>
      </c>
      <c r="C8" s="4" t="s">
        <v>295</v>
      </c>
      <c r="D8" s="4" t="s">
        <v>313</v>
      </c>
      <c r="E8" s="4" t="s">
        <v>296</v>
      </c>
      <c r="F8" s="4" t="s">
        <v>314</v>
      </c>
      <c r="G8" s="4" t="s">
        <v>315</v>
      </c>
      <c r="H8" s="4" t="s">
        <v>78</v>
      </c>
      <c r="I8" s="4" t="s">
        <v>316</v>
      </c>
      <c r="J8" s="4" t="s">
        <v>317</v>
      </c>
      <c r="K8" s="4" t="s">
        <v>318</v>
      </c>
      <c r="L8" s="5">
        <v>46219.0</v>
      </c>
    </row>
    <row r="9">
      <c r="A9" s="4" t="s">
        <v>319</v>
      </c>
      <c r="B9" s="4" t="s">
        <v>312</v>
      </c>
      <c r="C9" s="4" t="s">
        <v>58</v>
      </c>
      <c r="D9" s="4" t="s">
        <v>313</v>
      </c>
      <c r="E9" s="4" t="s">
        <v>303</v>
      </c>
      <c r="F9" s="4" t="s">
        <v>304</v>
      </c>
      <c r="G9" s="4" t="s">
        <v>305</v>
      </c>
      <c r="H9" s="4" t="s">
        <v>105</v>
      </c>
      <c r="I9" s="4" t="s">
        <v>305</v>
      </c>
      <c r="J9" s="4" t="s">
        <v>320</v>
      </c>
      <c r="K9" s="4" t="s">
        <v>307</v>
      </c>
      <c r="L9" s="5">
        <v>46219.0</v>
      </c>
    </row>
    <row r="10">
      <c r="A10" s="4" t="s">
        <v>321</v>
      </c>
      <c r="B10" s="4" t="s">
        <v>312</v>
      </c>
      <c r="C10" s="4" t="s">
        <v>59</v>
      </c>
      <c r="D10" s="4" t="s">
        <v>313</v>
      </c>
      <c r="E10" s="4" t="s">
        <v>309</v>
      </c>
      <c r="F10" s="4" t="s">
        <v>304</v>
      </c>
      <c r="G10" s="4" t="s">
        <v>305</v>
      </c>
      <c r="H10" s="4" t="s">
        <v>105</v>
      </c>
      <c r="I10" s="4" t="s">
        <v>305</v>
      </c>
      <c r="J10" s="4" t="s">
        <v>322</v>
      </c>
      <c r="K10" s="4" t="s">
        <v>307</v>
      </c>
      <c r="L10" s="5">
        <v>46219.0</v>
      </c>
    </row>
    <row r="11">
      <c r="A11" s="4" t="s">
        <v>323</v>
      </c>
      <c r="B11" s="4" t="s">
        <v>10</v>
      </c>
      <c r="C11" s="4" t="s">
        <v>295</v>
      </c>
      <c r="D11" s="4" t="s">
        <v>68</v>
      </c>
      <c r="E11" s="4" t="s">
        <v>324</v>
      </c>
      <c r="F11" s="4" t="s">
        <v>325</v>
      </c>
      <c r="G11" s="4" t="s">
        <v>326</v>
      </c>
      <c r="H11" s="4" t="s">
        <v>78</v>
      </c>
      <c r="I11" s="4" t="s">
        <v>327</v>
      </c>
      <c r="J11" s="4" t="s">
        <v>328</v>
      </c>
      <c r="K11" s="4" t="s">
        <v>329</v>
      </c>
      <c r="L11" s="5">
        <v>46219.0</v>
      </c>
    </row>
    <row r="12">
      <c r="A12" s="4" t="s">
        <v>330</v>
      </c>
      <c r="B12" s="4" t="s">
        <v>10</v>
      </c>
      <c r="C12" s="4" t="s">
        <v>58</v>
      </c>
      <c r="D12" s="4" t="s">
        <v>68</v>
      </c>
      <c r="E12" s="4" t="s">
        <v>331</v>
      </c>
      <c r="F12" s="4" t="s">
        <v>325</v>
      </c>
      <c r="G12" s="4" t="s">
        <v>305</v>
      </c>
      <c r="H12" s="4" t="s">
        <v>105</v>
      </c>
      <c r="I12" s="4" t="s">
        <v>305</v>
      </c>
      <c r="J12" s="4" t="s">
        <v>332</v>
      </c>
      <c r="K12" s="4" t="s">
        <v>301</v>
      </c>
      <c r="L12" s="5">
        <v>46219.0</v>
      </c>
    </row>
    <row r="13">
      <c r="A13" s="4" t="s">
        <v>333</v>
      </c>
      <c r="B13" s="4" t="s">
        <v>10</v>
      </c>
      <c r="C13" s="4" t="s">
        <v>59</v>
      </c>
      <c r="D13" s="4" t="s">
        <v>68</v>
      </c>
      <c r="E13" s="4" t="s">
        <v>334</v>
      </c>
      <c r="F13" s="4" t="s">
        <v>325</v>
      </c>
      <c r="G13" s="4" t="s">
        <v>335</v>
      </c>
      <c r="H13" s="4" t="s">
        <v>78</v>
      </c>
      <c r="I13" s="4" t="s">
        <v>336</v>
      </c>
      <c r="J13" s="4" t="s">
        <v>337</v>
      </c>
      <c r="K13" s="4" t="s">
        <v>301</v>
      </c>
      <c r="L13" s="5">
        <v>46219.0</v>
      </c>
    </row>
    <row r="14">
      <c r="A14" s="4" t="s">
        <v>338</v>
      </c>
      <c r="B14" s="4" t="s">
        <v>10</v>
      </c>
      <c r="C14" s="4" t="s">
        <v>295</v>
      </c>
      <c r="D14" s="4" t="s">
        <v>211</v>
      </c>
      <c r="E14" s="4" t="s">
        <v>339</v>
      </c>
      <c r="F14" s="4" t="s">
        <v>340</v>
      </c>
      <c r="G14" s="4" t="s">
        <v>305</v>
      </c>
      <c r="H14" s="4" t="s">
        <v>105</v>
      </c>
      <c r="I14" s="4" t="s">
        <v>305</v>
      </c>
      <c r="J14" s="4" t="s">
        <v>341</v>
      </c>
      <c r="K14" s="4" t="s">
        <v>342</v>
      </c>
      <c r="L14" s="5">
        <v>46219.0</v>
      </c>
    </row>
    <row r="15">
      <c r="A15" s="4" t="s">
        <v>343</v>
      </c>
      <c r="B15" s="4" t="s">
        <v>10</v>
      </c>
      <c r="C15" s="4" t="s">
        <v>295</v>
      </c>
      <c r="D15" s="4" t="s">
        <v>223</v>
      </c>
      <c r="E15" s="4" t="s">
        <v>339</v>
      </c>
      <c r="F15" s="4" t="s">
        <v>340</v>
      </c>
      <c r="G15" s="4" t="s">
        <v>305</v>
      </c>
      <c r="H15" s="4" t="s">
        <v>105</v>
      </c>
      <c r="I15" s="4" t="s">
        <v>305</v>
      </c>
      <c r="J15" s="4" t="s">
        <v>344</v>
      </c>
      <c r="K15" s="4" t="s">
        <v>342</v>
      </c>
      <c r="L15" s="5">
        <v>46219.0</v>
      </c>
    </row>
    <row r="16">
      <c r="A16" s="4" t="s">
        <v>345</v>
      </c>
      <c r="B16" s="4" t="s">
        <v>10</v>
      </c>
      <c r="C16" s="4" t="s">
        <v>295</v>
      </c>
      <c r="D16" s="4" t="s">
        <v>230</v>
      </c>
      <c r="E16" s="4" t="s">
        <v>339</v>
      </c>
      <c r="F16" s="4" t="s">
        <v>340</v>
      </c>
      <c r="G16" s="4" t="s">
        <v>305</v>
      </c>
      <c r="H16" s="4" t="s">
        <v>105</v>
      </c>
      <c r="I16" s="4" t="s">
        <v>305</v>
      </c>
      <c r="J16" s="4" t="s">
        <v>346</v>
      </c>
      <c r="K16" s="4" t="s">
        <v>342</v>
      </c>
      <c r="L16" s="5">
        <v>46219.0</v>
      </c>
    </row>
    <row r="17">
      <c r="A17" s="4" t="s">
        <v>347</v>
      </c>
      <c r="B17" s="4" t="s">
        <v>10</v>
      </c>
      <c r="C17" s="4" t="s">
        <v>295</v>
      </c>
      <c r="D17" s="4" t="s">
        <v>236</v>
      </c>
      <c r="E17" s="4" t="s">
        <v>339</v>
      </c>
      <c r="F17" s="4" t="s">
        <v>340</v>
      </c>
      <c r="G17" s="4" t="s">
        <v>305</v>
      </c>
      <c r="H17" s="4" t="s">
        <v>105</v>
      </c>
      <c r="I17" s="4" t="s">
        <v>305</v>
      </c>
      <c r="J17" s="4" t="s">
        <v>348</v>
      </c>
      <c r="K17" s="4" t="s">
        <v>342</v>
      </c>
      <c r="L17" s="5">
        <v>46219.0</v>
      </c>
    </row>
    <row r="18">
      <c r="A18" s="4" t="s">
        <v>349</v>
      </c>
      <c r="B18" s="4" t="s">
        <v>10</v>
      </c>
      <c r="C18" s="4" t="s">
        <v>58</v>
      </c>
      <c r="D18" s="4" t="s">
        <v>350</v>
      </c>
      <c r="E18" s="4" t="s">
        <v>351</v>
      </c>
      <c r="F18" s="4" t="s">
        <v>352</v>
      </c>
      <c r="G18" s="4" t="s">
        <v>305</v>
      </c>
      <c r="H18" s="4" t="s">
        <v>105</v>
      </c>
      <c r="I18" s="4" t="s">
        <v>305</v>
      </c>
      <c r="J18" s="4" t="s">
        <v>353</v>
      </c>
      <c r="K18" s="4" t="s">
        <v>354</v>
      </c>
      <c r="L18" s="5">
        <v>46219.0</v>
      </c>
    </row>
    <row r="19">
      <c r="A19" s="4" t="s">
        <v>355</v>
      </c>
      <c r="B19" s="4" t="s">
        <v>10</v>
      </c>
      <c r="C19" s="4" t="s">
        <v>59</v>
      </c>
      <c r="D19" s="4" t="s">
        <v>350</v>
      </c>
      <c r="E19" s="4" t="s">
        <v>351</v>
      </c>
      <c r="F19" s="4" t="s">
        <v>352</v>
      </c>
      <c r="G19" s="4" t="s">
        <v>305</v>
      </c>
      <c r="H19" s="4" t="s">
        <v>105</v>
      </c>
      <c r="I19" s="4" t="s">
        <v>305</v>
      </c>
      <c r="J19" s="4" t="s">
        <v>353</v>
      </c>
      <c r="K19" s="4" t="s">
        <v>354</v>
      </c>
      <c r="L19" s="5">
        <v>46219.0</v>
      </c>
    </row>
    <row r="20">
      <c r="A20" s="4" t="s">
        <v>356</v>
      </c>
      <c r="B20" s="4" t="s">
        <v>10</v>
      </c>
      <c r="C20" s="4" t="s">
        <v>357</v>
      </c>
      <c r="D20" s="4" t="s">
        <v>211</v>
      </c>
      <c r="E20" s="4" t="s">
        <v>358</v>
      </c>
      <c r="F20" s="4" t="s">
        <v>359</v>
      </c>
      <c r="G20" s="4" t="s">
        <v>359</v>
      </c>
      <c r="H20" s="4" t="s">
        <v>358</v>
      </c>
      <c r="I20" s="4" t="s">
        <v>360</v>
      </c>
      <c r="J20" s="4" t="s">
        <v>361</v>
      </c>
      <c r="K20" s="4" t="s">
        <v>362</v>
      </c>
      <c r="L20" s="5">
        <v>46219.0</v>
      </c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H25" s="15"/>
    </row>
    <row r="26" ht="15.75" customHeight="1">
      <c r="H26" s="15"/>
    </row>
    <row r="27" ht="15.75" customHeight="1">
      <c r="H27" s="15"/>
    </row>
    <row r="28" ht="15.75" customHeight="1">
      <c r="H28" s="15"/>
    </row>
    <row r="29" ht="15.75" customHeight="1">
      <c r="H29" s="15"/>
    </row>
    <row r="30" ht="15.75" customHeight="1">
      <c r="H30" s="15"/>
    </row>
    <row r="31" ht="15.75" customHeight="1">
      <c r="H31" s="15"/>
    </row>
    <row r="32" ht="15.75" customHeight="1">
      <c r="H32" s="15"/>
    </row>
    <row r="33" ht="15.75" customHeight="1">
      <c r="H33" s="15"/>
    </row>
    <row r="34" ht="15.75" customHeight="1">
      <c r="H34" s="15"/>
    </row>
    <row r="35" ht="15.75" customHeight="1">
      <c r="H35" s="15"/>
    </row>
    <row r="36" ht="15.75" customHeight="1">
      <c r="H36" s="15"/>
    </row>
    <row r="37" ht="15.75" customHeight="1">
      <c r="H37" s="15"/>
    </row>
    <row r="38" ht="15.75" customHeight="1">
      <c r="H38" s="15"/>
    </row>
    <row r="39" ht="15.75" customHeight="1">
      <c r="H39" s="15"/>
    </row>
    <row r="40" ht="15.75" customHeight="1">
      <c r="H40" s="15"/>
    </row>
    <row r="41" ht="15.75" customHeight="1">
      <c r="H41" s="15"/>
    </row>
    <row r="42" ht="15.75" customHeight="1">
      <c r="H42" s="15"/>
    </row>
    <row r="43" ht="15.75" customHeight="1">
      <c r="H43" s="15"/>
    </row>
    <row r="44" ht="15.75" customHeight="1">
      <c r="H44" s="15"/>
    </row>
    <row r="45" ht="15.75" customHeight="1">
      <c r="H45" s="15"/>
    </row>
    <row r="46" ht="15.75" customHeight="1">
      <c r="H46" s="15"/>
    </row>
    <row r="47" ht="15.75" customHeight="1">
      <c r="H47" s="15"/>
    </row>
    <row r="48" ht="15.75" customHeight="1">
      <c r="H48" s="15"/>
    </row>
    <row r="49" ht="15.75" customHeight="1">
      <c r="H49" s="15"/>
    </row>
    <row r="50" ht="15.75" customHeight="1">
      <c r="H50" s="15"/>
    </row>
    <row r="51" ht="15.75" customHeight="1">
      <c r="H51" s="15"/>
    </row>
    <row r="52" ht="15.75" customHeight="1">
      <c r="H52" s="15"/>
    </row>
    <row r="53" ht="15.75" customHeight="1">
      <c r="H53" s="15"/>
    </row>
    <row r="54" ht="15.75" customHeight="1">
      <c r="H54" s="15"/>
    </row>
    <row r="55" ht="15.75" customHeight="1">
      <c r="H55" s="15"/>
    </row>
    <row r="56" ht="15.75" customHeight="1">
      <c r="H56" s="15"/>
    </row>
    <row r="57" ht="15.75" customHeight="1">
      <c r="H57" s="15"/>
    </row>
    <row r="58" ht="15.75" customHeight="1">
      <c r="H58" s="15"/>
    </row>
    <row r="59" ht="15.75" customHeight="1">
      <c r="H59" s="15"/>
    </row>
    <row r="60" ht="15.75" customHeight="1">
      <c r="H60" s="15"/>
    </row>
    <row r="61" ht="15.75" customHeight="1">
      <c r="H61" s="15"/>
    </row>
    <row r="62" ht="15.75" customHeight="1">
      <c r="H62" s="15"/>
    </row>
    <row r="63" ht="15.75" customHeight="1">
      <c r="H63" s="15"/>
    </row>
    <row r="64" ht="15.75" customHeight="1">
      <c r="H64" s="15"/>
    </row>
    <row r="65" ht="15.75" customHeight="1">
      <c r="H65" s="15"/>
    </row>
    <row r="66" ht="15.75" customHeight="1">
      <c r="H66" s="15"/>
    </row>
    <row r="67" ht="15.75" customHeight="1">
      <c r="H67" s="15"/>
    </row>
    <row r="68" ht="15.75" customHeight="1">
      <c r="H68" s="15"/>
    </row>
    <row r="69" ht="15.75" customHeight="1">
      <c r="H69" s="15"/>
    </row>
    <row r="70" ht="15.75" customHeight="1">
      <c r="H70" s="15"/>
    </row>
    <row r="71" ht="15.75" customHeight="1">
      <c r="H71" s="15"/>
    </row>
    <row r="72" ht="15.75" customHeight="1">
      <c r="H72" s="15"/>
    </row>
    <row r="73" ht="15.75" customHeight="1">
      <c r="H73" s="15"/>
    </row>
    <row r="74" ht="15.75" customHeight="1">
      <c r="H74" s="15"/>
    </row>
    <row r="75" ht="15.75" customHeight="1">
      <c r="H75" s="15"/>
    </row>
    <row r="76" ht="15.75" customHeight="1">
      <c r="H76" s="15"/>
    </row>
    <row r="77" ht="15.75" customHeight="1">
      <c r="H77" s="15"/>
    </row>
    <row r="78" ht="15.75" customHeight="1">
      <c r="H78" s="15"/>
    </row>
    <row r="79" ht="15.75" customHeight="1">
      <c r="H79" s="15"/>
    </row>
    <row r="80" ht="15.75" customHeight="1">
      <c r="H80" s="15"/>
    </row>
    <row r="81" ht="15.75" customHeight="1">
      <c r="H81" s="15"/>
    </row>
    <row r="82" ht="15.75" customHeight="1">
      <c r="H82" s="15"/>
    </row>
    <row r="83" ht="15.75" customHeight="1">
      <c r="H83" s="15"/>
    </row>
    <row r="84" ht="15.75" customHeight="1">
      <c r="H84" s="15"/>
    </row>
    <row r="85" ht="15.75" customHeight="1">
      <c r="H85" s="15"/>
    </row>
    <row r="86" ht="15.75" customHeight="1">
      <c r="H86" s="15"/>
    </row>
    <row r="87" ht="15.75" customHeight="1">
      <c r="H87" s="15"/>
    </row>
    <row r="88" ht="15.75" customHeight="1">
      <c r="H88" s="15"/>
    </row>
    <row r="89" ht="15.75" customHeight="1">
      <c r="H89" s="15"/>
    </row>
    <row r="90" ht="15.75" customHeight="1">
      <c r="H90" s="15"/>
    </row>
    <row r="91" ht="15.75" customHeight="1">
      <c r="H91" s="15"/>
    </row>
    <row r="92" ht="15.75" customHeight="1">
      <c r="H92" s="15"/>
    </row>
    <row r="93" ht="15.75" customHeight="1">
      <c r="H93" s="15"/>
    </row>
    <row r="94" ht="15.75" customHeight="1">
      <c r="H94" s="15"/>
    </row>
    <row r="95" ht="15.75" customHeight="1">
      <c r="H95" s="15"/>
    </row>
    <row r="96" ht="15.75" customHeight="1">
      <c r="H96" s="15"/>
    </row>
    <row r="97" ht="15.75" customHeight="1">
      <c r="H97" s="15"/>
    </row>
    <row r="98" ht="15.75" customHeight="1">
      <c r="H98" s="15"/>
    </row>
    <row r="99" ht="15.75" customHeight="1">
      <c r="H99" s="15"/>
    </row>
    <row r="100" ht="15.75" customHeight="1">
      <c r="H100" s="15"/>
    </row>
    <row r="101" ht="15.75" customHeight="1">
      <c r="H101" s="15"/>
    </row>
    <row r="102" ht="15.75" customHeight="1">
      <c r="H102" s="15"/>
    </row>
    <row r="103" ht="15.75" customHeight="1">
      <c r="H103" s="15"/>
    </row>
    <row r="104" ht="15.75" customHeight="1">
      <c r="H104" s="15"/>
    </row>
    <row r="105" ht="15.75" customHeight="1">
      <c r="H105" s="15"/>
    </row>
    <row r="106" ht="15.75" customHeight="1">
      <c r="H106" s="15"/>
    </row>
    <row r="107" ht="15.75" customHeight="1">
      <c r="H107" s="15"/>
    </row>
    <row r="108" ht="15.75" customHeight="1">
      <c r="H108" s="15"/>
    </row>
    <row r="109" ht="15.75" customHeight="1">
      <c r="H109" s="15"/>
    </row>
    <row r="110" ht="15.75" customHeight="1">
      <c r="H110" s="15"/>
    </row>
    <row r="111" ht="15.75" customHeight="1">
      <c r="H111" s="15"/>
    </row>
    <row r="112" ht="15.75" customHeight="1">
      <c r="H112" s="15"/>
    </row>
    <row r="113" ht="15.75" customHeight="1">
      <c r="H113" s="15"/>
    </row>
    <row r="114" ht="15.75" customHeight="1">
      <c r="H114" s="15"/>
    </row>
    <row r="115" ht="15.75" customHeight="1">
      <c r="H115" s="15"/>
    </row>
    <row r="116" ht="15.75" customHeight="1">
      <c r="H116" s="15"/>
    </row>
    <row r="117" ht="15.75" customHeight="1">
      <c r="H117" s="15"/>
    </row>
    <row r="118" ht="15.75" customHeight="1">
      <c r="H118" s="15"/>
    </row>
    <row r="119" ht="15.75" customHeight="1">
      <c r="H119" s="15"/>
    </row>
    <row r="120" ht="15.75" customHeight="1">
      <c r="H120" s="15"/>
    </row>
    <row r="121" ht="15.75" customHeight="1">
      <c r="H121" s="15"/>
    </row>
    <row r="122" ht="15.75" customHeight="1">
      <c r="H122" s="15"/>
    </row>
    <row r="123" ht="15.75" customHeight="1">
      <c r="H123" s="15"/>
    </row>
    <row r="124" ht="15.75" customHeight="1">
      <c r="H124" s="15"/>
    </row>
    <row r="125" ht="15.75" customHeight="1">
      <c r="H125" s="15"/>
    </row>
    <row r="126" ht="15.75" customHeight="1">
      <c r="H126" s="15"/>
    </row>
    <row r="127" ht="15.75" customHeight="1">
      <c r="H127" s="15"/>
    </row>
    <row r="128" ht="15.75" customHeight="1">
      <c r="H128" s="15"/>
    </row>
    <row r="129" ht="15.75" customHeight="1">
      <c r="H129" s="15"/>
    </row>
    <row r="130" ht="15.75" customHeight="1">
      <c r="H130" s="15"/>
    </row>
    <row r="131" ht="15.75" customHeight="1">
      <c r="H131" s="15"/>
    </row>
    <row r="132" ht="15.75" customHeight="1">
      <c r="H132" s="15"/>
    </row>
    <row r="133" ht="15.75" customHeight="1">
      <c r="H133" s="15"/>
    </row>
    <row r="134" ht="15.75" customHeight="1">
      <c r="H134" s="15"/>
    </row>
    <row r="135" ht="15.75" customHeight="1">
      <c r="H135" s="15"/>
    </row>
    <row r="136" ht="15.75" customHeight="1">
      <c r="H136" s="15"/>
    </row>
    <row r="137" ht="15.75" customHeight="1">
      <c r="H137" s="15"/>
    </row>
    <row r="138" ht="15.75" customHeight="1">
      <c r="H138" s="15"/>
    </row>
    <row r="139" ht="15.75" customHeight="1">
      <c r="H139" s="15"/>
    </row>
    <row r="140" ht="15.75" customHeight="1">
      <c r="H140" s="15"/>
    </row>
    <row r="141" ht="15.75" customHeight="1">
      <c r="H141" s="15"/>
    </row>
    <row r="142" ht="15.75" customHeight="1">
      <c r="H142" s="15"/>
    </row>
    <row r="143" ht="15.75" customHeight="1">
      <c r="H143" s="15"/>
    </row>
    <row r="144" ht="15.75" customHeight="1">
      <c r="H144" s="15"/>
    </row>
    <row r="145" ht="15.75" customHeight="1">
      <c r="H145" s="15"/>
    </row>
    <row r="146" ht="15.75" customHeight="1">
      <c r="H146" s="15"/>
    </row>
    <row r="147" ht="15.75" customHeight="1">
      <c r="H147" s="15"/>
    </row>
    <row r="148" ht="15.75" customHeight="1">
      <c r="H148" s="15"/>
    </row>
    <row r="149" ht="15.75" customHeight="1">
      <c r="H149" s="15"/>
    </row>
    <row r="150" ht="15.75" customHeight="1">
      <c r="H150" s="15"/>
    </row>
    <row r="151" ht="15.75" customHeight="1">
      <c r="H151" s="15"/>
    </row>
    <row r="152" ht="15.75" customHeight="1">
      <c r="H152" s="15"/>
    </row>
    <row r="153" ht="15.75" customHeight="1">
      <c r="H153" s="15"/>
    </row>
    <row r="154" ht="15.75" customHeight="1">
      <c r="H154" s="15"/>
    </row>
    <row r="155" ht="15.75" customHeight="1">
      <c r="H155" s="15"/>
    </row>
    <row r="156" ht="15.75" customHeight="1">
      <c r="H156" s="15"/>
    </row>
    <row r="157" ht="15.75" customHeight="1">
      <c r="H157" s="15"/>
    </row>
    <row r="158" ht="15.75" customHeight="1">
      <c r="H158" s="15"/>
    </row>
    <row r="159" ht="15.75" customHeight="1">
      <c r="H159" s="15"/>
    </row>
    <row r="160" ht="15.75" customHeight="1">
      <c r="H160" s="15"/>
    </row>
    <row r="161" ht="15.75" customHeight="1">
      <c r="H161" s="15"/>
    </row>
    <row r="162" ht="15.75" customHeight="1">
      <c r="H162" s="15"/>
    </row>
    <row r="163" ht="15.75" customHeight="1">
      <c r="H163" s="15"/>
    </row>
    <row r="164" ht="15.75" customHeight="1">
      <c r="H164" s="15"/>
    </row>
    <row r="165" ht="15.75" customHeight="1">
      <c r="H165" s="15"/>
    </row>
    <row r="166" ht="15.75" customHeight="1">
      <c r="H166" s="15"/>
    </row>
    <row r="167" ht="15.75" customHeight="1">
      <c r="H167" s="15"/>
    </row>
    <row r="168" ht="15.75" customHeight="1">
      <c r="H168" s="15"/>
    </row>
    <row r="169" ht="15.75" customHeight="1">
      <c r="H169" s="15"/>
    </row>
    <row r="170" ht="15.75" customHeight="1">
      <c r="H170" s="15"/>
    </row>
    <row r="171" ht="15.75" customHeight="1">
      <c r="H171" s="15"/>
    </row>
    <row r="172" ht="15.75" customHeight="1">
      <c r="H172" s="15"/>
    </row>
    <row r="173" ht="15.75" customHeight="1">
      <c r="H173" s="15"/>
    </row>
    <row r="174" ht="15.75" customHeight="1">
      <c r="H174" s="15"/>
    </row>
    <row r="175" ht="15.75" customHeight="1">
      <c r="H175" s="15"/>
    </row>
    <row r="176" ht="15.75" customHeight="1">
      <c r="H176" s="15"/>
    </row>
    <row r="177" ht="15.75" customHeight="1">
      <c r="H177" s="15"/>
    </row>
    <row r="178" ht="15.75" customHeight="1">
      <c r="H178" s="15"/>
    </row>
    <row r="179" ht="15.75" customHeight="1">
      <c r="H179" s="15"/>
    </row>
    <row r="180" ht="15.75" customHeight="1">
      <c r="H180" s="15"/>
    </row>
    <row r="181" ht="15.75" customHeight="1">
      <c r="H181" s="15"/>
    </row>
    <row r="182" ht="15.75" customHeight="1">
      <c r="H182" s="15"/>
    </row>
    <row r="183" ht="15.75" customHeight="1">
      <c r="H183" s="15"/>
    </row>
    <row r="184" ht="15.75" customHeight="1">
      <c r="H184" s="15"/>
    </row>
    <row r="185" ht="15.75" customHeight="1">
      <c r="H185" s="15"/>
    </row>
    <row r="186" ht="15.75" customHeight="1">
      <c r="H186" s="15"/>
    </row>
    <row r="187" ht="15.75" customHeight="1">
      <c r="H187" s="15"/>
    </row>
    <row r="188" ht="15.75" customHeight="1">
      <c r="H188" s="15"/>
    </row>
    <row r="189" ht="15.75" customHeight="1">
      <c r="H189" s="15"/>
    </row>
    <row r="190" ht="15.75" customHeight="1">
      <c r="H190" s="15"/>
    </row>
    <row r="191" ht="15.75" customHeight="1">
      <c r="H191" s="15"/>
    </row>
    <row r="192" ht="15.75" customHeight="1">
      <c r="H192" s="15"/>
    </row>
    <row r="193" ht="15.75" customHeight="1">
      <c r="H193" s="15"/>
    </row>
    <row r="194" ht="15.75" customHeight="1">
      <c r="H194" s="15"/>
    </row>
    <row r="195" ht="15.75" customHeight="1">
      <c r="H195" s="15"/>
    </row>
    <row r="196" ht="15.75" customHeight="1">
      <c r="H196" s="15"/>
    </row>
    <row r="197" ht="15.75" customHeight="1">
      <c r="H197" s="15"/>
    </row>
    <row r="198" ht="15.75" customHeight="1">
      <c r="H198" s="15"/>
    </row>
    <row r="199" ht="15.75" customHeight="1">
      <c r="H199" s="15"/>
    </row>
    <row r="200" ht="15.75" customHeight="1">
      <c r="H200" s="1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H5:H1000">
    <cfRule type="containsText" dxfId="0" priority="1" operator="containsText" text="Action required">
      <formula>NOT(ISERROR(SEARCH(("Action required"),(H5))))</formula>
    </cfRule>
  </conditionalFormatting>
  <conditionalFormatting sqref="H5:H1000">
    <cfRule type="containsText" dxfId="1" priority="2" operator="containsText" text="Preview-ready">
      <formula>NOT(ISERROR(SEARCH(("Preview-ready"),(H5))))</formula>
    </cfRule>
  </conditionalFormatting>
  <conditionalFormatting sqref="H5:H1000">
    <cfRule type="containsText" dxfId="2" priority="3" operator="containsText" text="Locked reference">
      <formula>NOT(ISERROR(SEARCH(("Locked reference"),(H5))))</formula>
    </cfRule>
  </conditionalFormatting>
  <conditionalFormatting sqref="H5:H1000">
    <cfRule type="containsText" dxfId="3" priority="4" operator="containsText" text="Pass">
      <formula>NOT(ISERROR(SEARCH(("Pass"),(H5))))</formula>
    </cfRule>
  </conditionalFormatting>
  <conditionalFormatting sqref="H5:H1000">
    <cfRule type="containsText" dxfId="4" priority="5" operator="containsText" text="Missing">
      <formula>NOT(ISERROR(SEARCH(("Missing"),(H5))))</formula>
    </cfRule>
  </conditionalFormatting>
  <dataValidations>
    <dataValidation type="list" allowBlank="1" sqref="H5:H200">
      <formula1>"Pass,Action required,Not available"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5.0"/>
    <col customWidth="1" min="2" max="2" width="14.0"/>
    <col customWidth="1" min="3" max="3" width="26.0"/>
    <col customWidth="1" min="4" max="4" width="48.0"/>
    <col customWidth="1" min="5" max="5" width="18.0"/>
    <col customWidth="1" min="6" max="6" width="42.0"/>
    <col customWidth="1" min="7" max="7" width="32.0"/>
    <col customWidth="1" min="8" max="8" width="44.0"/>
    <col customWidth="1" min="9" max="9" width="42.0"/>
    <col customWidth="1" min="10" max="10" width="14.0"/>
    <col customWidth="1" min="11" max="26" width="8.63"/>
  </cols>
  <sheetData>
    <row r="1" ht="25.5" customHeight="1">
      <c r="A1" s="1" t="s">
        <v>363</v>
      </c>
    </row>
    <row r="2" ht="33.75" customHeight="1">
      <c r="A2" s="2" t="s">
        <v>364</v>
      </c>
    </row>
    <row r="4" ht="36.0" customHeight="1">
      <c r="A4" s="3" t="s">
        <v>365</v>
      </c>
      <c r="B4" s="3" t="s">
        <v>9</v>
      </c>
      <c r="C4" s="3" t="s">
        <v>366</v>
      </c>
      <c r="D4" s="3" t="s">
        <v>367</v>
      </c>
      <c r="E4" s="3" t="s">
        <v>368</v>
      </c>
      <c r="F4" s="3" t="s">
        <v>369</v>
      </c>
      <c r="G4" s="3" t="s">
        <v>251</v>
      </c>
      <c r="H4" s="3" t="s">
        <v>370</v>
      </c>
      <c r="I4" s="3" t="s">
        <v>371</v>
      </c>
      <c r="J4" s="3" t="s">
        <v>65</v>
      </c>
    </row>
    <row r="5">
      <c r="A5" s="4" t="s">
        <v>372</v>
      </c>
      <c r="B5" s="4" t="s">
        <v>10</v>
      </c>
      <c r="C5" s="4" t="s">
        <v>68</v>
      </c>
      <c r="D5" s="4" t="s">
        <v>373</v>
      </c>
      <c r="E5" s="4" t="s">
        <v>374</v>
      </c>
      <c r="F5" s="4" t="s">
        <v>375</v>
      </c>
      <c r="G5" s="4" t="s">
        <v>376</v>
      </c>
      <c r="H5" s="4" t="s">
        <v>377</v>
      </c>
      <c r="I5" s="4" t="s">
        <v>378</v>
      </c>
      <c r="J5" s="5">
        <v>46219.0</v>
      </c>
    </row>
    <row r="6">
      <c r="A6" s="4" t="s">
        <v>379</v>
      </c>
      <c r="B6" s="4" t="s">
        <v>10</v>
      </c>
      <c r="C6" s="4" t="s">
        <v>84</v>
      </c>
      <c r="D6" s="4" t="s">
        <v>380</v>
      </c>
      <c r="E6" s="4" t="s">
        <v>381</v>
      </c>
      <c r="F6" s="4" t="s">
        <v>382</v>
      </c>
      <c r="G6" s="4" t="s">
        <v>376</v>
      </c>
      <c r="H6" s="4" t="s">
        <v>377</v>
      </c>
      <c r="I6" s="4" t="s">
        <v>383</v>
      </c>
      <c r="J6" s="5">
        <v>46219.0</v>
      </c>
    </row>
    <row r="7">
      <c r="A7" s="4" t="s">
        <v>384</v>
      </c>
      <c r="B7" s="4" t="s">
        <v>10</v>
      </c>
      <c r="C7" s="4" t="s">
        <v>211</v>
      </c>
      <c r="D7" s="4" t="s">
        <v>385</v>
      </c>
      <c r="E7" s="4" t="s">
        <v>386</v>
      </c>
      <c r="F7" s="4" t="s">
        <v>387</v>
      </c>
      <c r="G7" s="4" t="s">
        <v>388</v>
      </c>
      <c r="H7" s="4" t="s">
        <v>389</v>
      </c>
      <c r="I7" s="4" t="s">
        <v>390</v>
      </c>
      <c r="J7" s="5">
        <v>46219.0</v>
      </c>
    </row>
    <row r="8">
      <c r="A8" s="4" t="s">
        <v>391</v>
      </c>
      <c r="B8" s="4" t="s">
        <v>10</v>
      </c>
      <c r="C8" s="4" t="s">
        <v>223</v>
      </c>
      <c r="D8" s="4" t="s">
        <v>373</v>
      </c>
      <c r="E8" s="4" t="s">
        <v>386</v>
      </c>
      <c r="F8" s="4" t="s">
        <v>392</v>
      </c>
      <c r="G8" s="4" t="s">
        <v>114</v>
      </c>
      <c r="H8" s="4" t="s">
        <v>389</v>
      </c>
      <c r="I8" s="4" t="s">
        <v>393</v>
      </c>
      <c r="J8" s="5">
        <v>46219.0</v>
      </c>
    </row>
    <row r="9">
      <c r="A9" s="4" t="s">
        <v>394</v>
      </c>
      <c r="B9" s="4" t="s">
        <v>10</v>
      </c>
      <c r="C9" s="4" t="s">
        <v>230</v>
      </c>
      <c r="D9" s="4" t="s">
        <v>373</v>
      </c>
      <c r="E9" s="4" t="s">
        <v>386</v>
      </c>
      <c r="F9" s="4" t="s">
        <v>392</v>
      </c>
      <c r="G9" s="4" t="s">
        <v>114</v>
      </c>
      <c r="H9" s="4" t="s">
        <v>389</v>
      </c>
      <c r="I9" s="4" t="s">
        <v>393</v>
      </c>
      <c r="J9" s="5">
        <v>46219.0</v>
      </c>
    </row>
    <row r="10">
      <c r="A10" s="4" t="s">
        <v>395</v>
      </c>
      <c r="B10" s="4" t="s">
        <v>10</v>
      </c>
      <c r="C10" s="4" t="s">
        <v>236</v>
      </c>
      <c r="D10" s="4" t="s">
        <v>396</v>
      </c>
      <c r="E10" s="4" t="s">
        <v>386</v>
      </c>
      <c r="F10" s="4" t="s">
        <v>392</v>
      </c>
      <c r="G10" s="4" t="s">
        <v>114</v>
      </c>
      <c r="H10" s="4" t="s">
        <v>389</v>
      </c>
      <c r="I10" s="4" t="s">
        <v>393</v>
      </c>
      <c r="J10" s="5">
        <v>46219.0</v>
      </c>
    </row>
    <row r="11">
      <c r="A11" s="4" t="s">
        <v>397</v>
      </c>
      <c r="B11" s="4" t="s">
        <v>312</v>
      </c>
      <c r="C11" s="4" t="s">
        <v>313</v>
      </c>
      <c r="D11" s="4" t="s">
        <v>380</v>
      </c>
      <c r="E11" s="4" t="s">
        <v>381</v>
      </c>
      <c r="F11" s="4" t="s">
        <v>398</v>
      </c>
      <c r="G11" s="4" t="s">
        <v>376</v>
      </c>
      <c r="H11" s="4" t="s">
        <v>377</v>
      </c>
      <c r="I11" s="4" t="s">
        <v>399</v>
      </c>
      <c r="J11" s="5">
        <v>46219.0</v>
      </c>
    </row>
    <row r="12">
      <c r="A12" s="7" t="s">
        <v>400</v>
      </c>
      <c r="B12" s="7" t="s">
        <v>10</v>
      </c>
      <c r="C12" s="7" t="s">
        <v>401</v>
      </c>
      <c r="D12" s="7" t="s">
        <v>402</v>
      </c>
      <c r="E12" s="7" t="s">
        <v>403</v>
      </c>
      <c r="F12" s="7" t="s">
        <v>404</v>
      </c>
      <c r="G12" s="7" t="s">
        <v>114</v>
      </c>
      <c r="H12" s="7" t="s">
        <v>405</v>
      </c>
      <c r="I12" s="7" t="s">
        <v>406</v>
      </c>
      <c r="J12" s="10" t="s">
        <v>143</v>
      </c>
    </row>
    <row r="13">
      <c r="A13" s="7" t="s">
        <v>407</v>
      </c>
      <c r="B13" s="7" t="s">
        <v>10</v>
      </c>
      <c r="C13" s="7" t="s">
        <v>408</v>
      </c>
      <c r="D13" s="7" t="s">
        <v>409</v>
      </c>
      <c r="E13" s="7" t="s">
        <v>410</v>
      </c>
      <c r="F13" s="7" t="s">
        <v>411</v>
      </c>
      <c r="G13" s="7" t="s">
        <v>114</v>
      </c>
      <c r="H13" s="7" t="s">
        <v>412</v>
      </c>
      <c r="I13" s="7" t="s">
        <v>413</v>
      </c>
      <c r="J13" s="16" t="s">
        <v>143</v>
      </c>
    </row>
    <row r="14">
      <c r="A14" s="7" t="s">
        <v>414</v>
      </c>
      <c r="B14" s="7" t="s">
        <v>10</v>
      </c>
      <c r="C14" s="7" t="s">
        <v>415</v>
      </c>
      <c r="D14" s="7" t="s">
        <v>416</v>
      </c>
      <c r="E14" s="7" t="s">
        <v>410</v>
      </c>
      <c r="F14" s="7" t="s">
        <v>417</v>
      </c>
      <c r="G14" s="7" t="s">
        <v>114</v>
      </c>
      <c r="H14" s="7" t="s">
        <v>418</v>
      </c>
      <c r="I14" s="7" t="s">
        <v>419</v>
      </c>
      <c r="J14" s="16" t="s">
        <v>143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conditionalFormatting sqref="G5:G1000">
    <cfRule type="containsText" dxfId="0" priority="1" operator="containsText" text="Action required">
      <formula>NOT(ISERROR(SEARCH(("Action required"),(G5))))</formula>
    </cfRule>
  </conditionalFormatting>
  <conditionalFormatting sqref="G5:G1000">
    <cfRule type="containsText" dxfId="1" priority="2" operator="containsText" text="Preview-ready">
      <formula>NOT(ISERROR(SEARCH(("Preview-ready"),(G5))))</formula>
    </cfRule>
  </conditionalFormatting>
  <conditionalFormatting sqref="G5:G1000">
    <cfRule type="containsText" dxfId="2" priority="3" operator="containsText" text="Locked reference">
      <formula>NOT(ISERROR(SEARCH(("Locked reference"),(G5))))</formula>
    </cfRule>
  </conditionalFormatting>
  <conditionalFormatting sqref="G5:G1000">
    <cfRule type="containsText" dxfId="3" priority="4" operator="containsText" text="Pass">
      <formula>NOT(ISERROR(SEARCH(("Pass"),(G5))))</formula>
    </cfRule>
  </conditionalFormatting>
  <conditionalFormatting sqref="G5:G1000">
    <cfRule type="containsText" dxfId="4" priority="5" operator="containsText" text="Missing">
      <formula>NOT(ISERROR(SEARCH(("Missing"),(G5))))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6.0"/>
    <col customWidth="1" min="2" max="2" width="20.0"/>
    <col customWidth="1" min="3" max="3" width="24.0"/>
    <col customWidth="1" min="4" max="4" width="18.0"/>
    <col customWidth="1" min="5" max="5" width="24.0"/>
    <col customWidth="1" min="6" max="6" width="80.0"/>
    <col customWidth="1" min="7" max="26" width="8.63"/>
  </cols>
  <sheetData>
    <row r="1" ht="25.5" customHeight="1">
      <c r="A1" s="1" t="s">
        <v>420</v>
      </c>
    </row>
    <row r="2" ht="33.75" customHeight="1">
      <c r="A2" s="2" t="s">
        <v>421</v>
      </c>
    </row>
    <row r="4">
      <c r="A4" s="3" t="s">
        <v>55</v>
      </c>
      <c r="B4" s="3" t="s">
        <v>26</v>
      </c>
      <c r="C4" s="3" t="s">
        <v>422</v>
      </c>
      <c r="D4" s="3" t="s">
        <v>9</v>
      </c>
      <c r="E4" s="3" t="s">
        <v>423</v>
      </c>
      <c r="F4" s="3" t="s">
        <v>424</v>
      </c>
    </row>
    <row r="5">
      <c r="A5" s="4" t="s">
        <v>263</v>
      </c>
      <c r="B5" s="4" t="s">
        <v>105</v>
      </c>
      <c r="C5" s="4" t="s">
        <v>75</v>
      </c>
      <c r="D5" s="4" t="s">
        <v>10</v>
      </c>
      <c r="E5" s="4" t="s">
        <v>425</v>
      </c>
      <c r="F5" s="4" t="s">
        <v>426</v>
      </c>
    </row>
    <row r="6">
      <c r="A6" s="4" t="s">
        <v>74</v>
      </c>
      <c r="B6" s="4" t="s">
        <v>78</v>
      </c>
      <c r="C6" s="4" t="s">
        <v>103</v>
      </c>
      <c r="D6" s="4" t="s">
        <v>312</v>
      </c>
      <c r="E6" s="4"/>
      <c r="F6" s="4"/>
    </row>
    <row r="7">
      <c r="A7" s="4" t="s">
        <v>89</v>
      </c>
      <c r="B7" s="4" t="s">
        <v>358</v>
      </c>
      <c r="C7" s="4" t="s">
        <v>427</v>
      </c>
      <c r="D7" s="4" t="s">
        <v>428</v>
      </c>
      <c r="E7" s="4"/>
      <c r="F7" s="4"/>
    </row>
    <row r="8">
      <c r="A8" s="4" t="s">
        <v>102</v>
      </c>
      <c r="B8" s="4"/>
      <c r="C8" s="4" t="s">
        <v>104</v>
      </c>
      <c r="D8" s="4"/>
      <c r="E8" s="4"/>
      <c r="F8" s="4"/>
    </row>
    <row r="9">
      <c r="A9" s="4" t="s">
        <v>114</v>
      </c>
      <c r="B9" s="4"/>
      <c r="C9" s="4" t="s">
        <v>429</v>
      </c>
      <c r="D9" s="4"/>
      <c r="E9" s="4"/>
      <c r="F9" s="4"/>
    </row>
    <row r="10">
      <c r="A10" s="4" t="s">
        <v>430</v>
      </c>
      <c r="B10" s="4"/>
      <c r="C10" s="4" t="s">
        <v>431</v>
      </c>
      <c r="D10" s="4"/>
      <c r="E10" s="4"/>
      <c r="F10" s="4"/>
    </row>
    <row r="11">
      <c r="A11" s="4"/>
      <c r="B11" s="4"/>
      <c r="C11" s="4"/>
      <c r="D11" s="4"/>
      <c r="E11" s="4"/>
      <c r="F11" s="4"/>
    </row>
    <row r="12">
      <c r="A12" s="4"/>
      <c r="B12" s="4"/>
      <c r="C12" s="4"/>
      <c r="D12" s="4"/>
      <c r="E12" s="4"/>
      <c r="F12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