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urriculum Map" sheetId="2" r:id="rId6"/>
    <sheet state="visible" name="Stepping Stones" sheetId="3" r:id="rId7"/>
    <sheet state="visible" name="Qualification Overlays" sheetId="4" r:id="rId8"/>
    <sheet state="visible" name="Cornerstone Map" sheetId="5" r:id="rId9"/>
    <sheet state="visible" name="Interactive Tools" sheetId="6" r:id="rId10"/>
    <sheet state="visible" name="Portfolio &amp; Mastery" sheetId="7" r:id="rId11"/>
    <sheet state="visible" name="Build Tracker" sheetId="8" r:id="rId12"/>
    <sheet state="visible" name="Sources &amp; Notes" sheetId="9" r:id="rId13"/>
  </sheets>
  <definedNames/>
  <calcPr/>
</workbook>
</file>

<file path=xl/sharedStrings.xml><?xml version="1.0" encoding="utf-8"?>
<sst xmlns="http://schemas.openxmlformats.org/spreadsheetml/2006/main" count="12467" uniqueCount="2364">
  <si>
    <t>NEO Mathematics Curriculum Vault Map — Pathways v0.2</t>
  </si>
  <si>
    <t>A navigable curriculum organised by pathway, internal stage, mathematical strand, inquiry, Cornerstones, learner-owned evidence, Mastery and qualification overlays.</t>
  </si>
  <si>
    <t>Curriculum KPI</t>
  </si>
  <si>
    <t>Value</t>
  </si>
  <si>
    <t>Pathway</t>
  </si>
  <si>
    <t>Unit Count</t>
  </si>
  <si>
    <t>% of Map</t>
  </si>
  <si>
    <t>Curriculum Role</t>
  </si>
  <si>
    <t>How to Use This Workbook</t>
  </si>
  <si>
    <t>Mapped units</t>
  </si>
  <si>
    <t>Foundations</t>
  </si>
  <si>
    <t>Entry, reconnection, core relationships and applied routes</t>
  </si>
  <si>
    <t>1</t>
  </si>
  <si>
    <t>Curriculum Map</t>
  </si>
  <si>
    <t>Filter by Pathway, Strand, Cornerstone or Build Status.</t>
  </si>
  <si>
    <t>Canonical Stepping Stones</t>
  </si>
  <si>
    <t>Intermediate</t>
  </si>
  <si>
    <t>IGCSE canonical spine, synthesis and qualification navigation</t>
  </si>
  <si>
    <t>2</t>
  </si>
  <si>
    <t>Stepping Stones</t>
  </si>
  <si>
    <t>Use the unique IDs as canonical curriculum nodes and evidence tags.</t>
  </si>
  <si>
    <t>Qualification overlay links</t>
  </si>
  <si>
    <t>Advanced</t>
  </si>
  <si>
    <t>Future A-Level pathway; not yet mapped</t>
  </si>
  <si>
    <t>3</t>
  </si>
  <si>
    <t>Qualification Overlays</t>
  </si>
  <si>
    <t>Audit how NC KS3, 4MA1 and Functional Skills assess canonical learning.</t>
  </si>
  <si>
    <t>Locked reference prototypes</t>
  </si>
  <si>
    <t>4</t>
  </si>
  <si>
    <t>Cornerstone Map</t>
  </si>
  <si>
    <t>Audit design fit and check that Nutrition is not being forced.</t>
  </si>
  <si>
    <t>5</t>
  </si>
  <si>
    <t>Interactive Tools</t>
  </si>
  <si>
    <t>Prioritise reusable tool families before authoring 68 separate apps.</t>
  </si>
  <si>
    <t>6</t>
  </si>
  <si>
    <t>Portfolio &amp; Mastery</t>
  </si>
  <si>
    <t>Attach learner-owned evidence and outcome-level Mastery judgements.</t>
  </si>
  <si>
    <t>Locked Architecture</t>
  </si>
  <si>
    <t>Functional &amp; Applied Mathematics</t>
  </si>
  <si>
    <t>Practical route alongside or towards iGCSE</t>
  </si>
  <si>
    <t>7</t>
  </si>
  <si>
    <t>Build Tracker</t>
  </si>
  <si>
    <t>Move each unit from map → tool → HTML → guides → review → lock.</t>
  </si>
  <si>
    <t>Curriculum Spine × Overlay</t>
  </si>
  <si>
    <t>Canonical NEO mathematics is taught first; external specifications map onto it.</t>
  </si>
  <si>
    <t>8</t>
  </si>
  <si>
    <t>Sources &amp; Notes</t>
  </si>
  <si>
    <t>Check authority, URLs, assumptions and annual-review triggers.</t>
  </si>
  <si>
    <t>Learner-facing progression language and canonical outcome nodes.</t>
  </si>
  <si>
    <t>Cornerstones</t>
  </si>
  <si>
    <t>Connection, Movement, Creativity, Reflection, Rest and Nutrition as design lenses.</t>
  </si>
  <si>
    <t>Primary Cornerstone</t>
  </si>
  <si>
    <t>Mapped Units</t>
  </si>
  <si>
    <t>Design Note</t>
  </si>
  <si>
    <t>Inquiry rhythm</t>
  </si>
  <si>
    <t>Predict → Sketch → Test → Notice → Revise.</t>
  </si>
  <si>
    <t>Connection</t>
  </si>
  <si>
    <t>Make mathematical relationships and human dialogue visible.</t>
  </si>
  <si>
    <t>Lesson package</t>
  </si>
  <si>
    <t>Interactive Lesson + Practice Companion + Final Portfolio Task + Learner Guide + Supporting Adult Guidance.</t>
  </si>
  <si>
    <t>Movement</t>
  </si>
  <si>
    <t>Treat mathematical ideas as dynamic; trace change or movement.</t>
  </si>
  <si>
    <t>Scratchpad</t>
  </si>
  <si>
    <t>Embedded in-page NEO Maths Scratchpad; no external whiteboard URL required.</t>
  </si>
  <si>
    <t>Creativity</t>
  </si>
  <si>
    <t>Invite conjecture, multiple routes, making and model-building.</t>
  </si>
  <si>
    <t>Mastery</t>
  </si>
  <si>
    <t>Emerging → Developing → Secure → Mastering, judged per outcome demonstration.</t>
  </si>
  <si>
    <t>Reflection</t>
  </si>
  <si>
    <t>Surface reasoning, misconceptions, proof and metacognition.</t>
  </si>
  <si>
    <t>Rest</t>
  </si>
  <si>
    <t>Chunk, regulate sensory load and protect the right to pause.</t>
  </si>
  <si>
    <t>Nutrition</t>
  </si>
  <si>
    <t>Use food/body/health/sustainability contexts only where genuine.</t>
  </si>
  <si>
    <t>NEO Mathematics Curriculum Map — Pathways</t>
  </si>
  <si>
    <t>Canonical Curriculum Spine × Qualification Overlay. Pathway is learner-facing; Internal Stage remains planning metadata.</t>
  </si>
  <si>
    <t>Unit ID</t>
  </si>
  <si>
    <t>Internal Stage</t>
  </si>
  <si>
    <t>Sequence</t>
  </si>
  <si>
    <t>Mathematical Strand</t>
  </si>
  <si>
    <t>Unit Title</t>
  </si>
  <si>
    <t>Driving Question</t>
  </si>
  <si>
    <t>Secondary Cornerstone(s)</t>
  </si>
  <si>
    <t>Cornerstone Fit</t>
  </si>
  <si>
    <t>Interactive Inquiry Tool</t>
  </si>
  <si>
    <t>Scratchpad Template</t>
  </si>
  <si>
    <t>Portfolio Evidence</t>
  </si>
  <si>
    <t>Qualification Overlay</t>
  </si>
  <si>
    <t>Overlay Reference</t>
  </si>
  <si>
    <t>Suggested Mode(s)</t>
  </si>
  <si>
    <t>Sensory / Cognitive Load</t>
  </si>
  <si>
    <t>Prerequisite Connections</t>
  </si>
  <si>
    <t>Next Connections</t>
  </si>
  <si>
    <t>Current Status</t>
  </si>
  <si>
    <t>Curriculum Design Note</t>
  </si>
  <si>
    <t>Evidence / Live Count</t>
  </si>
  <si>
    <t>GreenPrint Version</t>
  </si>
  <si>
    <t>NEO-MATH-DISC-01</t>
  </si>
  <si>
    <t>Flexible entry</t>
  </si>
  <si>
    <t>Self-Regulated Mathematical Learning</t>
  </si>
  <si>
    <t>Finding My Maths Starting Point</t>
  </si>
  <si>
    <t>What happens when maths begins with what I already notice?</t>
  </si>
  <si>
    <t>notice mathematical strengths; try different representations; use support tools; explain what helps; choose a next Stepping Stone</t>
  </si>
  <si>
    <t>Reflection, Rest</t>
  </si>
  <si>
    <t>Strong</t>
  </si>
  <si>
    <t>Maths Route Finder: visual, numerical and contextual mini-challenges</t>
  </si>
  <si>
    <t>Blank / Square grid</t>
  </si>
  <si>
    <t>My Maths Map: strengths, supports and next steps</t>
  </si>
  <si>
    <t>NEO canonical; diagnostic bridge</t>
  </si>
  <si>
    <t>Not an awarding-body unit; informs pathway entry</t>
  </si>
  <si>
    <t>Live, Asynchronous, Independent</t>
  </si>
  <si>
    <t>Low; choice-rich, no timed score</t>
  </si>
  <si>
    <t>None</t>
  </si>
  <si>
    <t>Place value; calculation; FDP; applied routes</t>
  </si>
  <si>
    <t>Mapped / not yet built</t>
  </si>
  <si>
    <t>Canonical unit; lesson sequence to be authored from mapped Stepping Stones.</t>
  </si>
  <si>
    <t>Curriculum map evidence only</t>
  </si>
  <si>
    <t>GreenPrint v1.1 / map v0.2</t>
  </si>
  <si>
    <t>NEO-MATH-DISC-02</t>
  </si>
  <si>
    <t>Number Sense</t>
  </si>
  <si>
    <t>Numbers I Can Trust</t>
  </si>
  <si>
    <t>How can I make a number less crowded?</t>
  </si>
  <si>
    <t>read and compare integers and decimals; use place value; locate zero; estimate; check reasonableness</t>
  </si>
  <si>
    <t>Connection, Reflection</t>
  </si>
  <si>
    <t>Place-Value Magnifier and Number Line Zoom</t>
  </si>
  <si>
    <t>Square grid</t>
  </si>
  <si>
    <t>Annotated Number Confidence Card</t>
  </si>
  <si>
    <t>NC KS3 Number; FS L1/L2</t>
  </si>
  <si>
    <t>NC KS3 Number; FS L1 1-3,10-12; FS L2 1-2,9-10</t>
  </si>
  <si>
    <t>Low-Moderate; one digit/interval at a time</t>
  </si>
  <si>
    <t>Maths Route Finder</t>
  </si>
  <si>
    <t>Operations and equivalence</t>
  </si>
  <si>
    <t>Prototype — header update required</t>
  </si>
  <si>
    <t>Place Value migrated v0.6 + two guidance PDFs</t>
  </si>
  <si>
    <t>NEO-MATH-DISC-03</t>
  </si>
  <si>
    <t>Operations as Choices</t>
  </si>
  <si>
    <t>Is there more than one sensible way to calculate?</t>
  </si>
  <si>
    <t>select a calculation strategy; use inverse operations; follow operation order; estimate first; explain a method choice</t>
  </si>
  <si>
    <t>Strategy Switcher: compare mental, written and calculator routes</t>
  </si>
  <si>
    <t>Blank</t>
  </si>
  <si>
    <t>My Best Method Guide</t>
  </si>
  <si>
    <t>NC KS3 Working Mathematically; FS L1/L2</t>
  </si>
  <si>
    <t>NC KS3 fluency/problem solving; FS L1 4,7,15; FS L2 2,12</t>
  </si>
  <si>
    <t>Moderate; method menu reduces overload</t>
  </si>
  <si>
    <t>Place value</t>
  </si>
  <si>
    <t>Fractions, percentages and algebra</t>
  </si>
  <si>
    <t>NEO-MATH-DISC-04</t>
  </si>
  <si>
    <t>Proportional Reasoning</t>
  </si>
  <si>
    <t>Fractions, Decimals and Percentages as One Family</t>
  </si>
  <si>
    <t>Can three different-looking numbers mean the same amount?</t>
  </si>
  <si>
    <t>recognise common equivalences; compare FDP; convert representations; find fractions and percentages of quantities; choose a helpful representation</t>
  </si>
  <si>
    <t>Creativity, Reflection</t>
  </si>
  <si>
    <t>FDP Representation Carousel</t>
  </si>
  <si>
    <t>Double number line</t>
  </si>
  <si>
    <t>Equivalence Gallery</t>
  </si>
  <si>
    <t>NC KS3 Number/Ratio; FS L1/L2</t>
  </si>
  <si>
    <t>NC KS3 Number and Ratio; FS L1 8-17; FS L2 4-10</t>
  </si>
  <si>
    <t>Moderate; representation choice</t>
  </si>
  <si>
    <t>Operations</t>
  </si>
  <si>
    <t>Ratio and percentage change</t>
  </si>
  <si>
    <t>NEO-MATH-DISC-05</t>
  </si>
  <si>
    <t>Structure &amp; Generalisation</t>
  </si>
  <si>
    <t>Patterns Before Letters</t>
  </si>
  <si>
    <t>Can a pattern explain itself before we use algebra?</t>
  </si>
  <si>
    <t>continue sequences; describe a rule; use a variable; substitute values; create and test a conjecture</t>
  </si>
  <si>
    <t>Pattern Machine and Rule Builder</t>
  </si>
  <si>
    <t>Pattern Rule Card with examples and non-examples</t>
  </si>
  <si>
    <t>NC KS3 Algebra; FS L1/L2 bridge</t>
  </si>
  <si>
    <t>NC KS3 Algebra; FS L1 5; FS L2 3</t>
  </si>
  <si>
    <t>Low-Moderate; visual-first</t>
  </si>
  <si>
    <t>Algebraic expressions and equations</t>
  </si>
  <si>
    <t>NEO-MATH-DISC-06</t>
  </si>
  <si>
    <t>Spatial Reasoning</t>
  </si>
  <si>
    <t>Shape, Space and Measure Around Me</t>
  </si>
  <si>
    <t>How much geometry is hiding in an ordinary room?</t>
  </si>
  <si>
    <t>recognise angle and shape properties; measure accurately; calculate simple perimeter and area; use units; explain a spatial decision</t>
  </si>
  <si>
    <t>Connection, Creativity</t>
  </si>
  <si>
    <t>Room Geometry Explorer</t>
  </si>
  <si>
    <t>Annotated Space Audit</t>
  </si>
  <si>
    <t>NC KS3 Geometry; FS L1/L2</t>
  </si>
  <si>
    <t>NC KS3 Geometry/Measures; FS L1 20-26; FS L2 14-22</t>
  </si>
  <si>
    <t>Moderate; optional off-screen movement</t>
  </si>
  <si>
    <t>Number confidence</t>
  </si>
  <si>
    <t>Scale, constructions and modelling</t>
  </si>
  <si>
    <t>NEO-MATH-DISC-07</t>
  </si>
  <si>
    <t>Data &amp; Uncertainty</t>
  </si>
  <si>
    <t>What Can Data Really Tell Me?</t>
  </si>
  <si>
    <t>When should I trust a chart, average or probability claim?</t>
  </si>
  <si>
    <t>read tables and charts; choose an average; recognise range; use probability language; ask what data cannot show</t>
  </si>
  <si>
    <t>Claim–Evidence Data Detective</t>
  </si>
  <si>
    <t>One-Page Data Claim Review</t>
  </si>
  <si>
    <t>NC KS3 Statistics/Probability; FS L1/L2</t>
  </si>
  <si>
    <t>NC KS3 Statistics/Probability; FS L1 27-31; FS L2 23-28</t>
  </si>
  <si>
    <t>Moderate; one claim at a time</t>
  </si>
  <si>
    <t>Statistical enquiry and probability models</t>
  </si>
  <si>
    <t>NEO-MATH-DISC-08</t>
  </si>
  <si>
    <t>Financial &amp; Applied Reasoning</t>
  </si>
  <si>
    <t>Maths for a Real Decision</t>
  </si>
  <si>
    <t>Can I use maths to make one decision that matters to me?</t>
  </si>
  <si>
    <t>identify needed information; choose operations; estimate; calculate; interpret an answer; explain a decision and limitation</t>
  </si>
  <si>
    <t>Creativity, Reflection, Nutrition</t>
  </si>
  <si>
    <t>Decision Model Builder</t>
  </si>
  <si>
    <t>Personal Applied Maths Decision Card</t>
  </si>
  <si>
    <t>FS L1/L2; NEO canonical</t>
  </si>
  <si>
    <t>FS problem solving and decision making; pathway bridge</t>
  </si>
  <si>
    <t>Variable; learner chooses context</t>
  </si>
  <si>
    <t>Any Discovery unit</t>
  </si>
  <si>
    <t>Year-group or Functional pathway</t>
  </si>
  <si>
    <t>NEO-MATH-Y7-01</t>
  </si>
  <si>
    <t>Year 7</t>
  </si>
  <si>
    <t>How Much Is a Digit Worth?</t>
  </si>
  <si>
    <t>Can the same digit represent completely different amounts?</t>
  </si>
  <si>
    <t>use place value with integers and decimals; explain tenfold relationships; use placeholder zero; partition numbers; move between representations</t>
  </si>
  <si>
    <t>Rest, Reflection</t>
  </si>
  <si>
    <t>Place-Value Magnifier + Digit Detective</t>
  </si>
  <si>
    <t>Place-Value Exhibition</t>
  </si>
  <si>
    <t>NC KS3</t>
  </si>
  <si>
    <t>KS3 Number / Working Mathematically</t>
  </si>
  <si>
    <t>Low-Moderate; isolate one digit</t>
  </si>
  <si>
    <t>Discovery number confidence or KS2 place value</t>
  </si>
  <si>
    <t>Estimation, integers and operations</t>
  </si>
  <si>
    <t>Reference prototype architecture</t>
  </si>
  <si>
    <t>NEO-MATH-Y7-02</t>
  </si>
  <si>
    <t>Calculations That Make Sense</t>
  </si>
  <si>
    <t>How can an estimate protect me from a convincing wrong answer?</t>
  </si>
  <si>
    <t>use four operations; follow operation order; estimate; use inverse operations; calculate with directed numbers; check reasonableness</t>
  </si>
  <si>
    <t>Rest, Creativity</t>
  </si>
  <si>
    <t>Estimate–Calculate–Check Lab</t>
  </si>
  <si>
    <t>Error-Proof Calculation Guide</t>
  </si>
  <si>
    <t>NC KS3; FS L1/L2</t>
  </si>
  <si>
    <t>KS3 Number; FS L1 2-7,15; FS L2 1-2,12</t>
  </si>
  <si>
    <t>Moderate</t>
  </si>
  <si>
    <t>Factors, multiples and algebra</t>
  </si>
  <si>
    <t>NEO-MATH-Y7-03</t>
  </si>
  <si>
    <t>Patterns, Factors and Hidden Structure</t>
  </si>
  <si>
    <t>What do numbers reveal when we organise them differently?</t>
  </si>
  <si>
    <t>identify factors and multiples; recognise primes; find HCF/LCM; use powers; generalise patterns; test conjectures</t>
  </si>
  <si>
    <t>Factor Web + Pattern Lock Builder</t>
  </si>
  <si>
    <t>Number Structure Museum Card</t>
  </si>
  <si>
    <t>KS3 Number and Algebra</t>
  </si>
  <si>
    <t>Algebraic expressions and sequences</t>
  </si>
  <si>
    <t>NEO-MATH-Y7-04</t>
  </si>
  <si>
    <t>One Amount, Three Languages</t>
  </si>
  <si>
    <t>How can fractions, decimals and percentages describe the same share?</t>
  </si>
  <si>
    <t>simplify fractions; find equivalent fractions; convert FDP; compare FDP; calculate fractions and percentages of amounts; explain representation choice</t>
  </si>
  <si>
    <t>FDP Converter with Bar/Line Toggle</t>
  </si>
  <si>
    <t>FDP Translation Guide</t>
  </si>
  <si>
    <t>KS3 Number/Ratio; FS L1 8-17; FS L2 4-10</t>
  </si>
  <si>
    <t>Number operations</t>
  </si>
  <si>
    <t>Ratio and proportion</t>
  </si>
  <si>
    <t>NEO-MATH-Y7-05</t>
  </si>
  <si>
    <t>Angles Tell Us Why</t>
  </si>
  <si>
    <t>Can a diagram prove more than it first shows?</t>
  </si>
  <si>
    <t>use angle facts; identify triangle and quadrilateral properties; justify missing angles; use precise notation; construct because–therefore chains</t>
  </si>
  <si>
    <t>Connection, Movement</t>
  </si>
  <si>
    <t>Angle Constraint Explorer</t>
  </si>
  <si>
    <t>Annotated Angle Proof Trail</t>
  </si>
  <si>
    <t>KS3 Geometry and Measures</t>
  </si>
  <si>
    <t>Moderate; diagram declutter option</t>
  </si>
  <si>
    <t>Polygons, parallel lines and constructions</t>
  </si>
  <si>
    <t>NEO-MATH-Y7-06</t>
  </si>
  <si>
    <t>Perimeter and Area: Same Shape Story?</t>
  </si>
  <si>
    <t>Can two shapes use the same boundary but hold different space?</t>
  </si>
  <si>
    <t>distinguish perimeter and area; derive/use area formulae; calculate composite perimeter/area; convert metric units; justify design choices</t>
  </si>
  <si>
    <t>Movement, Reflection</t>
  </si>
  <si>
    <t>Fixed-Perimeter Shape Designer</t>
  </si>
  <si>
    <t>Floorplan Redesign</t>
  </si>
  <si>
    <t>KS3 Geometry/Measures; FS L1 20,22; FS L2 16</t>
  </si>
  <si>
    <t>Angle and shape properties</t>
  </si>
  <si>
    <t>Circles, volume and scale</t>
  </si>
  <si>
    <t>NEO-MATH-Y7-07</t>
  </si>
  <si>
    <t>Relationships That Scale</t>
  </si>
  <si>
    <t>How can relationships stay the same when quantities change?</t>
  </si>
  <si>
    <t>use ratio notation; simplify ratios; distinguish part-part and part-whole; use scale factors; share in a ratio; explain multiplicative relationships</t>
  </si>
  <si>
    <t>Movement, Reflection; Nutrition contextual</t>
  </si>
  <si>
    <t>Recipe Scaler + Ratio Table Builder</t>
  </si>
  <si>
    <t>Ratio table / Double number line</t>
  </si>
  <si>
    <t>Smoothie Ratio Portfolio Piece or alternative scaling model</t>
  </si>
  <si>
    <t>NC KS3; 4MA1 bridge; FS L1/L2</t>
  </si>
  <si>
    <t>KS3 Ratio and Proportion; 4MA1 1.7; FS L1 17; FS L2 11</t>
  </si>
  <si>
    <t>Moderate; multiplier first</t>
  </si>
  <si>
    <t>FDP</t>
  </si>
  <si>
    <t>Rates, direct proportion and similarity</t>
  </si>
  <si>
    <t>NEO-MATH-Y7-08</t>
  </si>
  <si>
    <t>Change &amp; Functions</t>
  </si>
  <si>
    <t>Coordinates and Moves</t>
  </si>
  <si>
    <t>Can a shape change position without changing who it is?</t>
  </si>
  <si>
    <t>plot coordinates; use four quadrants when ready; describe translations; reflect shapes; connect coordinates to transformations; check invariants</t>
  </si>
  <si>
    <t>Coordinate Move Studio</t>
  </si>
  <si>
    <t>Coordinate grid</t>
  </si>
  <si>
    <t>Transformation Storyboard</t>
  </si>
  <si>
    <t>KS3 Geometry/Algebra</t>
  </si>
  <si>
    <t>Moderate visual load</t>
  </si>
  <si>
    <t>Number line and shapes</t>
  </si>
  <si>
    <t>Linear graphs and transformations</t>
  </si>
  <si>
    <t>NEO-MATH-Y7-09</t>
  </si>
  <si>
    <t>Averages and Fair Shares</t>
  </si>
  <si>
    <t>When is the mean fair—and when is another summary better?</t>
  </si>
  <si>
    <t>calculate mean/median/mode/range; interpret averages; choose a summary; construct and read charts; recognise outliers</t>
  </si>
  <si>
    <t>Reflection, Creativity</t>
  </si>
  <si>
    <t>Average as Fair-Share Simulator</t>
  </si>
  <si>
    <t>Data Summary Recommendation</t>
  </si>
  <si>
    <t>KS3 Statistics; FS L1 27-29; FS L2 23-25</t>
  </si>
  <si>
    <t>FDP and operations</t>
  </si>
  <si>
    <t>Statistical comparison and correlation</t>
  </si>
  <si>
    <t>NEO-MATH-Y7-10</t>
  </si>
  <si>
    <t>Chance, Experiments and Fairness</t>
  </si>
  <si>
    <t>How fair is a game after only ten trials?</t>
  </si>
  <si>
    <t>use probability scale; identify outcomes; calculate simple probabilities; run experiments; compare experimental and theoretical results; discuss sample size</t>
  </si>
  <si>
    <t>Creativity, Connection</t>
  </si>
  <si>
    <t>Probability Experiment Simulator</t>
  </si>
  <si>
    <t>Fair Game Investigation</t>
  </si>
  <si>
    <t>KS3 Probability; FS L1 30-31; FS L2 26-27</t>
  </si>
  <si>
    <t>Moderate; uncertainty explicitly normalised</t>
  </si>
  <si>
    <t>Averages</t>
  </si>
  <si>
    <t>Sample spaces, Venn and tree diagrams</t>
  </si>
  <si>
    <t>NEO-MATH-Y8-01</t>
  </si>
  <si>
    <t>Year 8</t>
  </si>
  <si>
    <t>Percent Change and the Story of Growth</t>
  </si>
  <si>
    <t>Does 10% off and 10% back on return to the same place?</t>
  </si>
  <si>
    <t>calculate percentage increase/decrease; use multipliers informally; find original values in accessible cases; estimate; explain non-reversibility</t>
  </si>
  <si>
    <t>Reflection, Connection</t>
  </si>
  <si>
    <t>Percentage Change Journey</t>
  </si>
  <si>
    <t>Percentage Myth-Buster</t>
  </si>
  <si>
    <t>NC KS3; 4MA1; FS L2</t>
  </si>
  <si>
    <t>KS3 Number/Ratio; 4MA1 1.6; FS L2 5-6,13</t>
  </si>
  <si>
    <t>Compound percentage and financial models</t>
  </si>
  <si>
    <t>NEO-MATH-Y8-02</t>
  </si>
  <si>
    <t>Algebra as a Language of Structure</t>
  </si>
  <si>
    <t>When are two algebraic expressions really saying the same thing?</t>
  </si>
  <si>
    <t>collect like terms; substitute; expand brackets; factorise common factors; use equality; justify equivalent forms</t>
  </si>
  <si>
    <t>Expression Equivalence Lab</t>
  </si>
  <si>
    <t>Algebra Translation Dictionary</t>
  </si>
  <si>
    <t>NC KS3; 4MA1</t>
  </si>
  <si>
    <t>KS3 Algebra; 4MA1 2.1-2.3</t>
  </si>
  <si>
    <t>Patterns and operations</t>
  </si>
  <si>
    <t>Equations and rearranging</t>
  </si>
  <si>
    <t>NEO-MATH-Y8-03</t>
  </si>
  <si>
    <t>Equations: Keeping a Relationship in Balance</t>
  </si>
  <si>
    <t>What can I change without breaking an equation?</t>
  </si>
  <si>
    <t>solve one- and two-step linear equations; use inverse operations; solve with brackets; form equations from contexts; check by substitution</t>
  </si>
  <si>
    <t>Connection, Rest</t>
  </si>
  <si>
    <t>Balance Equation Simulator</t>
  </si>
  <si>
    <t>Equation Repair Portfolio</t>
  </si>
  <si>
    <t>NC KS3; 4MA1; FS L2 bridge</t>
  </si>
  <si>
    <t>KS3 Algebra; 4MA1 2.4</t>
  </si>
  <si>
    <t>Moderate; one transformation per step</t>
  </si>
  <si>
    <t>Algebraic expressions</t>
  </si>
  <si>
    <t>Formulae, inequalities and simultaneous equations</t>
  </si>
  <si>
    <t>NEO-MATH-Y8-04</t>
  </si>
  <si>
    <t>Lines Tell Stories of Change</t>
  </si>
  <si>
    <t>How can mathematics show where something starts and how it changes?</t>
  </si>
  <si>
    <t>connect equations, tables and graphs; interpret gradient; interpret y-intercept; recognise positive/negative/zero gradients; form linear equations; evaluate linear models</t>
  </si>
  <si>
    <t>Connection, Reflection; Creativity contextual</t>
  </si>
  <si>
    <t>Gradient &amp; Intercept Explorer + Representation Matcher + Line Detective</t>
  </si>
  <si>
    <t>Human Graph Story / Linear Model Portfolio Piece</t>
  </si>
  <si>
    <t>NC KS3; Pearson 4MA1 Foundation/Higher</t>
  </si>
  <si>
    <t>KS3 Algebra/Graphs; 4MA1 3.3 H-I and related coordinate graph content</t>
  </si>
  <si>
    <t>Moderate-High visual load; Start–Change–Check</t>
  </si>
  <si>
    <t>Equations and coordinates</t>
  </si>
  <si>
    <t>Simultaneous equations, motion graphs and functions</t>
  </si>
  <si>
    <t>NEO-MATH-Y8-05</t>
  </si>
  <si>
    <t>Sequences: From Steps to Rules</t>
  </si>
  <si>
    <t>Can I predict the 100th step without drawing the first 99?</t>
  </si>
  <si>
    <t>generate arithmetic sequences; find term-to-term rules; find nth terms; use position-to-term rules; compare sequence and graph representations</t>
  </si>
  <si>
    <t>Sequence Machine + Nth-Term Tester</t>
  </si>
  <si>
    <t>Sequence Design Card</t>
  </si>
  <si>
    <t>KS3 Algebra; 4MA1 3.1</t>
  </si>
  <si>
    <t>Patterns and algebra</t>
  </si>
  <si>
    <t>Quadratic sequences and functions</t>
  </si>
  <si>
    <t>NEO-MATH-Y8-06</t>
  </si>
  <si>
    <t>Parallel Lines and Polygon Logic</t>
  </si>
  <si>
    <t>How can one angle unlock a whole diagram?</t>
  </si>
  <si>
    <t>use parallel-line angle facts; derive polygon angle sums; solve multi-step angle problems; justify each step; recognise conditions for rules</t>
  </si>
  <si>
    <t>Angle Chain Explorer</t>
  </si>
  <si>
    <t>Because–Therefore Geometry Proof</t>
  </si>
  <si>
    <t>KS3 Geometry; 4MA1 4.1-4.2,4.7</t>
  </si>
  <si>
    <t>Moderate-High visual; reveal one fact at a time</t>
  </si>
  <si>
    <t>Year 7 angle facts</t>
  </si>
  <si>
    <t>Circle theorems and proof</t>
  </si>
  <si>
    <t>NEO-MATH-Y8-07</t>
  </si>
  <si>
    <t>Circles, Prisms and Packaging</t>
  </si>
  <si>
    <t>How can a formula help us design with less material?</t>
  </si>
  <si>
    <t>use circle vocabulary; calculate circumference/area; find prism/cylinder volume; calculate surface area; convert units; optimise within constraints</t>
  </si>
  <si>
    <t>Connection, Nutrition contextual</t>
  </si>
  <si>
    <t>Packaging Constraint Designer</t>
  </si>
  <si>
    <t>Low-Waste Package Design</t>
  </si>
  <si>
    <t>KS3 Geometry/Measures; 4MA1 4.9-4.10; FS L2 16-17</t>
  </si>
  <si>
    <t>Area and units</t>
  </si>
  <si>
    <t>Similarity, 3D measures and optimisation</t>
  </si>
  <si>
    <t>NEO-MATH-Y8-08</t>
  </si>
  <si>
    <t>Rates, Best Value and Direct Proportion</t>
  </si>
  <si>
    <t>When does ‘more’ actually mean better value?</t>
  </si>
  <si>
    <t>calculate unit rates; use speed/density; solve direct proportion; recognise proportional graphs through origin; compare methods; justify best value</t>
  </si>
  <si>
    <t>Reflection, Nutrition contextual</t>
  </si>
  <si>
    <t>Best-Value Comparator + Proportion Graph</t>
  </si>
  <si>
    <t>Fair Pricing Recommendation</t>
  </si>
  <si>
    <t>NC KS3; 4MA1; FS L1/L2</t>
  </si>
  <si>
    <t>KS3 Ratio/Rates; 4MA1 1.7,4.4; FS L1 17; FS L2 11,15</t>
  </si>
  <si>
    <t>Ratio and percentages</t>
  </si>
  <si>
    <t>Inverse proportion and compound measures</t>
  </si>
  <si>
    <t>Locked reference — header update required</t>
  </si>
  <si>
    <t>Ratio &amp; Proportion Interactive v5 + two guidance PDFs</t>
  </si>
  <si>
    <t>NEO-MATH-Y8-09</t>
  </si>
  <si>
    <t>Comparing Data Without Hiding the Story</t>
  </si>
  <si>
    <t>Can one average speak for a whole group?</t>
  </si>
  <si>
    <t>compare distributions; choose averages/spread; recognise outliers; interpret scatter graphs; distinguish correlation and causation; critique claims</t>
  </si>
  <si>
    <t>Data Claim Comparator</t>
  </si>
  <si>
    <t>Data Claim Infographic with Caveats</t>
  </si>
  <si>
    <t>NC KS3; FS L2</t>
  </si>
  <si>
    <t>KS3 Statistics; FS L2 23-25,28</t>
  </si>
  <si>
    <t>Moderate-High; chart focus mode</t>
  </si>
  <si>
    <t>Year 7 averages</t>
  </si>
  <si>
    <t>Sampling, grouped data and inference</t>
  </si>
  <si>
    <t>NEO-MATH-Y8-10</t>
  </si>
  <si>
    <t>Building Probability Models</t>
  </si>
  <si>
    <t>Can a model of chance be more reliable than a short experiment?</t>
  </si>
  <si>
    <t>enumerate sample spaces; use two-way tables/Venn when appropriate; calculate probabilities; compare theory and experiment; explain fairness</t>
  </si>
  <si>
    <t>Sample-Space Builder + Fairness Tester</t>
  </si>
  <si>
    <t>Probability Model Review</t>
  </si>
  <si>
    <t>KS3 Probability; 4MA1 7.1; FS L2 26-27</t>
  </si>
  <si>
    <t>Simple probability</t>
  </si>
  <si>
    <t>Tree diagrams and dependent events</t>
  </si>
  <si>
    <t>NEO-MATH-Y9-01</t>
  </si>
  <si>
    <t>Year 9</t>
  </si>
  <si>
    <t>Accuracy, Powers and Scale</t>
  </si>
  <si>
    <t>How small or large can a number become before ordinary notation stops helping?</t>
  </si>
  <si>
    <t>round to significant figures; estimate; use index laws; write/order standard form; calculate in standard form; choose sensible accuracy</t>
  </si>
  <si>
    <t>Micro-to-Macro Scale Explorer</t>
  </si>
  <si>
    <t>Scale of the World Investigation</t>
  </si>
  <si>
    <t>NC KS3; 4MA1 Foundation/Higher</t>
  </si>
  <si>
    <t>KS3 Number; 4MA1 1.4,1.8,1.9</t>
  </si>
  <si>
    <t>Powers and place value</t>
  </si>
  <si>
    <t>Bounds, surds and advanced indices</t>
  </si>
  <si>
    <t>NEO-MATH-Y9-02</t>
  </si>
  <si>
    <t>Solids, Cross-Sections and Space</t>
  </si>
  <si>
    <t>How can a 2D slice reveal a 3D object?</t>
  </si>
  <si>
    <t>analyse 2D/3D properties; calculate surface area/volume; use cross-sections; use polygon angles; convert spatial units; reason from nets</t>
  </si>
  <si>
    <t>3D Slice and Net Explorer</t>
  </si>
  <si>
    <t>Shape Passport / Packaging Redesign</t>
  </si>
  <si>
    <t>KS3 Geometry; 4MA1 4.2,4.10; FS L2 17,20-22</t>
  </si>
  <si>
    <t>Moderate-High spatial load</t>
  </si>
  <si>
    <t>Circles, prisms and packaging</t>
  </si>
  <si>
    <t>3D trig and similarity</t>
  </si>
  <si>
    <t>NEO-MATH-Y9-03</t>
  </si>
  <si>
    <t>Quadratics: When Change Itself Changes</t>
  </si>
  <si>
    <t>What kind of pattern appears when the rate of change is not constant?</t>
  </si>
  <si>
    <t>recognise quadratic patterns; use second differences; expand/factorise simple quadratics; plot quadratic graphs; identify turning points; compare transformations</t>
  </si>
  <si>
    <t>Quadratic Shape Shifter</t>
  </si>
  <si>
    <t>Quadratic Graph Story</t>
  </si>
  <si>
    <t>KS3 Algebra/Graphs; 4MA1 2.2,2.7,3.3; Higher extension</t>
  </si>
  <si>
    <t>High visual/algebra load; representation choice</t>
  </si>
  <si>
    <t>Sequences and linear graphs</t>
  </si>
  <si>
    <t>Quadratic equations and functions</t>
  </si>
  <si>
    <t>NEO-MATH-Y9-04</t>
  </si>
  <si>
    <t>Precision, Loci and Safe Routes</t>
  </si>
  <si>
    <t>Can a construction guarantee a fair distance or safe boundary?</t>
  </si>
  <si>
    <t>use ruler/compass constructions; construct bisectors; describe loci; use bearings; interpret scale drawings; justify precision</t>
  </si>
  <si>
    <t>Locus and Safe-Route Planner</t>
  </si>
  <si>
    <t>Safe Route Map with Construction Notes</t>
  </si>
  <si>
    <t>KS3 Geometry; 4MA1 4.4-4.5,4.11; FS L1 21,24-26; FS L2 18-22</t>
  </si>
  <si>
    <t>Moderate; steady-hand alternative digital tool</t>
  </si>
  <si>
    <t>Angle reasoning and scale</t>
  </si>
  <si>
    <t>Geometric proof and trigonometry</t>
  </si>
  <si>
    <t>NEO-MATH-Y9-05</t>
  </si>
  <si>
    <t>Inequalities: Mathematics with Boundaries</t>
  </si>
  <si>
    <t>How can maths describe what is allowed without choosing one exact answer?</t>
  </si>
  <si>
    <t>solve linear inequalities; represent solution sets; use open/closed endpoints; form inequalities; interpret regions; check boundary meaning</t>
  </si>
  <si>
    <t>Inequality Region Painter</t>
  </si>
  <si>
    <t>Constraints Design Brief</t>
  </si>
  <si>
    <t>KS3 Algebra; 4MA1 2.8</t>
  </si>
  <si>
    <t>Moderate-High; one boundary at a time</t>
  </si>
  <si>
    <t>Linear equations</t>
  </si>
  <si>
    <t>Optimisation and advanced algebra</t>
  </si>
  <si>
    <t>NEO-MATH-Y9-06</t>
  </si>
  <si>
    <t>Formulae and Rearranging: Changing the Subject</t>
  </si>
  <si>
    <t>Can a formula tell the same relationship from a different point of view?</t>
  </si>
  <si>
    <t>substitute; rearrange simple formulae; use inverse operations; make a subject; form formulae from contexts; verify by substitution</t>
  </si>
  <si>
    <t>Formula Balance and Subject Switcher</t>
  </si>
  <si>
    <t>Formula Model Card</t>
  </si>
  <si>
    <t>KS3 Algebra; 4MA1 2.3</t>
  </si>
  <si>
    <t>Equations</t>
  </si>
  <si>
    <t>Advanced rearranging and modelling</t>
  </si>
  <si>
    <t>NEO-MATH-Y9-07</t>
  </si>
  <si>
    <t>Pythagoras and the Hidden Length</t>
  </si>
  <si>
    <t>Can a right angle reveal a length we cannot measure directly?</t>
  </si>
  <si>
    <t>identify right triangles; use Pythagoras; choose unknown side; solve contextual problems; check reasonableness; begin 3D connections</t>
  </si>
  <si>
    <t>Reflection, Movement</t>
  </si>
  <si>
    <t>Right-Triangle Length Explorer</t>
  </si>
  <si>
    <t>Indirect Measurement Investigation</t>
  </si>
  <si>
    <t>NC KS3/KS4 bridge; 4MA1</t>
  </si>
  <si>
    <t>KS3 Geometry; 4MA1 4.8</t>
  </si>
  <si>
    <t>Squares, roots and geometry</t>
  </si>
  <si>
    <t>Trigonometry and 3D measure</t>
  </si>
  <si>
    <t>In development</t>
  </si>
  <si>
    <t>4 current lessons; guidance complete for Lessons 2–4; Lesson 1 guidance gap</t>
  </si>
  <si>
    <t>NEO-MATH-Y9-08</t>
  </si>
  <si>
    <t>Similarity and Scale: Same Shape, New Size</t>
  </si>
  <si>
    <t>What can change while a shape stays mathematically the same?</t>
  </si>
  <si>
    <t>recognise similar figures; use length scale factors; solve missing lengths; interpret maps; connect similarity and proportion; explore area scale factor</t>
  </si>
  <si>
    <t>Movement, Creativity</t>
  </si>
  <si>
    <t>Similarity Zoom Lab</t>
  </si>
  <si>
    <t>Scale Model Portfolio Piece</t>
  </si>
  <si>
    <t>KS3 Ratio/Geometry; 4MA1 4.11; FS L2 18</t>
  </si>
  <si>
    <t>Ratio and geometry</t>
  </si>
  <si>
    <t>Trig, area/volume scale factors</t>
  </si>
  <si>
    <t>NEO-MATH-Y9-09</t>
  </si>
  <si>
    <t>Sampling, Bias and What We Can Infer</t>
  </si>
  <si>
    <t>Whose story disappears when a sample is badly chosen?</t>
  </si>
  <si>
    <t>plan a statistical enquiry; recognise bias; choose samples; group data; interpret scatter/correlation; distinguish inference and proof; critique conclusions</t>
  </si>
  <si>
    <t>Sampling Bias Simulator + Claim Critic</t>
  </si>
  <si>
    <t>Data Justice Investigation</t>
  </si>
  <si>
    <t>KS3 Statistics; 4MA1 6.1-6.2</t>
  </si>
  <si>
    <t>Moderate-High; claim-by-claim</t>
  </si>
  <si>
    <t>Data comparison</t>
  </si>
  <si>
    <t>Histograms, cumulative frequency and advanced statistics</t>
  </si>
  <si>
    <t>NEO-MATH-Y9-10</t>
  </si>
  <si>
    <t>Probability Trees and Conditional Change</t>
  </si>
  <si>
    <t>How does one event change the chances of what happens next?</t>
  </si>
  <si>
    <t>use Venn diagrams/set language; build tree diagrams; calculate combined probabilities; compare independent/dependent situations; compare experimental/theoretical probability</t>
  </si>
  <si>
    <t>Dynamic Probability Tree</t>
  </si>
  <si>
    <t>Chance Model Explanation</t>
  </si>
  <si>
    <t>KS3 Probability; 4MA1 1.5,7.1; Higher conditional/dependent extensions</t>
  </si>
  <si>
    <t>High; branch reveal mode</t>
  </si>
  <si>
    <t>Sample spaces and Venn</t>
  </si>
  <si>
    <t>Conditional probability and expected frequency</t>
  </si>
  <si>
    <t>NEO-MATH-Y10-01</t>
  </si>
  <si>
    <t>Year 10</t>
  </si>
  <si>
    <t>Number Systems and Calculator Judgement</t>
  </si>
  <si>
    <t>When should I trust a calculator—and when should I distrust my input?</t>
  </si>
  <si>
    <t>calculate with integers/fractions/decimals; use BIDMAS; round accurately; estimate; use scientific calculator; judge reasonableness</t>
  </si>
  <si>
    <t>Rest, Connection</t>
  </si>
  <si>
    <t>Calculator Input Detective</t>
  </si>
  <si>
    <t>Calculator Error Audit</t>
  </si>
  <si>
    <t>Pearson Edexcel 4MA1 Foundation/Higher</t>
  </si>
  <si>
    <t>4MA1 1.1-1.3,1.8,1.11</t>
  </si>
  <si>
    <t>Year 9 number fluency</t>
  </si>
  <si>
    <t>Standard form and bounds</t>
  </si>
  <si>
    <t>NEO-MATH-Y10-02</t>
  </si>
  <si>
    <t>Algebraic Expressions and Identities</t>
  </si>
  <si>
    <t>How much structure can be hidden inside one expression?</t>
  </si>
  <si>
    <t>use symbols; substitute; collect terms; expand; factorise; manipulate algebraic fractions at appropriate tier; distinguish expression/equation/identity</t>
  </si>
  <si>
    <t>Algebra Structure Lens</t>
  </si>
  <si>
    <t>Expression Structure Commentary</t>
  </si>
  <si>
    <t>4MA1 2.1-2.3; Higher 2.2 extensions</t>
  </si>
  <si>
    <t>High; tiered reveal</t>
  </si>
  <si>
    <t>KS3 algebra</t>
  </si>
  <si>
    <t>Quadratics, equations and proof</t>
  </si>
  <si>
    <t>NEO-MATH-Y10-03</t>
  </si>
  <si>
    <t>Straight Lines, Sets and Connected Representations</t>
  </si>
  <si>
    <t>How can one relationship appear as symbols, points, a line and a story?</t>
  </si>
  <si>
    <t>use set notation/Venn diagrams; generate graph points; find gradient/intercept; write linear equations; interpret conversion graphs; connect representations</t>
  </si>
  <si>
    <t>Gradient Explorer + Venn Set Builder</t>
  </si>
  <si>
    <t>Connected Representation Portfolio</t>
  </si>
  <si>
    <t>4MA1 1.5,3.3</t>
  </si>
  <si>
    <t>Moderate-High</t>
  </si>
  <si>
    <t>Year 8 straight lines; Year 9 probability</t>
  </si>
  <si>
    <t>Simultaneous equations and graphical solutions</t>
  </si>
  <si>
    <t>Reusable reference — header update required</t>
  </si>
  <si>
    <t>Straight-Line Graphs Interactive v5 + two guidance PDFs</t>
  </si>
  <si>
    <t>NEO-MATH-Y10-04</t>
  </si>
  <si>
    <t>Percentages, Ratio and Growth Models</t>
  </si>
  <si>
    <t>When does a repeated percentage change become a new kind of pattern?</t>
  </si>
  <si>
    <t>solve ratio/proportion; use percentages; calculate repeated change/compound interest at tier; use direct proportion; interpret growth models; reverse percentage changes</t>
  </si>
  <si>
    <t>Growth Multiplier Lab</t>
  </si>
  <si>
    <t>Growth or Decay Model Review</t>
  </si>
  <si>
    <t>Pearson Edexcel 4MA1 Foundation/Higher; FS L2</t>
  </si>
  <si>
    <t>4MA1 1.6-1.7; Higher repeated change; FS L2 5-6,11,13</t>
  </si>
  <si>
    <t>Percent change and ratio</t>
  </si>
  <si>
    <t>Exponential graphs, inverse proportion</t>
  </si>
  <si>
    <t>NEO-MATH-Y10-05</t>
  </si>
  <si>
    <t>Equations, Inequalities and Simultaneous Relationships</t>
  </si>
  <si>
    <t>What happens when two mathematical conditions must be true at once?</t>
  </si>
  <si>
    <t>solve linear equations; solve simultaneous equations; solve/represent inequalities; form equations; interpret intersection as common solution; check solutions</t>
  </si>
  <si>
    <t>Intersection and Constraint Studio</t>
  </si>
  <si>
    <t>Two-Condition Modelling Task</t>
  </si>
  <si>
    <t>4MA1 2.4,2.6,2.8</t>
  </si>
  <si>
    <t>High; conditions separated then combined</t>
  </si>
  <si>
    <t>Linear equations/graphs</t>
  </si>
  <si>
    <t>Quadratic and non-linear simultaneous systems</t>
  </si>
  <si>
    <t>NEO-MATH-Y10-06</t>
  </si>
  <si>
    <t>Pythagoras, Trigonometry and Measuring the Unreachable</t>
  </si>
  <si>
    <t>How can an angle and one length reveal a distance we cannot reach?</t>
  </si>
  <si>
    <t>use Pythagoras; choose sine/cosine/tangent; solve right triangles; interpret bearings/elevation; use units and accuracy; justify method</t>
  </si>
  <si>
    <t>Triangle Reveal Explorer</t>
  </si>
  <si>
    <t>Indirect Measurement Design</t>
  </si>
  <si>
    <t>4MA1 4.4,4.8</t>
  </si>
  <si>
    <t>High spatial load; diagram scaffold</t>
  </si>
  <si>
    <t>Pythagoras and similarity</t>
  </si>
  <si>
    <t>3D trig, sine/cosine rule Higher</t>
  </si>
  <si>
    <t>NEO-MATH-Y10-07</t>
  </si>
  <si>
    <t>Frequency, Scatter and the Shape of Data</t>
  </si>
  <si>
    <t>What changes when data is grouped, compared or shown differently?</t>
  </si>
  <si>
    <t>construct/interpret frequency diagrams; compare distributions; use scatter graphs; interpret correlation; choose averages; critique graphical claims</t>
  </si>
  <si>
    <t>Data Display Switcher</t>
  </si>
  <si>
    <t>Data Communication Brief</t>
  </si>
  <si>
    <t>4MA1 6.1-6.2</t>
  </si>
  <si>
    <t>Sampling and data comparison</t>
  </si>
  <si>
    <t>Cumulative frequency, histograms and box plots</t>
  </si>
  <si>
    <t>NEO-MATH-Y10-08</t>
  </si>
  <si>
    <t>Bounds and the Mathematics of ‘Nearly’</t>
  </si>
  <si>
    <t>How precise is a measurement that has already been rounded?</t>
  </si>
  <si>
    <t>identify rounding intervals; find upper/lower bounds; calculate with bounds at tier; use estimation; interpret tolerances; communicate accuracy</t>
  </si>
  <si>
    <t>Bounds Interval Visualiser</t>
  </si>
  <si>
    <t>Tolerance and Safety Case Study</t>
  </si>
  <si>
    <t>4MA1 1.8; Higher bounds problems</t>
  </si>
  <si>
    <t>Moderate; interval visualisation</t>
  </si>
  <si>
    <t>Rounding/accuracy</t>
  </si>
  <si>
    <t>Error intervals and advanced bounds</t>
  </si>
  <si>
    <t>NEO-MATH-Y10-09</t>
  </si>
  <si>
    <t>Quadratics: Factors, Roots and Graphs</t>
  </si>
  <si>
    <t>How are the shape of a graph and the solutions of an equation connected?</t>
  </si>
  <si>
    <t>expand/factorise quadratics; solve by factorisation; connect roots/intercepts; plot/interpret quadratics; form simple quadratic models; compare methods</t>
  </si>
  <si>
    <t>Root–Graph Connector</t>
  </si>
  <si>
    <t>Quadratic Method Comparison</t>
  </si>
  <si>
    <t>4MA1 2.2,2.7,3.3; Higher extensions</t>
  </si>
  <si>
    <t>High</t>
  </si>
  <si>
    <t>Year 9 quadratics</t>
  </si>
  <si>
    <t>Quadratic formula, completing square and function transforms</t>
  </si>
  <si>
    <t>NEO-MATH-Y10-10</t>
  </si>
  <si>
    <t>Proof &amp; Communication</t>
  </si>
  <si>
    <t>The Connected Maths Performance Project</t>
  </si>
  <si>
    <t>Can I solve a problem that refuses to stay in one topic?</t>
  </si>
  <si>
    <t>identify relevant mathematics; connect domains; choose representations; justify a strategy; evaluate assumptions; communicate a multi-step solution</t>
  </si>
  <si>
    <t>Multi-Topic Model Builder</t>
  </si>
  <si>
    <t>Blank / context preset</t>
  </si>
  <si>
    <t>Year 10 Performance Project</t>
  </si>
  <si>
    <t>Pearson Edexcel 4MA1 AO reasoning/problem solving</t>
  </si>
  <si>
    <t>4MA1 cross-domain problem solving and reasoning aims</t>
  </si>
  <si>
    <t>Variable; learner chooses project route</t>
  </si>
  <si>
    <t>Year 10 units 1-9</t>
  </si>
  <si>
    <t>iGCSE Year 2 synthesis</t>
  </si>
  <si>
    <t>NEO-MATH-Y11-01</t>
  </si>
  <si>
    <t>Year 11</t>
  </si>
  <si>
    <t>Advanced Algebra: Structure, Strategy and Proof</t>
  </si>
  <si>
    <t>When is an algebraic method more than a procedure?</t>
  </si>
  <si>
    <t>manipulate complex expressions; solve quadratics by multiple methods; use algebraic fractions; rearrange harder formulae; construct algebraic proof; choose strategy</t>
  </si>
  <si>
    <t>Algebra Route Comparator</t>
  </si>
  <si>
    <t>Algebra Strategy Commentary</t>
  </si>
  <si>
    <t>Pearson Edexcel 4MA1 Higher / Foundation consolidation</t>
  </si>
  <si>
    <t>4MA1 2.1-2.4; Higher 2.2-2.3,2.7</t>
  </si>
  <si>
    <t>High; route menu and faded examples</t>
  </si>
  <si>
    <t>Year 10 algebra/quadratics</t>
  </si>
  <si>
    <t>Non-linear simultaneous equations and functions</t>
  </si>
  <si>
    <t>NEO-MATH-Y11-02</t>
  </si>
  <si>
    <t>Functions, Transformations and Rates of Change</t>
  </si>
  <si>
    <t>How can changing an equation move an entire graph?</t>
  </si>
  <si>
    <t>interpret functions; sketch linear/quadratic/cubic/reciprocal/exponential graphs at tier; transform graphs; estimate roots/intersections; interpret gradient/rate</t>
  </si>
  <si>
    <t>Function Transformation Studio</t>
  </si>
  <si>
    <t>Graph Transformation Field Guide</t>
  </si>
  <si>
    <t>Pearson Edexcel 4MA1 Higher / Foundation graph content</t>
  </si>
  <si>
    <t>4MA1 3.2-3.3; Higher function transformation content</t>
  </si>
  <si>
    <t>High visual; one parameter at a time</t>
  </si>
  <si>
    <t>Straight lines and quadratics</t>
  </si>
  <si>
    <t>Calculus Higher and graphical solutions</t>
  </si>
  <si>
    <t>NEO-MATH-Y11-03</t>
  </si>
  <si>
    <t>Motion Graphs: Distance, Speed and Area</t>
  </si>
  <si>
    <t>Can a graph show both how fast something moves and how far it travels?</t>
  </si>
  <si>
    <t>interpret distance-time/speed-time graphs; calculate gradient as rate; calculate area under speed-time graphs where required; compare average/instantaneous ideas; evaluate models</t>
  </si>
  <si>
    <t>Motion Graph Animator</t>
  </si>
  <si>
    <t>Journey Model Analysis</t>
  </si>
  <si>
    <t>4MA1 graph/rate content; 4.4 average speed; Higher graphical rate extensions</t>
  </si>
  <si>
    <t>High; animation can be paused</t>
  </si>
  <si>
    <t>Gradient and compound measures</t>
  </si>
  <si>
    <t>Calculus/rates Higher; applied modelling</t>
  </si>
  <si>
    <t>NEO-MATH-Y11-04</t>
  </si>
  <si>
    <t>Circle Geometry and Proof Chains</t>
  </si>
  <si>
    <t>How can one hidden circle fact unlock a proof?</t>
  </si>
  <si>
    <t>use circle vocabulary/properties; apply circle theorems at tier; construct proof chains; use tangent/chord facts; state reasons precisely</t>
  </si>
  <si>
    <t>Circle Theorem Constraint Explorer</t>
  </si>
  <si>
    <t>Circle Proof Deck</t>
  </si>
  <si>
    <t>4MA1 4.6-4.7; Higher circle theorem content</t>
  </si>
  <si>
    <t>High visual; slow-look routine</t>
  </si>
  <si>
    <t>Angle reasoning</t>
  </si>
  <si>
    <t>Vector and geometric proof</t>
  </si>
  <si>
    <t>NEO-MATH-Y11-05</t>
  </si>
  <si>
    <t>Similarity, Vectors and Transformation Geometry</t>
  </si>
  <si>
    <t>How can direction and scale describe geometry without measuring every length?</t>
  </si>
  <si>
    <t>use similarity including area/volume scale factors; use vectors at Higher; describe transformations fully; combine geometric reasoning; prove relationships where appropriate</t>
  </si>
  <si>
    <t>Vector and Similarity Move Lab</t>
  </si>
  <si>
    <t>Geometric Relationship Proof</t>
  </si>
  <si>
    <t>4MA1 4.11,5.2; Higher 5.1 and scale-factor extensions</t>
  </si>
  <si>
    <t>High spatial</t>
  </si>
  <si>
    <t>Similarity and transformations</t>
  </si>
  <si>
    <t>Advanced problem solving</t>
  </si>
  <si>
    <t>NEO-MATH-Y11-06</t>
  </si>
  <si>
    <t>Trigonometry and 3D Measures</t>
  </si>
  <si>
    <t>Where is the right triangle hiding inside a 3D problem?</t>
  </si>
  <si>
    <t>apply trig/Pythagoras in 2D/3D; choose trig rules at tier; calculate arcs/sectors; solve surface area/volume problems; use bearings; justify precision</t>
  </si>
  <si>
    <t>3D Triangle Finder</t>
  </si>
  <si>
    <t>Accessible Structure/Ramp Design</t>
  </si>
  <si>
    <t>4MA1 4.4,4.8-4.10; Higher trig extensions</t>
  </si>
  <si>
    <t>High spatial; manipulable sketch</t>
  </si>
  <si>
    <t>Year 10 trig and 3D solids</t>
  </si>
  <si>
    <t>Capstone synthesis</t>
  </si>
  <si>
    <t>NEO-MATH-Y11-07</t>
  </si>
  <si>
    <t>Histograms, Cumulative Frequency and Comparing Distributions</t>
  </si>
  <si>
    <t>When does the area of a bar matter more than its height?</t>
  </si>
  <si>
    <t>interpret/construct histograms at tier; use frequency density; use cumulative frequency/box plots at tier; compare distributions; justify statistical conclusions</t>
  </si>
  <si>
    <t>Frequency Density Visualiser</t>
  </si>
  <si>
    <t>Distribution Comparison Report</t>
  </si>
  <si>
    <t>Pearson Edexcel 4MA1 Higher / Foundation statistics content</t>
  </si>
  <si>
    <t>4MA1 6.1-6.2; Higher histogram/cumulative frequency extensions</t>
  </si>
  <si>
    <t>High; chart isolation mode</t>
  </si>
  <si>
    <t>Grouped data</t>
  </si>
  <si>
    <t>Statistical decision making</t>
  </si>
  <si>
    <t>NEO-MATH-Y11-08</t>
  </si>
  <si>
    <t>Conditional Probability and Decision-Making</t>
  </si>
  <si>
    <t>How does what we already know change the probability we should use?</t>
  </si>
  <si>
    <t>use Venn/tree diagrams; calculate combined events; update dependent probabilities; use expected frequency; interpret conditional information at tier; communicate risk</t>
  </si>
  <si>
    <t>Conditional Tree Simulator</t>
  </si>
  <si>
    <t>Risk Communication Brief</t>
  </si>
  <si>
    <t>4MA1 7.1; Higher dependent/conditional content</t>
  </si>
  <si>
    <t>High; branch-by-branch</t>
  </si>
  <si>
    <t>Year 9 probability trees</t>
  </si>
  <si>
    <t>Capstone and exam problem solving</t>
  </si>
  <si>
    <t>NEO-MATH-Y11-09</t>
  </si>
  <si>
    <t>Exam Problems as Translation</t>
  </si>
  <si>
    <t>Can I translate an unfamiliar question into mathematics I already know?</t>
  </si>
  <si>
    <t>interpret command words; identify hidden topics; select strategy; reason deductively; show enough working; check units/accuracy; recover after a stuck moment</t>
  </si>
  <si>
    <t>Question Translation Highlighter</t>
  </si>
  <si>
    <t>Personal Exam Translation Toolkit</t>
  </si>
  <si>
    <t>Pearson Edexcel 4MA1 assessment readiness</t>
  </si>
  <si>
    <t>4MA1 cross-domain reasoning, communication and problem-solving aims</t>
  </si>
  <si>
    <t>Variable; timed mode optional</t>
  </si>
  <si>
    <t>All iGCSE content</t>
  </si>
  <si>
    <t>Final capstone and assessment</t>
  </si>
  <si>
    <t>NEO-MATH-Y11-10</t>
  </si>
  <si>
    <t>Modelling</t>
  </si>
  <si>
    <t>Mathematics Capstone: Solve, Explain, Evaluate</t>
  </si>
  <si>
    <t>What makes a mathematical model useful, honest and limited?</t>
  </si>
  <si>
    <t>form a model; combine multiple domains; make assumptions; calculate accurately; interpret results; evaluate limitations; communicate and revise</t>
  </si>
  <si>
    <t>Capstone Model Canvas</t>
  </si>
  <si>
    <t>Learner-Controlled Maths Capstone Portfolio</t>
  </si>
  <si>
    <t>Pearson Edexcel 4MA1 cross-domain overlay</t>
  </si>
  <si>
    <t>4MA1 AO problem solving/reasoning; relevant content references selected per project</t>
  </si>
  <si>
    <t>Variable; learner-selected scope</t>
  </si>
  <si>
    <t>All curriculum strands</t>
  </si>
  <si>
    <t>Portable portfolio / post-16 progression</t>
  </si>
  <si>
    <t>NEO-MATH-FS-01</t>
  </si>
  <si>
    <t>FS L1/L2 flexible</t>
  </si>
  <si>
    <t>Everyday Number and Estimation</t>
  </si>
  <si>
    <t>How can I tell whether a real-life calculation is believable?</t>
  </si>
  <si>
    <t>read/order numbers; calculate with whole numbers/decimals; use negatives; estimate; round; check answers; choose calculator or non-calculator routes</t>
  </si>
  <si>
    <t>Real-Life Estimate Checker</t>
  </si>
  <si>
    <t>Reasonableness Checklist with worked examples</t>
  </si>
  <si>
    <t>Pearson Functional Skills Maths L1/L2</t>
  </si>
  <si>
    <t>FS L1 1-7,10-12,15; FS L2 1-3,9-12</t>
  </si>
  <si>
    <t>Low-Moderate</t>
  </si>
  <si>
    <t>Discovery number confidence</t>
  </si>
  <si>
    <t>Money and percentages</t>
  </si>
  <si>
    <t>NEO-MATH-FS-02</t>
  </si>
  <si>
    <t>Money, Discounts and Budget Choices</t>
  </si>
  <si>
    <t>When is the cheapest choice not the best decision?</t>
  </si>
  <si>
    <t>calculate money; use percentages; discounts; simple/compound interest by level; tax/budgeting; compare options; explain a decision</t>
  </si>
  <si>
    <t>Budget and Discount Comparator</t>
  </si>
  <si>
    <t>Personal or Community Budget Decision</t>
  </si>
  <si>
    <t>FS L1 13-19; FS L2 5-6,13</t>
  </si>
  <si>
    <t>Moderate; context choice</t>
  </si>
  <si>
    <t>Everyday number</t>
  </si>
  <si>
    <t>Rates of pay and best value</t>
  </si>
  <si>
    <t>NEO-MATH-FS-03</t>
  </si>
  <si>
    <t>Recipes, Ratio and Direct Proportion</t>
  </si>
  <si>
    <t>How can I scale something without changing its relationship?</t>
  </si>
  <si>
    <t>use fractions/FDP equivalence; use simple ratio; direct proportion; inverse proportion at Level 2; scale quantities; interpret units</t>
  </si>
  <si>
    <t>Movement, Nutrition</t>
  </si>
  <si>
    <t>Scaled Recipe or Resource Plan</t>
  </si>
  <si>
    <t>FS L1 8-17; FS L2 4-11</t>
  </si>
  <si>
    <t>Measures and rates</t>
  </si>
  <si>
    <t>NEO-MATH-FS-04</t>
  </si>
  <si>
    <t>Pay, Speed, Density and Real Rates</t>
  </si>
  <si>
    <t>What does ‘per’ really mean in a real decision?</t>
  </si>
  <si>
    <t>calculate unit rates; rates of pay; speed/density at Level 2; compare offers; convert units; interpret compound measures</t>
  </si>
  <si>
    <t>Rate Comparator</t>
  </si>
  <si>
    <t>Work/Travel Rate Recommendation</t>
  </si>
  <si>
    <t>FS L1 direct proportion bridge; FS L2 15 and related number content</t>
  </si>
  <si>
    <t>Ratio and money</t>
  </si>
  <si>
    <t>Travel and scheduling</t>
  </si>
  <si>
    <t>NEO-MATH-FS-05</t>
  </si>
  <si>
    <t>Measure, Scale and Making Things Fit</t>
  </si>
  <si>
    <t>How can a drawing help me know whether something will fit in real space?</t>
  </si>
  <si>
    <t>convert units; use scales/maps; perimeter/area; volume; plans/elevations/nets; angles/coordinates by level; calculate actual dimensions</t>
  </si>
  <si>
    <t>Fit-the-Space Planner</t>
  </si>
  <si>
    <t>Room, Storage or Event Layout</t>
  </si>
  <si>
    <t>FS L1 20-26; FS L2 14,16-22</t>
  </si>
  <si>
    <t>Moderate-High spatial</t>
  </si>
  <si>
    <t>Number and ratio</t>
  </si>
  <si>
    <t>Applied design project</t>
  </si>
  <si>
    <t>NEO-MATH-FS-06</t>
  </si>
  <si>
    <t>Time, Travel and Scheduling</t>
  </si>
  <si>
    <t>Can a schedule be mathematically possible but still unrealistic?</t>
  </si>
  <si>
    <t>calculate time intervals; read timetables; use speed/distance/time at Level 2; compare routes; use money; build contingency; explain assumptions</t>
  </si>
  <si>
    <t>Movement, Connection</t>
  </si>
  <si>
    <t>Journey Schedule Builder</t>
  </si>
  <si>
    <t>Travel Plan with Contingency</t>
  </si>
  <si>
    <t>FS L1 20 and problem solving; FS L2 14-15 and problem solving</t>
  </si>
  <si>
    <t>Rates and measure</t>
  </si>
  <si>
    <t>Multi-step decision making</t>
  </si>
  <si>
    <t>NEO-MATH-FS-07</t>
  </si>
  <si>
    <t>Charts, Averages and Claims</t>
  </si>
  <si>
    <t>Can a chart be accurate and still mislead me?</t>
  </si>
  <si>
    <t>read/construct charts; group data; calculate averages/range by level; compare data sets; interpret scatter/correlation at L2; critique a claim</t>
  </si>
  <si>
    <t>Misleading Chart Studio</t>
  </si>
  <si>
    <t>Claim Check Report</t>
  </si>
  <si>
    <t>FS L1 27-29; FS L2 23-25,28</t>
  </si>
  <si>
    <t>Probability and combined evidence</t>
  </si>
  <si>
    <t>NEO-MATH-FS-08</t>
  </si>
  <si>
    <t>Probability, Risk and Everyday Decisions</t>
  </si>
  <si>
    <t>How should I talk about a risk when nothing is guaranteed?</t>
  </si>
  <si>
    <t>use probability scale; calculate simple events; express probability in multiple forms at L2; use combined events/tables at L2; interpret likelihood</t>
  </si>
  <si>
    <t>Risk Language and Probability Simulator</t>
  </si>
  <si>
    <t>Everyday Risk Communication Card</t>
  </si>
  <si>
    <t>FS L1 30-31; FS L2 26-27</t>
  </si>
  <si>
    <t>Moderate; uncertainty normalised</t>
  </si>
  <si>
    <t>Charts and fractions</t>
  </si>
  <si>
    <t>Decision project</t>
  </si>
  <si>
    <t>NEO-MATH-FS-09</t>
  </si>
  <si>
    <t>Applied Decision Project</t>
  </si>
  <si>
    <t>Can I turn a messy real situation into a clear mathematical decision?</t>
  </si>
  <si>
    <t>identify information; plan multiple steps; combine content areas; calculate to required accuracy; interpret; check reasonableness; present a recommendation</t>
  </si>
  <si>
    <t>Applied Decision Canvas</t>
  </si>
  <si>
    <t>Multi-Step Applied Decision Portfolio</t>
  </si>
  <si>
    <t>FS L1/L2 problem solving and decision making; 75% assessment emphasis on applied problem solving</t>
  </si>
  <si>
    <t>Variable; context choice</t>
  </si>
  <si>
    <t>Functional units 1-8</t>
  </si>
  <si>
    <t>Assessment readiness / progression</t>
  </si>
  <si>
    <t>NEO-MATH-FS-10</t>
  </si>
  <si>
    <t>Functional Skills Assessment Navigation</t>
  </si>
  <si>
    <t>How can I stay oriented when a problem has several steps and lots of words?</t>
  </si>
  <si>
    <t>read mathematical information; identify operations; plan steps; use required accuracy; check sense; explain results; use calculator/non-calculator strategies</t>
  </si>
  <si>
    <t>Problem Step Mapper</t>
  </si>
  <si>
    <t>Personal Problem-Solving Navigation Card</t>
  </si>
  <si>
    <t>FS L1/L2 problem solving criteria; Section A non-calculator and Section B calculator structure</t>
  </si>
  <si>
    <t>Moderate; chunked text and step reveal</t>
  </si>
  <si>
    <t>Applied decision project</t>
  </si>
  <si>
    <t>On-demand assessment / next pathway</t>
  </si>
  <si>
    <t>NEO Mathematics Canonical Stepping Stones — Pathways</t>
  </si>
  <si>
    <t>Portable learner-facing outcomes with pathway and internal stage recorded separately.</t>
  </si>
  <si>
    <t>Stepping Stone ID</t>
  </si>
  <si>
    <t>Strand</t>
  </si>
  <si>
    <t>Canonical Learning Statement</t>
  </si>
  <si>
    <t>Secondary Cornerstones</t>
  </si>
  <si>
    <t>Mode(s)</t>
  </si>
  <si>
    <t>Suggested Evidence Types</t>
  </si>
  <si>
    <t>Prerequisite Connection</t>
  </si>
  <si>
    <t>Next Connection</t>
  </si>
  <si>
    <t>Evidence Link</t>
  </si>
  <si>
    <t>NEO-MATH-DISC-01-SRL-01</t>
  </si>
  <si>
    <t>Notice mathematical strengths</t>
  </si>
  <si>
    <t>Explanation; interactive choices; Scratchpad working; portfolio evidence</t>
  </si>
  <si>
    <t>Mapped</t>
  </si>
  <si>
    <t>Attach live evidence through Foundations Coverage Map</t>
  </si>
  <si>
    <t>NEO-MATH-DISC-01-SRL-02</t>
  </si>
  <si>
    <t>Try different representations</t>
  </si>
  <si>
    <t>NEO-MATH-DISC-01-SRL-03</t>
  </si>
  <si>
    <t>Use support tools</t>
  </si>
  <si>
    <t>NEO-MATH-DISC-01-SRL-04</t>
  </si>
  <si>
    <t>Explain what helps</t>
  </si>
  <si>
    <t>NEO-MATH-DISC-01-SRL-05</t>
  </si>
  <si>
    <t>Choose a next Stepping Stone</t>
  </si>
  <si>
    <t>NEO-MATH-DISC-02-NUM-01</t>
  </si>
  <si>
    <t>Read and compare integers and decimals</t>
  </si>
  <si>
    <t>NEO-MATH-DISC-02-NUM-02</t>
  </si>
  <si>
    <t>Use place value</t>
  </si>
  <si>
    <t>NEO-MATH-DISC-02-NUM-03</t>
  </si>
  <si>
    <t>Locate zero</t>
  </si>
  <si>
    <t>NEO-MATH-DISC-02-NUM-04</t>
  </si>
  <si>
    <t>Estimate</t>
  </si>
  <si>
    <t>NEO-MATH-DISC-02-NUM-05</t>
  </si>
  <si>
    <t>Check reasonableness</t>
  </si>
  <si>
    <t>NEO-MATH-DISC-03-NUM-01</t>
  </si>
  <si>
    <t>Select a calculation strategy</t>
  </si>
  <si>
    <t>NEO-MATH-DISC-03-NUM-02</t>
  </si>
  <si>
    <t>Use inverse operations</t>
  </si>
  <si>
    <t>NEO-MATH-DISC-03-NUM-03</t>
  </si>
  <si>
    <t>Follow operation order</t>
  </si>
  <si>
    <t>NEO-MATH-DISC-03-NUM-04</t>
  </si>
  <si>
    <t>Estimate first</t>
  </si>
  <si>
    <t>NEO-MATH-DISC-03-NUM-05</t>
  </si>
  <si>
    <t>Explain a method choice</t>
  </si>
  <si>
    <t>NEO-MATH-DISC-04-PR-01</t>
  </si>
  <si>
    <t>Recognise common equivalences</t>
  </si>
  <si>
    <t>NEO-MATH-DISC-04-PR-02</t>
  </si>
  <si>
    <t>Compare FDP</t>
  </si>
  <si>
    <t>NEO-MATH-DISC-04-PR-03</t>
  </si>
  <si>
    <t>Convert representations</t>
  </si>
  <si>
    <t>NEO-MATH-DISC-04-PR-04</t>
  </si>
  <si>
    <t>Find fractions and percentages of quantities</t>
  </si>
  <si>
    <t>NEO-MATH-DISC-04-PR-05</t>
  </si>
  <si>
    <t>Choose a helpful representation</t>
  </si>
  <si>
    <t>NEO-MATH-DISC-05-ALG-01</t>
  </si>
  <si>
    <t>Continue sequences</t>
  </si>
  <si>
    <t>NEO-MATH-DISC-05-ALG-02</t>
  </si>
  <si>
    <t>Describe a rule</t>
  </si>
  <si>
    <t>NEO-MATH-DISC-05-ALG-03</t>
  </si>
  <si>
    <t>Use a variable</t>
  </si>
  <si>
    <t>NEO-MATH-DISC-05-ALG-04</t>
  </si>
  <si>
    <t>Substitute values</t>
  </si>
  <si>
    <t>NEO-MATH-DISC-05-ALG-05</t>
  </si>
  <si>
    <t>Create and test a conjecture</t>
  </si>
  <si>
    <t>NEO-MATH-DISC-06-GEO-01</t>
  </si>
  <si>
    <t>Recognise angle and shape properties</t>
  </si>
  <si>
    <t>NEO-MATH-DISC-06-GEO-02</t>
  </si>
  <si>
    <t>Measure accurately</t>
  </si>
  <si>
    <t>NEO-MATH-DISC-06-GEO-03</t>
  </si>
  <si>
    <t>Calculate simple perimeter and area</t>
  </si>
  <si>
    <t>NEO-MATH-DISC-06-GEO-04</t>
  </si>
  <si>
    <t>Use units</t>
  </si>
  <si>
    <t>NEO-MATH-DISC-06-GEO-05</t>
  </si>
  <si>
    <t>Explain a spatial decision</t>
  </si>
  <si>
    <t>NEO-MATH-DISC-07-DAT-01</t>
  </si>
  <si>
    <t>Read tables and charts</t>
  </si>
  <si>
    <t>NEO-MATH-DISC-07-DAT-02</t>
  </si>
  <si>
    <t>Choose an average</t>
  </si>
  <si>
    <t>NEO-MATH-DISC-07-DAT-03</t>
  </si>
  <si>
    <t>Recognise range</t>
  </si>
  <si>
    <t>NEO-MATH-DISC-07-DAT-04</t>
  </si>
  <si>
    <t>Use probability language</t>
  </si>
  <si>
    <t>NEO-MATH-DISC-07-DAT-05</t>
  </si>
  <si>
    <t>Ask what data cannot show</t>
  </si>
  <si>
    <t>NEO-MATH-DISC-08-APP-01</t>
  </si>
  <si>
    <t>Identify needed information</t>
  </si>
  <si>
    <t>NEO-MATH-DISC-08-APP-02</t>
  </si>
  <si>
    <t>Choose operations</t>
  </si>
  <si>
    <t>NEO-MATH-DISC-08-APP-03</t>
  </si>
  <si>
    <t>NEO-MATH-DISC-08-APP-04</t>
  </si>
  <si>
    <t>Calculate</t>
  </si>
  <si>
    <t>NEO-MATH-DISC-08-APP-05</t>
  </si>
  <si>
    <t>Interpret an answer</t>
  </si>
  <si>
    <t>NEO-MATH-DISC-08-APP-06</t>
  </si>
  <si>
    <t>Explain a decision and limitation</t>
  </si>
  <si>
    <t>NEO-MATH-Y7-01-NUM-01</t>
  </si>
  <si>
    <t>Use place value with integers and decimals</t>
  </si>
  <si>
    <t>NEO-MATH-Y7-01-NUM-02</t>
  </si>
  <si>
    <t>Explain tenfold relationships</t>
  </si>
  <si>
    <t>NEO-MATH-Y7-01-NUM-03</t>
  </si>
  <si>
    <t>Use placeholder zero</t>
  </si>
  <si>
    <t>NEO-MATH-Y7-01-NUM-04</t>
  </si>
  <si>
    <t>Partition numbers</t>
  </si>
  <si>
    <t>NEO-MATH-Y7-01-NUM-05</t>
  </si>
  <si>
    <t>Move between representations</t>
  </si>
  <si>
    <t>NEO-MATH-Y7-02-NUM-01</t>
  </si>
  <si>
    <t>Use four operations</t>
  </si>
  <si>
    <t>NEO-MATH-Y7-02-NUM-02</t>
  </si>
  <si>
    <t>NEO-MATH-Y7-02-NUM-03</t>
  </si>
  <si>
    <t>NEO-MATH-Y7-02-NUM-04</t>
  </si>
  <si>
    <t>NEO-MATH-Y7-02-NUM-05</t>
  </si>
  <si>
    <t>Calculate with directed numbers</t>
  </si>
  <si>
    <t>NEO-MATH-Y7-02-NUM-06</t>
  </si>
  <si>
    <t>NEO-MATH-Y7-03-ALG-01</t>
  </si>
  <si>
    <t>Identify factors and multiples</t>
  </si>
  <si>
    <t>NEO-MATH-Y7-03-ALG-02</t>
  </si>
  <si>
    <t>Recognise primes</t>
  </si>
  <si>
    <t>NEO-MATH-Y7-03-ALG-03</t>
  </si>
  <si>
    <t>Find HCF/LCM</t>
  </si>
  <si>
    <t>NEO-MATH-Y7-03-ALG-04</t>
  </si>
  <si>
    <t>Use powers</t>
  </si>
  <si>
    <t>NEO-MATH-Y7-03-ALG-05</t>
  </si>
  <si>
    <t>Generalise patterns</t>
  </si>
  <si>
    <t>NEO-MATH-Y7-03-ALG-06</t>
  </si>
  <si>
    <t>Test conjectures</t>
  </si>
  <si>
    <t>NEO-MATH-Y7-04-PR-01</t>
  </si>
  <si>
    <t>Simplify fractions</t>
  </si>
  <si>
    <t>NEO-MATH-Y7-04-PR-02</t>
  </si>
  <si>
    <t>Find equivalent fractions</t>
  </si>
  <si>
    <t>NEO-MATH-Y7-04-PR-03</t>
  </si>
  <si>
    <t>Convert FDP</t>
  </si>
  <si>
    <t>NEO-MATH-Y7-04-PR-04</t>
  </si>
  <si>
    <t>NEO-MATH-Y7-04-PR-05</t>
  </si>
  <si>
    <t>Calculate fractions and percentages of amounts</t>
  </si>
  <si>
    <t>NEO-MATH-Y7-04-PR-06</t>
  </si>
  <si>
    <t>Explain representation choice</t>
  </si>
  <si>
    <t>NEO-MATH-Y7-05-GEO-01</t>
  </si>
  <si>
    <t>Use angle facts</t>
  </si>
  <si>
    <t>NEO-MATH-Y7-05-GEO-02</t>
  </si>
  <si>
    <t>Identify triangle and quadrilateral properties</t>
  </si>
  <si>
    <t>NEO-MATH-Y7-05-GEO-03</t>
  </si>
  <si>
    <t>Justify missing angles</t>
  </si>
  <si>
    <t>NEO-MATH-Y7-05-GEO-04</t>
  </si>
  <si>
    <t>Use precise notation</t>
  </si>
  <si>
    <t>NEO-MATH-Y7-05-GEO-05</t>
  </si>
  <si>
    <t>Construct because–therefore chains</t>
  </si>
  <si>
    <t>NEO-MATH-Y7-06-GEO-01</t>
  </si>
  <si>
    <t>Distinguish perimeter and area</t>
  </si>
  <si>
    <t>NEO-MATH-Y7-06-GEO-02</t>
  </si>
  <si>
    <t>Derive/use area formulae</t>
  </si>
  <si>
    <t>NEO-MATH-Y7-06-GEO-03</t>
  </si>
  <si>
    <t>Calculate composite perimeter/area</t>
  </si>
  <si>
    <t>NEO-MATH-Y7-06-GEO-04</t>
  </si>
  <si>
    <t>Convert metric units</t>
  </si>
  <si>
    <t>NEO-MATH-Y7-06-GEO-05</t>
  </si>
  <si>
    <t>Justify design choices</t>
  </si>
  <si>
    <t>NEO-MATH-Y7-07-PR-01</t>
  </si>
  <si>
    <t>Use ratio notation</t>
  </si>
  <si>
    <t>NEO-MATH-Y7-07-PR-02</t>
  </si>
  <si>
    <t>Simplify ratios</t>
  </si>
  <si>
    <t>NEO-MATH-Y7-07-PR-03</t>
  </si>
  <si>
    <t>Distinguish part-part and part-whole</t>
  </si>
  <si>
    <t>NEO-MATH-Y7-07-PR-04</t>
  </si>
  <si>
    <t>Use scale factors</t>
  </si>
  <si>
    <t>NEO-MATH-Y7-07-PR-05</t>
  </si>
  <si>
    <t>Share in a ratio</t>
  </si>
  <si>
    <t>NEO-MATH-Y7-07-PR-06</t>
  </si>
  <si>
    <t>Explain multiplicative relationships</t>
  </si>
  <si>
    <t>NEO-MATH-Y7-08-FUN-01</t>
  </si>
  <si>
    <t>Plot coordinates</t>
  </si>
  <si>
    <t>NEO-MATH-Y7-08-FUN-02</t>
  </si>
  <si>
    <t>Use four quadrants when ready</t>
  </si>
  <si>
    <t>NEO-MATH-Y7-08-FUN-03</t>
  </si>
  <si>
    <t>Describe translations</t>
  </si>
  <si>
    <t>NEO-MATH-Y7-08-FUN-04</t>
  </si>
  <si>
    <t>Reflect shapes</t>
  </si>
  <si>
    <t>NEO-MATH-Y7-08-FUN-05</t>
  </si>
  <si>
    <t>Connect coordinates to transformations</t>
  </si>
  <si>
    <t>NEO-MATH-Y7-08-FUN-06</t>
  </si>
  <si>
    <t>Check invariants</t>
  </si>
  <si>
    <t>NEO-MATH-Y7-09-DAT-01</t>
  </si>
  <si>
    <t>Calculate mean/median/mode/range</t>
  </si>
  <si>
    <t>NEO-MATH-Y7-09-DAT-02</t>
  </si>
  <si>
    <t>Interpret averages</t>
  </si>
  <si>
    <t>NEO-MATH-Y7-09-DAT-03</t>
  </si>
  <si>
    <t>Choose a summary</t>
  </si>
  <si>
    <t>NEO-MATH-Y7-09-DAT-04</t>
  </si>
  <si>
    <t>Construct and read charts</t>
  </si>
  <si>
    <t>NEO-MATH-Y7-09-DAT-05</t>
  </si>
  <si>
    <t>Recognise outliers</t>
  </si>
  <si>
    <t>NEO-MATH-Y7-10-DAT-01</t>
  </si>
  <si>
    <t>Use probability scale</t>
  </si>
  <si>
    <t>NEO-MATH-Y7-10-DAT-02</t>
  </si>
  <si>
    <t>Identify outcomes</t>
  </si>
  <si>
    <t>NEO-MATH-Y7-10-DAT-03</t>
  </si>
  <si>
    <t>Calculate simple probabilities</t>
  </si>
  <si>
    <t>NEO-MATH-Y7-10-DAT-04</t>
  </si>
  <si>
    <t>Run experiments</t>
  </si>
  <si>
    <t>NEO-MATH-Y7-10-DAT-05</t>
  </si>
  <si>
    <t>Compare experimental and theoretical results</t>
  </si>
  <si>
    <t>NEO-MATH-Y7-10-DAT-06</t>
  </si>
  <si>
    <t>Discuss sample size</t>
  </si>
  <si>
    <t>NEO-MATH-Y8-01-NUM-01</t>
  </si>
  <si>
    <t>Calculate percentage increase/decrease</t>
  </si>
  <si>
    <t>NEO-MATH-Y8-01-NUM-02</t>
  </si>
  <si>
    <t>Use multipliers informally</t>
  </si>
  <si>
    <t>NEO-MATH-Y8-01-NUM-03</t>
  </si>
  <si>
    <t>Find original values in accessible cases</t>
  </si>
  <si>
    <t>NEO-MATH-Y8-01-NUM-04</t>
  </si>
  <si>
    <t>NEO-MATH-Y8-01-NUM-05</t>
  </si>
  <si>
    <t>Explain non-reversibility</t>
  </si>
  <si>
    <t>NEO-MATH-Y8-02-ALG-01</t>
  </si>
  <si>
    <t>Collect like terms</t>
  </si>
  <si>
    <t>NEO-MATH-Y8-02-ALG-02</t>
  </si>
  <si>
    <t>Substitute</t>
  </si>
  <si>
    <t>NEO-MATH-Y8-02-ALG-03</t>
  </si>
  <si>
    <t>Expand brackets</t>
  </si>
  <si>
    <t>NEO-MATH-Y8-02-ALG-04</t>
  </si>
  <si>
    <t>Factorise common factors</t>
  </si>
  <si>
    <t>NEO-MATH-Y8-02-ALG-05</t>
  </si>
  <si>
    <t>Use equality</t>
  </si>
  <si>
    <t>NEO-MATH-Y8-02-ALG-06</t>
  </si>
  <si>
    <t>Justify equivalent forms</t>
  </si>
  <si>
    <t>NEO-MATH-Y8-03-ALG-01</t>
  </si>
  <si>
    <t>Solve one- and two-step linear equations</t>
  </si>
  <si>
    <t>NEO-MATH-Y8-03-ALG-02</t>
  </si>
  <si>
    <t>NEO-MATH-Y8-03-ALG-03</t>
  </si>
  <si>
    <t>Solve with brackets</t>
  </si>
  <si>
    <t>NEO-MATH-Y8-03-ALG-04</t>
  </si>
  <si>
    <t>Form equations from contexts</t>
  </si>
  <si>
    <t>NEO-MATH-Y8-03-ALG-05</t>
  </si>
  <si>
    <t>Check by substitution</t>
  </si>
  <si>
    <t>NEO-MATH-Y8-04-FUN-01</t>
  </si>
  <si>
    <t>Connect equations, tables and graphs</t>
  </si>
  <si>
    <t>NEO-MATH-Y8-04-FUN-02</t>
  </si>
  <si>
    <t>Interpret gradient</t>
  </si>
  <si>
    <t>NEO-MATH-Y8-04-FUN-03</t>
  </si>
  <si>
    <t>Interpret y-intercept</t>
  </si>
  <si>
    <t>NEO-MATH-Y8-04-FUN-04</t>
  </si>
  <si>
    <t>Recognise positive/negative/zero gradients</t>
  </si>
  <si>
    <t>NEO-MATH-Y8-04-FUN-05</t>
  </si>
  <si>
    <t>Form linear equations</t>
  </si>
  <si>
    <t>NEO-MATH-Y8-04-FUN-06</t>
  </si>
  <si>
    <t>Evaluate linear models</t>
  </si>
  <si>
    <t>NEO-MATH-Y8-05-ALG-01</t>
  </si>
  <si>
    <t>Generate arithmetic sequences</t>
  </si>
  <si>
    <t>NEO-MATH-Y8-05-ALG-02</t>
  </si>
  <si>
    <t>Find term-to-term rules</t>
  </si>
  <si>
    <t>NEO-MATH-Y8-05-ALG-03</t>
  </si>
  <si>
    <t>Find nth terms</t>
  </si>
  <si>
    <t>NEO-MATH-Y8-05-ALG-04</t>
  </si>
  <si>
    <t>Use position-to-term rules</t>
  </si>
  <si>
    <t>NEO-MATH-Y8-05-ALG-05</t>
  </si>
  <si>
    <t>Compare sequence and graph representations</t>
  </si>
  <si>
    <t>NEO-MATH-Y8-06-GEO-01</t>
  </si>
  <si>
    <t>Use parallel-line angle facts</t>
  </si>
  <si>
    <t>NEO-MATH-Y8-06-GEO-02</t>
  </si>
  <si>
    <t>Derive polygon angle sums</t>
  </si>
  <si>
    <t>NEO-MATH-Y8-06-GEO-03</t>
  </si>
  <si>
    <t>Solve multi-step angle problems</t>
  </si>
  <si>
    <t>NEO-MATH-Y8-06-GEO-04</t>
  </si>
  <si>
    <t>Justify each step</t>
  </si>
  <si>
    <t>NEO-MATH-Y8-06-GEO-05</t>
  </si>
  <si>
    <t>Recognise conditions for rules</t>
  </si>
  <si>
    <t>NEO-MATH-Y8-07-GEO-01</t>
  </si>
  <si>
    <t>Use circle vocabulary</t>
  </si>
  <si>
    <t>NEO-MATH-Y8-07-GEO-02</t>
  </si>
  <si>
    <t>Calculate circumference/area</t>
  </si>
  <si>
    <t>NEO-MATH-Y8-07-GEO-03</t>
  </si>
  <si>
    <t>Find prism/cylinder volume</t>
  </si>
  <si>
    <t>NEO-MATH-Y8-07-GEO-04</t>
  </si>
  <si>
    <t>Calculate surface area</t>
  </si>
  <si>
    <t>NEO-MATH-Y8-07-GEO-05</t>
  </si>
  <si>
    <t>Convert units</t>
  </si>
  <si>
    <t>NEO-MATH-Y8-07-GEO-06</t>
  </si>
  <si>
    <t>Optimise within constraints</t>
  </si>
  <si>
    <t>NEO-MATH-Y8-08-PR-01</t>
  </si>
  <si>
    <t>Calculate unit rates</t>
  </si>
  <si>
    <t>NEO-MATH-Y8-08-PR-02</t>
  </si>
  <si>
    <t>Use speed/density</t>
  </si>
  <si>
    <t>NEO-MATH-Y8-08-PR-03</t>
  </si>
  <si>
    <t>Solve direct proportion</t>
  </si>
  <si>
    <t>NEO-MATH-Y8-08-PR-04</t>
  </si>
  <si>
    <t>Recognise proportional graphs through origin</t>
  </si>
  <si>
    <t>NEO-MATH-Y8-08-PR-05</t>
  </si>
  <si>
    <t>Compare methods</t>
  </si>
  <si>
    <t>NEO-MATH-Y8-08-PR-06</t>
  </si>
  <si>
    <t>Justify best value</t>
  </si>
  <si>
    <t>NEO-MATH-Y8-09-DAT-01</t>
  </si>
  <si>
    <t>Compare distributions</t>
  </si>
  <si>
    <t>NEO-MATH-Y8-09-DAT-02</t>
  </si>
  <si>
    <t>Choose averages/spread</t>
  </si>
  <si>
    <t>NEO-MATH-Y8-09-DAT-03</t>
  </si>
  <si>
    <t>NEO-MATH-Y8-09-DAT-04</t>
  </si>
  <si>
    <t>Interpret scatter graphs</t>
  </si>
  <si>
    <t>NEO-MATH-Y8-09-DAT-05</t>
  </si>
  <si>
    <t>Distinguish correlation and causation</t>
  </si>
  <si>
    <t>NEO-MATH-Y8-09-DAT-06</t>
  </si>
  <si>
    <t>Critique claims</t>
  </si>
  <si>
    <t>NEO-MATH-Y8-10-DAT-01</t>
  </si>
  <si>
    <t>Enumerate sample spaces</t>
  </si>
  <si>
    <t>NEO-MATH-Y8-10-DAT-02</t>
  </si>
  <si>
    <t>Use two-way tables/Venn when appropriate</t>
  </si>
  <si>
    <t>NEO-MATH-Y8-10-DAT-03</t>
  </si>
  <si>
    <t>Calculate probabilities</t>
  </si>
  <si>
    <t>NEO-MATH-Y8-10-DAT-04</t>
  </si>
  <si>
    <t>Compare theory and experiment</t>
  </si>
  <si>
    <t>NEO-MATH-Y8-10-DAT-05</t>
  </si>
  <si>
    <t>Explain fairness</t>
  </si>
  <si>
    <t>NEO-MATH-Y9-01-NUM-01</t>
  </si>
  <si>
    <t>Round to significant figures</t>
  </si>
  <si>
    <t>NEO-MATH-Y9-01-NUM-02</t>
  </si>
  <si>
    <t>NEO-MATH-Y9-01-NUM-03</t>
  </si>
  <si>
    <t>Use index laws</t>
  </si>
  <si>
    <t>NEO-MATH-Y9-01-NUM-04</t>
  </si>
  <si>
    <t>Write/order standard form</t>
  </si>
  <si>
    <t>NEO-MATH-Y9-01-NUM-05</t>
  </si>
  <si>
    <t>Calculate in standard form</t>
  </si>
  <si>
    <t>NEO-MATH-Y9-01-NUM-06</t>
  </si>
  <si>
    <t>Choose sensible accuracy</t>
  </si>
  <si>
    <t>NEO-MATH-Y9-02-GEO-01</t>
  </si>
  <si>
    <t>Analyse 2D/3D properties</t>
  </si>
  <si>
    <t>NEO-MATH-Y9-02-GEO-02</t>
  </si>
  <si>
    <t>Calculate surface area/volume</t>
  </si>
  <si>
    <t>NEO-MATH-Y9-02-GEO-03</t>
  </si>
  <si>
    <t>Use cross-sections</t>
  </si>
  <si>
    <t>NEO-MATH-Y9-02-GEO-04</t>
  </si>
  <si>
    <t>Use polygon angles</t>
  </si>
  <si>
    <t>NEO-MATH-Y9-02-GEO-05</t>
  </si>
  <si>
    <t>Convert spatial units</t>
  </si>
  <si>
    <t>NEO-MATH-Y9-02-GEO-06</t>
  </si>
  <si>
    <t>Reason from nets</t>
  </si>
  <si>
    <t>NEO-MATH-Y9-03-ALG-01</t>
  </si>
  <si>
    <t>Recognise quadratic patterns</t>
  </si>
  <si>
    <t>NEO-MATH-Y9-03-ALG-02</t>
  </si>
  <si>
    <t>Use second differences</t>
  </si>
  <si>
    <t>NEO-MATH-Y9-03-ALG-03</t>
  </si>
  <si>
    <t>Expand/factorise simple quadratics</t>
  </si>
  <si>
    <t>NEO-MATH-Y9-03-ALG-04</t>
  </si>
  <si>
    <t>Plot quadratic graphs</t>
  </si>
  <si>
    <t>NEO-MATH-Y9-03-ALG-05</t>
  </si>
  <si>
    <t>Identify turning points</t>
  </si>
  <si>
    <t>NEO-MATH-Y9-03-ALG-06</t>
  </si>
  <si>
    <t>Compare transformations</t>
  </si>
  <si>
    <t>NEO-MATH-Y9-04-GEO-01</t>
  </si>
  <si>
    <t>Use ruler/compass constructions</t>
  </si>
  <si>
    <t>NEO-MATH-Y9-04-GEO-02</t>
  </si>
  <si>
    <t>Construct bisectors</t>
  </si>
  <si>
    <t>NEO-MATH-Y9-04-GEO-03</t>
  </si>
  <si>
    <t>Describe loci</t>
  </si>
  <si>
    <t>NEO-MATH-Y9-04-GEO-04</t>
  </si>
  <si>
    <t>Use bearings</t>
  </si>
  <si>
    <t>NEO-MATH-Y9-04-GEO-05</t>
  </si>
  <si>
    <t>Interpret scale drawings</t>
  </si>
  <si>
    <t>NEO-MATH-Y9-04-GEO-06</t>
  </si>
  <si>
    <t>Justify precision</t>
  </si>
  <si>
    <t>NEO-MATH-Y9-05-ALG-01</t>
  </si>
  <si>
    <t>Solve linear inequalities</t>
  </si>
  <si>
    <t>NEO-MATH-Y9-05-ALG-02</t>
  </si>
  <si>
    <t>Represent solution sets</t>
  </si>
  <si>
    <t>NEO-MATH-Y9-05-ALG-03</t>
  </si>
  <si>
    <t>Use open/closed endpoints</t>
  </si>
  <si>
    <t>NEO-MATH-Y9-05-ALG-04</t>
  </si>
  <si>
    <t>Form inequalities</t>
  </si>
  <si>
    <t>NEO-MATH-Y9-05-ALG-05</t>
  </si>
  <si>
    <t>Interpret regions</t>
  </si>
  <si>
    <t>NEO-MATH-Y9-05-ALG-06</t>
  </si>
  <si>
    <t>Check boundary meaning</t>
  </si>
  <si>
    <t>NEO-MATH-Y9-06-ALG-01</t>
  </si>
  <si>
    <t>NEO-MATH-Y9-06-ALG-02</t>
  </si>
  <si>
    <t>Rearrange simple formulae</t>
  </si>
  <si>
    <t>NEO-MATH-Y9-06-ALG-03</t>
  </si>
  <si>
    <t>NEO-MATH-Y9-06-ALG-04</t>
  </si>
  <si>
    <t>Make a subject</t>
  </si>
  <si>
    <t>NEO-MATH-Y9-06-ALG-05</t>
  </si>
  <si>
    <t>Form formulae from contexts</t>
  </si>
  <si>
    <t>NEO-MATH-Y9-06-ALG-06</t>
  </si>
  <si>
    <t>Verify by substitution</t>
  </si>
  <si>
    <t>NEO-MATH-Y9-07-GEO-01</t>
  </si>
  <si>
    <t>Identify right triangles</t>
  </si>
  <si>
    <t>NEO-MATH-Y9-07-GEO-02</t>
  </si>
  <si>
    <t>Use Pythagoras</t>
  </si>
  <si>
    <t>NEO-MATH-Y9-07-GEO-03</t>
  </si>
  <si>
    <t>Choose unknown side</t>
  </si>
  <si>
    <t>NEO-MATH-Y9-07-GEO-04</t>
  </si>
  <si>
    <t>Solve contextual problems</t>
  </si>
  <si>
    <t>NEO-MATH-Y9-07-GEO-05</t>
  </si>
  <si>
    <t>NEO-MATH-Y9-07-GEO-06</t>
  </si>
  <si>
    <t>Begin 3D connections</t>
  </si>
  <si>
    <t>NEO-MATH-Y9-08-PR-01</t>
  </si>
  <si>
    <t>Recognise similar figures</t>
  </si>
  <si>
    <t>NEO-MATH-Y9-08-PR-02</t>
  </si>
  <si>
    <t>Use length scale factors</t>
  </si>
  <si>
    <t>NEO-MATH-Y9-08-PR-03</t>
  </si>
  <si>
    <t>Solve missing lengths</t>
  </si>
  <si>
    <t>NEO-MATH-Y9-08-PR-04</t>
  </si>
  <si>
    <t>Interpret maps</t>
  </si>
  <si>
    <t>NEO-MATH-Y9-08-PR-05</t>
  </si>
  <si>
    <t>Connect similarity and proportion</t>
  </si>
  <si>
    <t>NEO-MATH-Y9-08-PR-06</t>
  </si>
  <si>
    <t>Explore area scale factor</t>
  </si>
  <si>
    <t>NEO-MATH-Y9-09-DAT-01</t>
  </si>
  <si>
    <t>Plan a statistical enquiry</t>
  </si>
  <si>
    <t>NEO-MATH-Y9-09-DAT-02</t>
  </si>
  <si>
    <t>Recognise bias</t>
  </si>
  <si>
    <t>NEO-MATH-Y9-09-DAT-03</t>
  </si>
  <si>
    <t>Choose samples</t>
  </si>
  <si>
    <t>NEO-MATH-Y9-09-DAT-04</t>
  </si>
  <si>
    <t>Group data</t>
  </si>
  <si>
    <t>NEO-MATH-Y9-09-DAT-05</t>
  </si>
  <si>
    <t>Interpret scatter/correlation</t>
  </si>
  <si>
    <t>NEO-MATH-Y9-09-DAT-06</t>
  </si>
  <si>
    <t>Distinguish inference and proof</t>
  </si>
  <si>
    <t>NEO-MATH-Y9-09-DAT-07</t>
  </si>
  <si>
    <t>Critique conclusions</t>
  </si>
  <si>
    <t>NEO-MATH-Y9-10-DAT-01</t>
  </si>
  <si>
    <t>Use Venn diagrams/set language</t>
  </si>
  <si>
    <t>NEO-MATH-Y9-10-DAT-02</t>
  </si>
  <si>
    <t>Build tree diagrams</t>
  </si>
  <si>
    <t>NEO-MATH-Y9-10-DAT-03</t>
  </si>
  <si>
    <t>Calculate combined probabilities</t>
  </si>
  <si>
    <t>NEO-MATH-Y9-10-DAT-04</t>
  </si>
  <si>
    <t>Compare independent/dependent situations</t>
  </si>
  <si>
    <t>NEO-MATH-Y9-10-DAT-05</t>
  </si>
  <si>
    <t>Compare experimental/theoretical probability</t>
  </si>
  <si>
    <t>NEO-MATH-Y10-01-NUM-01</t>
  </si>
  <si>
    <t>Calculate with integers/fractions/decimals</t>
  </si>
  <si>
    <t>NEO-MATH-Y10-01-NUM-02</t>
  </si>
  <si>
    <t>Use BIDMAS</t>
  </si>
  <si>
    <t>NEO-MATH-Y10-01-NUM-03</t>
  </si>
  <si>
    <t>Round accurately</t>
  </si>
  <si>
    <t>NEO-MATH-Y10-01-NUM-04</t>
  </si>
  <si>
    <t>NEO-MATH-Y10-01-NUM-05</t>
  </si>
  <si>
    <t>Use scientific calculator</t>
  </si>
  <si>
    <t>NEO-MATH-Y10-01-NUM-06</t>
  </si>
  <si>
    <t>Judge reasonableness</t>
  </si>
  <si>
    <t>NEO-MATH-Y10-02-ALG-01</t>
  </si>
  <si>
    <t>Use symbols</t>
  </si>
  <si>
    <t>NEO-MATH-Y10-02-ALG-02</t>
  </si>
  <si>
    <t>NEO-MATH-Y10-02-ALG-03</t>
  </si>
  <si>
    <t>Collect terms</t>
  </si>
  <si>
    <t>NEO-MATH-Y10-02-ALG-04</t>
  </si>
  <si>
    <t>Expand</t>
  </si>
  <si>
    <t>NEO-MATH-Y10-02-ALG-05</t>
  </si>
  <si>
    <t>Factorise</t>
  </si>
  <si>
    <t>NEO-MATH-Y10-02-ALG-06</t>
  </si>
  <si>
    <t>Manipulate algebraic fractions at appropriate tier</t>
  </si>
  <si>
    <t>NEO-MATH-Y10-02-ALG-07</t>
  </si>
  <si>
    <t>Distinguish expression/equation/identity</t>
  </si>
  <si>
    <t>NEO-MATH-Y10-03-FUN-01</t>
  </si>
  <si>
    <t>Use set notation/Venn diagrams</t>
  </si>
  <si>
    <t>NEO-MATH-Y10-03-FUN-02</t>
  </si>
  <si>
    <t>Generate graph points</t>
  </si>
  <si>
    <t>NEO-MATH-Y10-03-FUN-03</t>
  </si>
  <si>
    <t>Find gradient/intercept</t>
  </si>
  <si>
    <t>NEO-MATH-Y10-03-FUN-04</t>
  </si>
  <si>
    <t>Write linear equations</t>
  </si>
  <si>
    <t>NEO-MATH-Y10-03-FUN-05</t>
  </si>
  <si>
    <t>Interpret conversion graphs</t>
  </si>
  <si>
    <t>NEO-MATH-Y10-03-FUN-06</t>
  </si>
  <si>
    <t>Connect representations</t>
  </si>
  <si>
    <t>NEO-MATH-Y10-04-PR-01</t>
  </si>
  <si>
    <t>Solve ratio/proportion</t>
  </si>
  <si>
    <t>NEO-MATH-Y10-04-PR-02</t>
  </si>
  <si>
    <t>Use percentages</t>
  </si>
  <si>
    <t>NEO-MATH-Y10-04-PR-03</t>
  </si>
  <si>
    <t>Calculate repeated change/compound interest at tier</t>
  </si>
  <si>
    <t>NEO-MATH-Y10-04-PR-04</t>
  </si>
  <si>
    <t>Use direct proportion</t>
  </si>
  <si>
    <t>NEO-MATH-Y10-04-PR-05</t>
  </si>
  <si>
    <t>Interpret growth models</t>
  </si>
  <si>
    <t>NEO-MATH-Y10-04-PR-06</t>
  </si>
  <si>
    <t>Reverse percentage changes</t>
  </si>
  <si>
    <t>NEO-MATH-Y10-05-ALG-01</t>
  </si>
  <si>
    <t>Solve linear equations</t>
  </si>
  <si>
    <t>NEO-MATH-Y10-05-ALG-02</t>
  </si>
  <si>
    <t>Solve simultaneous equations</t>
  </si>
  <si>
    <t>NEO-MATH-Y10-05-ALG-03</t>
  </si>
  <si>
    <t>Solve/represent inequalities</t>
  </si>
  <si>
    <t>NEO-MATH-Y10-05-ALG-04</t>
  </si>
  <si>
    <t>Form equations</t>
  </si>
  <si>
    <t>NEO-MATH-Y10-05-ALG-05</t>
  </si>
  <si>
    <t>Interpret intersection as common solution</t>
  </si>
  <si>
    <t>NEO-MATH-Y10-05-ALG-06</t>
  </si>
  <si>
    <t>Check solutions</t>
  </si>
  <si>
    <t>NEO-MATH-Y10-06-GEO-01</t>
  </si>
  <si>
    <t>NEO-MATH-Y10-06-GEO-02</t>
  </si>
  <si>
    <t>Choose sine/cosine/tangent</t>
  </si>
  <si>
    <t>NEO-MATH-Y10-06-GEO-03</t>
  </si>
  <si>
    <t>Solve right triangles</t>
  </si>
  <si>
    <t>NEO-MATH-Y10-06-GEO-04</t>
  </si>
  <si>
    <t>Interpret bearings/elevation</t>
  </si>
  <si>
    <t>NEO-MATH-Y10-06-GEO-05</t>
  </si>
  <si>
    <t>Use units and accuracy</t>
  </si>
  <si>
    <t>NEO-MATH-Y10-06-GEO-06</t>
  </si>
  <si>
    <t>Justify method</t>
  </si>
  <si>
    <t>NEO-MATH-Y10-07-DAT-01</t>
  </si>
  <si>
    <t>Construct/interpret frequency diagrams</t>
  </si>
  <si>
    <t>NEO-MATH-Y10-07-DAT-02</t>
  </si>
  <si>
    <t>NEO-MATH-Y10-07-DAT-03</t>
  </si>
  <si>
    <t>Use scatter graphs</t>
  </si>
  <si>
    <t>NEO-MATH-Y10-07-DAT-04</t>
  </si>
  <si>
    <t>Interpret correlation</t>
  </si>
  <si>
    <t>NEO-MATH-Y10-07-DAT-05</t>
  </si>
  <si>
    <t>Choose averages</t>
  </si>
  <si>
    <t>NEO-MATH-Y10-07-DAT-06</t>
  </si>
  <si>
    <t>Critique graphical claims</t>
  </si>
  <si>
    <t>NEO-MATH-Y10-08-NUM-01</t>
  </si>
  <si>
    <t>Identify rounding intervals</t>
  </si>
  <si>
    <t>NEO-MATH-Y10-08-NUM-02</t>
  </si>
  <si>
    <t>Find upper/lower bounds</t>
  </si>
  <si>
    <t>NEO-MATH-Y10-08-NUM-03</t>
  </si>
  <si>
    <t>Calculate with bounds at tier</t>
  </si>
  <si>
    <t>NEO-MATH-Y10-08-NUM-04</t>
  </si>
  <si>
    <t>Use estimation</t>
  </si>
  <si>
    <t>NEO-MATH-Y10-08-NUM-05</t>
  </si>
  <si>
    <t>Interpret tolerances</t>
  </si>
  <si>
    <t>NEO-MATH-Y10-08-NUM-06</t>
  </si>
  <si>
    <t>Communicate accuracy</t>
  </si>
  <si>
    <t>NEO-MATH-Y10-09-ALG-01</t>
  </si>
  <si>
    <t>Expand/factorise quadratics</t>
  </si>
  <si>
    <t>NEO-MATH-Y10-09-ALG-02</t>
  </si>
  <si>
    <t>Solve by factorisation</t>
  </si>
  <si>
    <t>NEO-MATH-Y10-09-ALG-03</t>
  </si>
  <si>
    <t>Connect roots/intercepts</t>
  </si>
  <si>
    <t>NEO-MATH-Y10-09-ALG-04</t>
  </si>
  <si>
    <t>Plot/interpret quadratics</t>
  </si>
  <si>
    <t>NEO-MATH-Y10-09-ALG-05</t>
  </si>
  <si>
    <t>Form simple quadratic models</t>
  </si>
  <si>
    <t>NEO-MATH-Y10-09-ALG-06</t>
  </si>
  <si>
    <t>NEO-MATH-Y10-10-PRF-01</t>
  </si>
  <si>
    <t>Identify relevant mathematics</t>
  </si>
  <si>
    <t>NEO-MATH-Y10-10-PRF-02</t>
  </si>
  <si>
    <t>Connect domains</t>
  </si>
  <si>
    <t>NEO-MATH-Y10-10-PRF-03</t>
  </si>
  <si>
    <t>Choose representations</t>
  </si>
  <si>
    <t>NEO-MATH-Y10-10-PRF-04</t>
  </si>
  <si>
    <t>Justify a strategy</t>
  </si>
  <si>
    <t>NEO-MATH-Y10-10-PRF-05</t>
  </si>
  <si>
    <t>Evaluate assumptions</t>
  </si>
  <si>
    <t>NEO-MATH-Y10-10-PRF-06</t>
  </si>
  <si>
    <t>Communicate a multi-step solution</t>
  </si>
  <si>
    <t>NEO-MATH-Y11-01-ALG-01</t>
  </si>
  <si>
    <t>Manipulate complex expressions</t>
  </si>
  <si>
    <t>NEO-MATH-Y11-01-ALG-02</t>
  </si>
  <si>
    <t>Solve quadratics by multiple methods</t>
  </si>
  <si>
    <t>NEO-MATH-Y11-01-ALG-03</t>
  </si>
  <si>
    <t>Use algebraic fractions</t>
  </si>
  <si>
    <t>NEO-MATH-Y11-01-ALG-04</t>
  </si>
  <si>
    <t>Rearrange harder formulae</t>
  </si>
  <si>
    <t>NEO-MATH-Y11-01-ALG-05</t>
  </si>
  <si>
    <t>Construct algebraic proof</t>
  </si>
  <si>
    <t>NEO-MATH-Y11-01-ALG-06</t>
  </si>
  <si>
    <t>Choose strategy</t>
  </si>
  <si>
    <t>NEO-MATH-Y11-02-FUN-01</t>
  </si>
  <si>
    <t>Interpret functions</t>
  </si>
  <si>
    <t>NEO-MATH-Y11-02-FUN-02</t>
  </si>
  <si>
    <t>Sketch linear/quadratic/cubic/reciprocal/exponential graphs at tier</t>
  </si>
  <si>
    <t>NEO-MATH-Y11-02-FUN-03</t>
  </si>
  <si>
    <t>Transform graphs</t>
  </si>
  <si>
    <t>NEO-MATH-Y11-02-FUN-04</t>
  </si>
  <si>
    <t>Estimate roots/intersections</t>
  </si>
  <si>
    <t>NEO-MATH-Y11-02-FUN-05</t>
  </si>
  <si>
    <t>Interpret gradient/rate</t>
  </si>
  <si>
    <t>NEO-MATH-Y11-03-FUN-01</t>
  </si>
  <si>
    <t>Interpret distance-time/speed-time graphs</t>
  </si>
  <si>
    <t>NEO-MATH-Y11-03-FUN-02</t>
  </si>
  <si>
    <t>Calculate gradient as rate</t>
  </si>
  <si>
    <t>NEO-MATH-Y11-03-FUN-03</t>
  </si>
  <si>
    <t>Calculate area under speed-time graphs where required</t>
  </si>
  <si>
    <t>NEO-MATH-Y11-03-FUN-04</t>
  </si>
  <si>
    <t>Compare average/instantaneous ideas</t>
  </si>
  <si>
    <t>NEO-MATH-Y11-03-FUN-05</t>
  </si>
  <si>
    <t>Evaluate models</t>
  </si>
  <si>
    <t>NEO-MATH-Y11-04-GEO-01</t>
  </si>
  <si>
    <t>Use circle vocabulary/properties</t>
  </si>
  <si>
    <t>NEO-MATH-Y11-04-GEO-02</t>
  </si>
  <si>
    <t>Apply circle theorems at tier</t>
  </si>
  <si>
    <t>NEO-MATH-Y11-04-GEO-03</t>
  </si>
  <si>
    <t>Construct proof chains</t>
  </si>
  <si>
    <t>NEO-MATH-Y11-04-GEO-04</t>
  </si>
  <si>
    <t>Use tangent/chord facts</t>
  </si>
  <si>
    <t>NEO-MATH-Y11-04-GEO-05</t>
  </si>
  <si>
    <t>State reasons precisely</t>
  </si>
  <si>
    <t>NEO-MATH-Y11-05-GEO-01</t>
  </si>
  <si>
    <t>Use similarity including area/volume scale factors</t>
  </si>
  <si>
    <t>NEO-MATH-Y11-05-GEO-02</t>
  </si>
  <si>
    <t>Use vectors at Higher</t>
  </si>
  <si>
    <t>NEO-MATH-Y11-05-GEO-03</t>
  </si>
  <si>
    <t>Describe transformations fully</t>
  </si>
  <si>
    <t>NEO-MATH-Y11-05-GEO-04</t>
  </si>
  <si>
    <t>Combine geometric reasoning</t>
  </si>
  <si>
    <t>NEO-MATH-Y11-05-GEO-05</t>
  </si>
  <si>
    <t>Prove relationships where appropriate</t>
  </si>
  <si>
    <t>NEO-MATH-Y11-06-GEO-01</t>
  </si>
  <si>
    <t>Apply trig/Pythagoras in 2D/3D</t>
  </si>
  <si>
    <t>NEO-MATH-Y11-06-GEO-02</t>
  </si>
  <si>
    <t>Choose trig rules at tier</t>
  </si>
  <si>
    <t>NEO-MATH-Y11-06-GEO-03</t>
  </si>
  <si>
    <t>Calculate arcs/sectors</t>
  </si>
  <si>
    <t>NEO-MATH-Y11-06-GEO-04</t>
  </si>
  <si>
    <t>Solve surface area/volume problems</t>
  </si>
  <si>
    <t>NEO-MATH-Y11-06-GEO-05</t>
  </si>
  <si>
    <t>NEO-MATH-Y11-06-GEO-06</t>
  </si>
  <si>
    <t>NEO-MATH-Y11-07-DAT-01</t>
  </si>
  <si>
    <t>Interpret/construct histograms at tier</t>
  </si>
  <si>
    <t>NEO-MATH-Y11-07-DAT-02</t>
  </si>
  <si>
    <t>Use frequency density</t>
  </si>
  <si>
    <t>NEO-MATH-Y11-07-DAT-03</t>
  </si>
  <si>
    <t>Use cumulative frequency/box plots at tier</t>
  </si>
  <si>
    <t>NEO-MATH-Y11-07-DAT-04</t>
  </si>
  <si>
    <t>NEO-MATH-Y11-07-DAT-05</t>
  </si>
  <si>
    <t>Justify statistical conclusions</t>
  </si>
  <si>
    <t>NEO-MATH-Y11-08-DAT-01</t>
  </si>
  <si>
    <t>Use Venn/tree diagrams</t>
  </si>
  <si>
    <t>NEO-MATH-Y11-08-DAT-02</t>
  </si>
  <si>
    <t>Calculate combined events</t>
  </si>
  <si>
    <t>NEO-MATH-Y11-08-DAT-03</t>
  </si>
  <si>
    <t>Update dependent probabilities</t>
  </si>
  <si>
    <t>NEO-MATH-Y11-08-DAT-04</t>
  </si>
  <si>
    <t>Use expected frequency</t>
  </si>
  <si>
    <t>NEO-MATH-Y11-08-DAT-05</t>
  </si>
  <si>
    <t>Interpret conditional information at tier</t>
  </si>
  <si>
    <t>NEO-MATH-Y11-08-DAT-06</t>
  </si>
  <si>
    <t>Communicate risk</t>
  </si>
  <si>
    <t>NEO-MATH-Y11-09-PRF-01</t>
  </si>
  <si>
    <t>Interpret command words</t>
  </si>
  <si>
    <t>NEO-MATH-Y11-09-PRF-02</t>
  </si>
  <si>
    <t>Identify hidden topics</t>
  </si>
  <si>
    <t>NEO-MATH-Y11-09-PRF-03</t>
  </si>
  <si>
    <t>Select strategy</t>
  </si>
  <si>
    <t>NEO-MATH-Y11-09-PRF-04</t>
  </si>
  <si>
    <t>Reason deductively</t>
  </si>
  <si>
    <t>NEO-MATH-Y11-09-PRF-05</t>
  </si>
  <si>
    <t>Show enough working</t>
  </si>
  <si>
    <t>NEO-MATH-Y11-09-PRF-06</t>
  </si>
  <si>
    <t>Check units/accuracy</t>
  </si>
  <si>
    <t>NEO-MATH-Y11-09-PRF-07</t>
  </si>
  <si>
    <t>Recover after a stuck moment</t>
  </si>
  <si>
    <t>NEO-MATH-Y11-10-MOD-01</t>
  </si>
  <si>
    <t>Form a model</t>
  </si>
  <si>
    <t>NEO-MATH-Y11-10-MOD-02</t>
  </si>
  <si>
    <t>Combine multiple domains</t>
  </si>
  <si>
    <t>NEO-MATH-Y11-10-MOD-03</t>
  </si>
  <si>
    <t>Make assumptions</t>
  </si>
  <si>
    <t>NEO-MATH-Y11-10-MOD-04</t>
  </si>
  <si>
    <t>Calculate accurately</t>
  </si>
  <si>
    <t>NEO-MATH-Y11-10-MOD-05</t>
  </si>
  <si>
    <t>Interpret results</t>
  </si>
  <si>
    <t>NEO-MATH-Y11-10-MOD-06</t>
  </si>
  <si>
    <t>Evaluate limitations</t>
  </si>
  <si>
    <t>NEO-MATH-Y11-10-MOD-07</t>
  </si>
  <si>
    <t>Communicate and revise</t>
  </si>
  <si>
    <t>NEO-MATH-FS-01-NUM-01</t>
  </si>
  <si>
    <t>Read/order numbers</t>
  </si>
  <si>
    <t>NEO-MATH-FS-01-NUM-02</t>
  </si>
  <si>
    <t>Calculate with whole numbers/decimals</t>
  </si>
  <si>
    <t>NEO-MATH-FS-01-NUM-03</t>
  </si>
  <si>
    <t>Use negatives</t>
  </si>
  <si>
    <t>NEO-MATH-FS-01-NUM-04</t>
  </si>
  <si>
    <t>NEO-MATH-FS-01-NUM-05</t>
  </si>
  <si>
    <t>Round</t>
  </si>
  <si>
    <t>NEO-MATH-FS-01-NUM-06</t>
  </si>
  <si>
    <t>Check answers</t>
  </si>
  <si>
    <t>NEO-MATH-FS-01-NUM-07</t>
  </si>
  <si>
    <t>Choose calculator or non-calculator routes</t>
  </si>
  <si>
    <t>NEO-MATH-FS-02-APP-01</t>
  </si>
  <si>
    <t>Calculate money</t>
  </si>
  <si>
    <t>NEO-MATH-FS-02-APP-02</t>
  </si>
  <si>
    <t>NEO-MATH-FS-02-APP-03</t>
  </si>
  <si>
    <t>Discounts</t>
  </si>
  <si>
    <t>NEO-MATH-FS-02-APP-04</t>
  </si>
  <si>
    <t>Simple/compound interest by level</t>
  </si>
  <si>
    <t>NEO-MATH-FS-02-APP-05</t>
  </si>
  <si>
    <t>Tax/budgeting</t>
  </si>
  <si>
    <t>NEO-MATH-FS-02-APP-06</t>
  </si>
  <si>
    <t>Compare options</t>
  </si>
  <si>
    <t>NEO-MATH-FS-02-APP-07</t>
  </si>
  <si>
    <t>Explain a decision</t>
  </si>
  <si>
    <t>NEO-MATH-FS-03-PR-01</t>
  </si>
  <si>
    <t>Use fractions/FDP equivalence</t>
  </si>
  <si>
    <t>NEO-MATH-FS-03-PR-02</t>
  </si>
  <si>
    <t>Use simple ratio</t>
  </si>
  <si>
    <t>NEO-MATH-FS-03-PR-03</t>
  </si>
  <si>
    <t>Direct proportion</t>
  </si>
  <si>
    <t>NEO-MATH-FS-03-PR-04</t>
  </si>
  <si>
    <t>Inverse proportion at Level 2</t>
  </si>
  <si>
    <t>NEO-MATH-FS-03-PR-05</t>
  </si>
  <si>
    <t>Scale quantities</t>
  </si>
  <si>
    <t>NEO-MATH-FS-03-PR-06</t>
  </si>
  <si>
    <t>Interpret units</t>
  </si>
  <si>
    <t>NEO-MATH-FS-04-APP-01</t>
  </si>
  <si>
    <t>NEO-MATH-FS-04-APP-02</t>
  </si>
  <si>
    <t>Rates of pay</t>
  </si>
  <si>
    <t>NEO-MATH-FS-04-APP-03</t>
  </si>
  <si>
    <t>Speed/density at Level 2</t>
  </si>
  <si>
    <t>NEO-MATH-FS-04-APP-04</t>
  </si>
  <si>
    <t>Compare offers</t>
  </si>
  <si>
    <t>NEO-MATH-FS-04-APP-05</t>
  </si>
  <si>
    <t>NEO-MATH-FS-04-APP-06</t>
  </si>
  <si>
    <t>Interpret compound measures</t>
  </si>
  <si>
    <t>NEO-MATH-FS-05-GEO-01</t>
  </si>
  <si>
    <t>NEO-MATH-FS-05-GEO-02</t>
  </si>
  <si>
    <t>Use scales/maps</t>
  </si>
  <si>
    <t>NEO-MATH-FS-05-GEO-03</t>
  </si>
  <si>
    <t>Perimeter/area</t>
  </si>
  <si>
    <t>NEO-MATH-FS-05-GEO-04</t>
  </si>
  <si>
    <t>Volume</t>
  </si>
  <si>
    <t>NEO-MATH-FS-05-GEO-05</t>
  </si>
  <si>
    <t>Plans/elevations/nets</t>
  </si>
  <si>
    <t>NEO-MATH-FS-05-GEO-06</t>
  </si>
  <si>
    <t>Angles/coordinates by level</t>
  </si>
  <si>
    <t>NEO-MATH-FS-05-GEO-07</t>
  </si>
  <si>
    <t>Calculate actual dimensions</t>
  </si>
  <si>
    <t>NEO-MATH-FS-06-APP-01</t>
  </si>
  <si>
    <t>Calculate time intervals</t>
  </si>
  <si>
    <t>NEO-MATH-FS-06-APP-02</t>
  </si>
  <si>
    <t>Read timetables</t>
  </si>
  <si>
    <t>NEO-MATH-FS-06-APP-03</t>
  </si>
  <si>
    <t>Use speed/distance/time at Level 2</t>
  </si>
  <si>
    <t>NEO-MATH-FS-06-APP-04</t>
  </si>
  <si>
    <t>Compare routes</t>
  </si>
  <si>
    <t>NEO-MATH-FS-06-APP-05</t>
  </si>
  <si>
    <t>Use money</t>
  </si>
  <si>
    <t>NEO-MATH-FS-06-APP-06</t>
  </si>
  <si>
    <t>Build contingency</t>
  </si>
  <si>
    <t>NEO-MATH-FS-06-APP-07</t>
  </si>
  <si>
    <t>Explain assumptions</t>
  </si>
  <si>
    <t>NEO-MATH-FS-07-DAT-01</t>
  </si>
  <si>
    <t>Read/construct charts</t>
  </si>
  <si>
    <t>NEO-MATH-FS-07-DAT-02</t>
  </si>
  <si>
    <t>NEO-MATH-FS-07-DAT-03</t>
  </si>
  <si>
    <t>Calculate averages/range by level</t>
  </si>
  <si>
    <t>NEO-MATH-FS-07-DAT-04</t>
  </si>
  <si>
    <t>Compare data sets</t>
  </si>
  <si>
    <t>NEO-MATH-FS-07-DAT-05</t>
  </si>
  <si>
    <t>Interpret scatter/correlation at L2</t>
  </si>
  <si>
    <t>NEO-MATH-FS-07-DAT-06</t>
  </si>
  <si>
    <t>Critique a claim</t>
  </si>
  <si>
    <t>NEO-MATH-FS-08-DAT-01</t>
  </si>
  <si>
    <t>NEO-MATH-FS-08-DAT-02</t>
  </si>
  <si>
    <t>Calculate simple events</t>
  </si>
  <si>
    <t>NEO-MATH-FS-08-DAT-03</t>
  </si>
  <si>
    <t>Express probability in multiple forms at L2</t>
  </si>
  <si>
    <t>NEO-MATH-FS-08-DAT-04</t>
  </si>
  <si>
    <t>Use combined events/tables at L2</t>
  </si>
  <si>
    <t>NEO-MATH-FS-08-DAT-05</t>
  </si>
  <si>
    <t>Interpret likelihood</t>
  </si>
  <si>
    <t>NEO-MATH-FS-09-MOD-01</t>
  </si>
  <si>
    <t>Identify information</t>
  </si>
  <si>
    <t>NEO-MATH-FS-09-MOD-02</t>
  </si>
  <si>
    <t>Plan multiple steps</t>
  </si>
  <si>
    <t>NEO-MATH-FS-09-MOD-03</t>
  </si>
  <si>
    <t>Combine content areas</t>
  </si>
  <si>
    <t>NEO-MATH-FS-09-MOD-04</t>
  </si>
  <si>
    <t>Calculate to required accuracy</t>
  </si>
  <si>
    <t>NEO-MATH-FS-09-MOD-05</t>
  </si>
  <si>
    <t>Interpret</t>
  </si>
  <si>
    <t>NEO-MATH-FS-09-MOD-06</t>
  </si>
  <si>
    <t>NEO-MATH-FS-09-MOD-07</t>
  </si>
  <si>
    <t>Present a recommendation</t>
  </si>
  <si>
    <t>NEO-MATH-FS-10-SRL-01</t>
  </si>
  <si>
    <t>Read mathematical information</t>
  </si>
  <si>
    <t>NEO-MATH-FS-10-SRL-02</t>
  </si>
  <si>
    <t>Identify operations</t>
  </si>
  <si>
    <t>NEO-MATH-FS-10-SRL-03</t>
  </si>
  <si>
    <t>Plan steps</t>
  </si>
  <si>
    <t>NEO-MATH-FS-10-SRL-04</t>
  </si>
  <si>
    <t>Use required accuracy</t>
  </si>
  <si>
    <t>NEO-MATH-FS-10-SRL-05</t>
  </si>
  <si>
    <t>Check sense</t>
  </si>
  <si>
    <t>NEO-MATH-FS-10-SRL-06</t>
  </si>
  <si>
    <t>Explain results</t>
  </si>
  <si>
    <t>NEO-MATH-FS-10-SRL-07</t>
  </si>
  <si>
    <t>Use calculator/non-calculator strategies</t>
  </si>
  <si>
    <t>Qualification Overlay Map</t>
  </si>
  <si>
    <t>Overlay references describe where external frameworks assess canonical NEO mathematics. They do not define the curriculum spine. Verify specification details at annual review.</t>
  </si>
  <si>
    <t>Overlay Map ID</t>
  </si>
  <si>
    <t>Overlay</t>
  </si>
  <si>
    <t>Tier / Level</t>
  </si>
  <si>
    <t>Specification Reference</t>
  </si>
  <si>
    <t>Canonical Link Summary</t>
  </si>
  <si>
    <t>Source URL</t>
  </si>
  <si>
    <t>Review Note</t>
  </si>
  <si>
    <t>OV-0001</t>
  </si>
  <si>
    <t>Discovery / Reconnection</t>
  </si>
  <si>
    <t>NEO Canonical / Discovery</t>
  </si>
  <si>
    <t>Pathway diagnostic</t>
  </si>
  <si>
    <t>Outcome supports re-engagement, entry-point identification and movement into the canonical spine.</t>
  </si>
  <si>
    <t>No external assessment claim; evidence informs pathway planning.</t>
  </si>
  <si>
    <t>OV-0002</t>
  </si>
  <si>
    <t>National Curriculum KS3 Mathematics</t>
  </si>
  <si>
    <t>KS3</t>
  </si>
  <si>
    <t>Canonical Stepping Stones build fluency, reasoning, representation and problem solving within the named domain.</t>
  </si>
  <si>
    <t>https://www.gov.uk/government/publications/national-curriculum-in-england-mathematics-programmes-of-study/national-curriculum-in-england-mathematics-programmes-of-study</t>
  </si>
  <si>
    <t>Statutory KS3 programme; sequence by readiness and secure understanding.</t>
  </si>
  <si>
    <t>OV-0003</t>
  </si>
  <si>
    <t>Pearson Edexcel Functional Skills Mathematics (2019)</t>
  </si>
  <si>
    <t>Level 1 / Level 2 differentiated</t>
  </si>
  <si>
    <t>Canonical learning is applied to realistic problems, decision making, checking reasonableness and communicating results.</t>
  </si>
  <si>
    <t>https://qualifications.pearson.com/en/qualifications/edexcel-functional-skills/maths-2019.html</t>
  </si>
  <si>
    <t>Pearson page lists L1/L2 review date 31 August 2028; verify at annual review.</t>
  </si>
  <si>
    <t>OV-0004</t>
  </si>
  <si>
    <t>OV-0005</t>
  </si>
  <si>
    <t>OV-0006</t>
  </si>
  <si>
    <t>OV-0007</t>
  </si>
  <si>
    <t>OV-0008</t>
  </si>
  <si>
    <t>OV-0009</t>
  </si>
  <si>
    <t>OV-0010</t>
  </si>
  <si>
    <t>OV-0011</t>
  </si>
  <si>
    <t>OV-0012</t>
  </si>
  <si>
    <t>OV-0013</t>
  </si>
  <si>
    <t>OV-0014</t>
  </si>
  <si>
    <t>OV-0015</t>
  </si>
  <si>
    <t>Year 7 Foundations</t>
  </si>
  <si>
    <t>OV-0016</t>
  </si>
  <si>
    <t>OV-0017</t>
  </si>
  <si>
    <t>OV-0018</t>
  </si>
  <si>
    <t>OV-0019</t>
  </si>
  <si>
    <t>OV-0020</t>
  </si>
  <si>
    <t>OV-0021</t>
  </si>
  <si>
    <t>OV-0022</t>
  </si>
  <si>
    <t>OV-0023</t>
  </si>
  <si>
    <t>OV-0024</t>
  </si>
  <si>
    <t>OV-0025</t>
  </si>
  <si>
    <t>Pearson Edexcel International GCSE Mathematics A (4MA1)</t>
  </si>
  <si>
    <t>Foundation/Higher bridge</t>
  </si>
  <si>
    <t>Canonical outcomes map to the relevant 4MA1 content while the lesson remains inquiry-led and representation-rich.</t>
  </si>
  <si>
    <t>https://qualifications.pearson.com/en/qualifications/edexcel-international-gcses/international-gcse-mathematics-a-2016.html</t>
  </si>
  <si>
    <t>Current NEO draft names 4MA1. Recheck Pearson specification issue and entry route annually.</t>
  </si>
  <si>
    <t>OV-0026</t>
  </si>
  <si>
    <t>OV-0027</t>
  </si>
  <si>
    <t>OV-0028</t>
  </si>
  <si>
    <t>OV-0029</t>
  </si>
  <si>
    <t>OV-0030</t>
  </si>
  <si>
    <t>OV-0031</t>
  </si>
  <si>
    <t>OV-0032</t>
  </si>
  <si>
    <t>Year 8 Connections</t>
  </si>
  <si>
    <t>OV-0033</t>
  </si>
  <si>
    <t>OV-0034</t>
  </si>
  <si>
    <t>Level 2</t>
  </si>
  <si>
    <t>OV-0035</t>
  </si>
  <si>
    <t>OV-0036</t>
  </si>
  <si>
    <t>OV-0037</t>
  </si>
  <si>
    <t>OV-0038</t>
  </si>
  <si>
    <t>OV-0039</t>
  </si>
  <si>
    <t>OV-0040</t>
  </si>
  <si>
    <t>OV-0041</t>
  </si>
  <si>
    <t>Foundation / Higher as mapped</t>
  </si>
  <si>
    <t>OV-0042</t>
  </si>
  <si>
    <t>OV-0043</t>
  </si>
  <si>
    <t>OV-0044</t>
  </si>
  <si>
    <t>OV-0045</t>
  </si>
  <si>
    <t>OV-0046</t>
  </si>
  <si>
    <t>OV-0047</t>
  </si>
  <si>
    <t>OV-0048</t>
  </si>
  <si>
    <t>OV-0049</t>
  </si>
  <si>
    <t>OV-0050</t>
  </si>
  <si>
    <t>OV-0051</t>
  </si>
  <si>
    <t>OV-0052</t>
  </si>
  <si>
    <t>OV-0053</t>
  </si>
  <si>
    <t>OV-0054</t>
  </si>
  <si>
    <t>OV-0055</t>
  </si>
  <si>
    <t>OV-0056</t>
  </si>
  <si>
    <t>OV-0057</t>
  </si>
  <si>
    <t>Year 9 Bridge</t>
  </si>
  <si>
    <t>OV-0058</t>
  </si>
  <si>
    <t>OV-0059</t>
  </si>
  <si>
    <t>OV-0060</t>
  </si>
  <si>
    <t>OV-0061</t>
  </si>
  <si>
    <t>OV-0062</t>
  </si>
  <si>
    <t>OV-0063</t>
  </si>
  <si>
    <t>OV-0064</t>
  </si>
  <si>
    <t>OV-0065</t>
  </si>
  <si>
    <t>OV-0066</t>
  </si>
  <si>
    <t>OV-0067</t>
  </si>
  <si>
    <t>OV-0068</t>
  </si>
  <si>
    <t>OV-0069</t>
  </si>
  <si>
    <t>OV-0070</t>
  </si>
  <si>
    <t>OV-0071</t>
  </si>
  <si>
    <t>OV-0072</t>
  </si>
  <si>
    <t>OV-0073</t>
  </si>
  <si>
    <t>OV-0074</t>
  </si>
  <si>
    <t>OV-0075</t>
  </si>
  <si>
    <t>OV-0076</t>
  </si>
  <si>
    <t>OV-0077</t>
  </si>
  <si>
    <t>OV-0078</t>
  </si>
  <si>
    <t>OV-0079</t>
  </si>
  <si>
    <t>OV-0080</t>
  </si>
  <si>
    <t>iGCSE Year 1</t>
  </si>
  <si>
    <t>OV-0081</t>
  </si>
  <si>
    <t>OV-0082</t>
  </si>
  <si>
    <t>OV-0083</t>
  </si>
  <si>
    <t>OV-0084</t>
  </si>
  <si>
    <t>OV-0085</t>
  </si>
  <si>
    <t>OV-0086</t>
  </si>
  <si>
    <t>OV-0087</t>
  </si>
  <si>
    <t>OV-0088</t>
  </si>
  <si>
    <t>OV-0089</t>
  </si>
  <si>
    <t>OV-0090</t>
  </si>
  <si>
    <t>OV-0091</t>
  </si>
  <si>
    <t>iGCSE Year 2</t>
  </si>
  <si>
    <t>OV-0092</t>
  </si>
  <si>
    <t>OV-0093</t>
  </si>
  <si>
    <t>OV-0094</t>
  </si>
  <si>
    <t>OV-0095</t>
  </si>
  <si>
    <t>OV-0096</t>
  </si>
  <si>
    <t>OV-0097</t>
  </si>
  <si>
    <t>OV-0098</t>
  </si>
  <si>
    <t>OV-0099</t>
  </si>
  <si>
    <t>OV-0100</t>
  </si>
  <si>
    <t>OV-0101</t>
  </si>
  <si>
    <t>OV-0102</t>
  </si>
  <si>
    <t>OV-0103</t>
  </si>
  <si>
    <t>OV-0104</t>
  </si>
  <si>
    <t>OV-0105</t>
  </si>
  <si>
    <t>OV-0106</t>
  </si>
  <si>
    <t>OV-0107</t>
  </si>
  <si>
    <t>OV-0108</t>
  </si>
  <si>
    <t>OV-0109</t>
  </si>
  <si>
    <t>OV-0110</t>
  </si>
  <si>
    <t>NEO Cornerstone Distribution and Unit Fit</t>
  </si>
  <si>
    <t>Cornerstones are design lenses. Fit is intentionally uneven: Nutrition is contextual in many abstract mathematics units and should not be forced.</t>
  </si>
  <si>
    <t>Cornerstone</t>
  </si>
  <si>
    <t>Primary Units</t>
  </si>
  <si>
    <t>% of 68 Units</t>
  </si>
  <si>
    <t>Design Reminder</t>
  </si>
  <si>
    <t>Fit</t>
  </si>
  <si>
    <t>What the Cornerstone Does Mathematically</t>
  </si>
  <si>
    <t>Scratchpad / Inquiry Link</t>
  </si>
  <si>
    <t>Sensory / Pacing Note</t>
  </si>
  <si>
    <t>Makes relationships, equivalence, dependency or communication explicit.</t>
  </si>
  <si>
    <t>Maths Route Finder: visual, numerical and contextual mini-challenges | Blank / Square grid</t>
  </si>
  <si>
    <t>Uses chunking, consolidation, low-stakes retrieval or the mathematics of zero/space.</t>
  </si>
  <si>
    <t>Place-Value Magnifier and Number Line Zoom | Square grid</t>
  </si>
  <si>
    <t>Invites conjecture, model-building, design or more than one valid route.</t>
  </si>
  <si>
    <t>Strategy Switcher: compare mental, written and calculator routes | Blank</t>
  </si>
  <si>
    <t>FDP Representation Carousel | Double number line</t>
  </si>
  <si>
    <t>Pattern Machine and Rule Builder | Square grid</t>
  </si>
  <si>
    <t>Makes change, transformation, rate or spatial movement visible.</t>
  </si>
  <si>
    <t>Room Geometry Explorer | Square grid</t>
  </si>
  <si>
    <t>Builds explanation, proof, error repair or strategy review into the mathematics.</t>
  </si>
  <si>
    <t>Claim–Evidence Data Detective | Blank</t>
  </si>
  <si>
    <t>Decision Model Builder | Blank</t>
  </si>
  <si>
    <t>Place-Value Magnifier + Digit Detective | Square grid</t>
  </si>
  <si>
    <t>Estimate–Calculate–Check Lab | Blank</t>
  </si>
  <si>
    <t>Factor Web + Pattern Lock Builder | Square grid</t>
  </si>
  <si>
    <t>FDP Converter with Bar/Line Toggle | Double number line</t>
  </si>
  <si>
    <t>Angle Constraint Explorer | Square grid</t>
  </si>
  <si>
    <t>Fixed-Perimeter Shape Designer | Square grid</t>
  </si>
  <si>
    <t>Recipe Scaler + Ratio Table Builder | Ratio table / Double number line</t>
  </si>
  <si>
    <t>Coordinate Move Studio | Coordinate grid</t>
  </si>
  <si>
    <t>Average as Fair-Share Simulator | Blank / Square grid</t>
  </si>
  <si>
    <t>Probability Experiment Simulator | Blank</t>
  </si>
  <si>
    <t>Percentage Change Journey | Double number line</t>
  </si>
  <si>
    <t>Expression Equivalence Lab | Blank</t>
  </si>
  <si>
    <t>Balance Equation Simulator | Blank</t>
  </si>
  <si>
    <t>Gradient &amp; Intercept Explorer + Representation Matcher + Line Detective | Coordinate grid</t>
  </si>
  <si>
    <t>Sequence Machine + Nth-Term Tester | Square grid</t>
  </si>
  <si>
    <t>Angle Chain Explorer | Square grid</t>
  </si>
  <si>
    <t>Packaging Constraint Designer | Square grid</t>
  </si>
  <si>
    <t>Best-Value Comparator + Proportion Graph | Ratio table / Double number line</t>
  </si>
  <si>
    <t>Data Claim Comparator | Blank</t>
  </si>
  <si>
    <t>Sample-Space Builder + Fairness Tester | Blank</t>
  </si>
  <si>
    <t>Micro-to-Macro Scale Explorer | Square grid</t>
  </si>
  <si>
    <t>3D Slice and Net Explorer | Square grid</t>
  </si>
  <si>
    <t>Quadratic Shape Shifter | Coordinate grid</t>
  </si>
  <si>
    <t>Locus and Safe-Route Planner | Square grid</t>
  </si>
  <si>
    <t>Inequality Region Painter | Coordinate grid</t>
  </si>
  <si>
    <t>Formula Balance and Subject Switcher | Blank</t>
  </si>
  <si>
    <t>Right-Triangle Length Explorer | Square grid</t>
  </si>
  <si>
    <t>Similarity Zoom Lab | Square grid</t>
  </si>
  <si>
    <t>Sampling Bias Simulator + Claim Critic | Blank</t>
  </si>
  <si>
    <t>Dynamic Probability Tree | Blank</t>
  </si>
  <si>
    <t>Calculator Input Detective | Blank</t>
  </si>
  <si>
    <t>Algebra Structure Lens | Blank</t>
  </si>
  <si>
    <t>Gradient Explorer + Venn Set Builder | Coordinate grid</t>
  </si>
  <si>
    <t>Growth Multiplier Lab | Double number line</t>
  </si>
  <si>
    <t>Intersection and Constraint Studio | Coordinate grid</t>
  </si>
  <si>
    <t>Triangle Reveal Explorer | Square grid</t>
  </si>
  <si>
    <t>Data Display Switcher | Blank</t>
  </si>
  <si>
    <t>Bounds Interval Visualiser | Double number line</t>
  </si>
  <si>
    <t>Root–Graph Connector | Coordinate grid</t>
  </si>
  <si>
    <t>Multi-Topic Model Builder | Blank / context preset</t>
  </si>
  <si>
    <t>Algebra Route Comparator | Blank</t>
  </si>
  <si>
    <t>Function Transformation Studio | Coordinate grid</t>
  </si>
  <si>
    <t>Motion Graph Animator | Coordinate grid</t>
  </si>
  <si>
    <t>Circle Theorem Constraint Explorer | Square grid</t>
  </si>
  <si>
    <t>Vector and Similarity Move Lab | Coordinate grid</t>
  </si>
  <si>
    <t>3D Triangle Finder | Square grid</t>
  </si>
  <si>
    <t>Frequency Density Visualiser | Blank / Square grid</t>
  </si>
  <si>
    <t>Conditional Tree Simulator | Blank</t>
  </si>
  <si>
    <t>Question Translation Highlighter | Blank</t>
  </si>
  <si>
    <t>Capstone Model Canvas | Blank / context preset</t>
  </si>
  <si>
    <t>Real-Life Estimate Checker | Blank</t>
  </si>
  <si>
    <t>Budget and Discount Comparator | Blank</t>
  </si>
  <si>
    <t>Rate Comparator | Double number line</t>
  </si>
  <si>
    <t>Fit-the-Space Planner | Square grid</t>
  </si>
  <si>
    <t>Journey Schedule Builder | Blank</t>
  </si>
  <si>
    <t>Misleading Chart Studio | Blank</t>
  </si>
  <si>
    <t>Risk Language and Probability Simulator | Blank</t>
  </si>
  <si>
    <t>Applied Decision Canvas | Blank</t>
  </si>
  <si>
    <t>Problem Step Mapper | Blank</t>
  </si>
  <si>
    <t>Interactive Inquiry Tool Build Register</t>
  </si>
  <si>
    <t>Every tool should support inquiry rather than merely display content. Preferred rhythm: Predict → Sketch → Test → Notice → Revise.</t>
  </si>
  <si>
    <t>Tool ID</t>
  </si>
  <si>
    <t>Inquiry Move</t>
  </si>
  <si>
    <t>Core Learner Actions</t>
  </si>
  <si>
    <t>Scratchpad Preset</t>
  </si>
  <si>
    <t>Suggested Contextual Button</t>
  </si>
  <si>
    <t>Reusable Tool Family</t>
  </si>
  <si>
    <t>Tool Status</t>
  </si>
  <si>
    <t>Build Note</t>
  </si>
  <si>
    <t>TOOL-001</t>
  </si>
  <si>
    <t>Predict → Sketch → Test → Notice → Revise</t>
  </si>
  <si>
    <t>Change values; make a prediction; test; compare representations; explain what changed and what stayed the same.</t>
  </si>
  <si>
    <t>✏️ Open Maths Scratchpad</t>
  </si>
  <si>
    <t>Navigation Tool</t>
  </si>
  <si>
    <t>Designed</t>
  </si>
  <si>
    <t>Keep all core interaction in-page; no external URL required.</t>
  </si>
  <si>
    <t>TOOL-002</t>
  </si>
  <si>
    <t>Number Explorer</t>
  </si>
  <si>
    <t>Planned</t>
  </si>
  <si>
    <t>TOOL-003</t>
  </si>
  <si>
    <t>TOOL-004</t>
  </si>
  <si>
    <t>✏️ Show the multiplier / relationship</t>
  </si>
  <si>
    <t>Scaling Lab</t>
  </si>
  <si>
    <t>TOOL-005</t>
  </si>
  <si>
    <t>Vary one element; notice invariance; conjecture a rule; test examples and repair a misconception.</t>
  </si>
  <si>
    <t>Structure Lab</t>
  </si>
  <si>
    <t>TOOL-006</t>
  </si>
  <si>
    <t>Manipulate a diagram or constraint; sketch first; test a construction or measure; annotate the relationship.</t>
  </si>
  <si>
    <t>Geometry Studio</t>
  </si>
  <si>
    <t>TOOL-007</t>
  </si>
  <si>
    <t>Inspect a claim or data display; change a condition; compare evidence; record a conclusion and caveat.</t>
  </si>
  <si>
    <t>Evidence Lab</t>
  </si>
  <si>
    <t>TOOL-008</t>
  </si>
  <si>
    <t>Enter realistic values; compare options; calculate; test assumptions; explain a recommendation.</t>
  </si>
  <si>
    <t>Decision Lab</t>
  </si>
  <si>
    <t>TOOL-009</t>
  </si>
  <si>
    <t>TOOL-010</t>
  </si>
  <si>
    <t>TOOL-011</t>
  </si>
  <si>
    <t>TOOL-012</t>
  </si>
  <si>
    <t>TOOL-013</t>
  </si>
  <si>
    <t>TOOL-014</t>
  </si>
  <si>
    <t>TOOL-015</t>
  </si>
  <si>
    <t>Locked prototype</t>
  </si>
  <si>
    <t>TOOL-016</t>
  </si>
  <si>
    <t>✏️ Sketch a prediction</t>
  </si>
  <si>
    <t>Dynamic Graph Lab</t>
  </si>
  <si>
    <t>TOOL-017</t>
  </si>
  <si>
    <t>TOOL-018</t>
  </si>
  <si>
    <t>TOOL-019</t>
  </si>
  <si>
    <t>TOOL-020</t>
  </si>
  <si>
    <t>TOOL-021</t>
  </si>
  <si>
    <t>TOOL-022</t>
  </si>
  <si>
    <t>TOOL-023</t>
  </si>
  <si>
    <t>TOOL-024</t>
  </si>
  <si>
    <t>TOOL-025</t>
  </si>
  <si>
    <t>TOOL-026</t>
  </si>
  <si>
    <t>TOOL-027</t>
  </si>
  <si>
    <t>TOOL-028</t>
  </si>
  <si>
    <t>TOOL-029</t>
  </si>
  <si>
    <t>TOOL-030</t>
  </si>
  <si>
    <t>TOOL-031</t>
  </si>
  <si>
    <t>TOOL-032</t>
  </si>
  <si>
    <t>TOOL-033</t>
  </si>
  <si>
    <t>TOOL-034</t>
  </si>
  <si>
    <t>TOOL-035</t>
  </si>
  <si>
    <t>TOOL-036</t>
  </si>
  <si>
    <t>TOOL-037</t>
  </si>
  <si>
    <t>TOOL-038</t>
  </si>
  <si>
    <t>TOOL-039</t>
  </si>
  <si>
    <t>TOOL-040</t>
  </si>
  <si>
    <t>TOOL-041</t>
  </si>
  <si>
    <t>TOOL-042</t>
  </si>
  <si>
    <t>TOOL-043</t>
  </si>
  <si>
    <t>TOOL-044</t>
  </si>
  <si>
    <t>TOOL-045</t>
  </si>
  <si>
    <t>TOOL-046</t>
  </si>
  <si>
    <t>TOOL-047</t>
  </si>
  <si>
    <t>TOOL-048</t>
  </si>
  <si>
    <t>Reasoning Studio</t>
  </si>
  <si>
    <t>TOOL-049</t>
  </si>
  <si>
    <t>TOOL-050</t>
  </si>
  <si>
    <t>TOOL-051</t>
  </si>
  <si>
    <t>TOOL-052</t>
  </si>
  <si>
    <t>TOOL-053</t>
  </si>
  <si>
    <t>TOOL-054</t>
  </si>
  <si>
    <t>TOOL-055</t>
  </si>
  <si>
    <t>TOOL-056</t>
  </si>
  <si>
    <t>TOOL-057</t>
  </si>
  <si>
    <t>TOOL-058</t>
  </si>
  <si>
    <t>Model Canvas</t>
  </si>
  <si>
    <t>TOOL-059</t>
  </si>
  <si>
    <t>TOOL-060</t>
  </si>
  <si>
    <t>TOOL-061</t>
  </si>
  <si>
    <t>TOOL-062</t>
  </si>
  <si>
    <t>TOOL-063</t>
  </si>
  <si>
    <t>TOOL-064</t>
  </si>
  <si>
    <t>TOOL-065</t>
  </si>
  <si>
    <t>TOOL-066</t>
  </si>
  <si>
    <t>TOOL-067</t>
  </si>
  <si>
    <t>TOOL-068</t>
  </si>
  <si>
    <t>Portfolio Evidence and Mastery Outcomes</t>
  </si>
  <si>
    <t>A single piece of learner-owned evidence may demonstrate several canonical Stepping Stones and qualification overlay outcomes. Mastery is judged per outcome demonstration.</t>
  </si>
  <si>
    <t>Portfolio / Evidence Product</t>
  </si>
  <si>
    <t>Alternative Evidence Forms</t>
  </si>
  <si>
    <t>Emerging</t>
  </si>
  <si>
    <t>Developing</t>
  </si>
  <si>
    <t>Secure</t>
  </si>
  <si>
    <t>Mastering</t>
  </si>
  <si>
    <t>Submission Pattern</t>
  </si>
  <si>
    <t>Learner Reflection Prompt</t>
  </si>
  <si>
    <t>Evidence Ownership Note</t>
  </si>
  <si>
    <t>Interactive choices; Scratchpad image; annotated solution; verbal teach-back; corrected misconception; short written or audio explanation</t>
  </si>
  <si>
    <t>Notices or attempts key ideas from notice mathematical strengths with support and can show one relevant representation.</t>
  </si>
  <si>
    <t>Uses familiar methods to try different representations and completes connected examples with prompts or checking support.</t>
  </si>
  <si>
    <t>Independently explain what helps and explains the mathematical relationship or reasoning in a familiar and one varied context.</t>
  </si>
  <si>
    <t>Selects efficient representations or strategies, applies the learning in an unfamiliar context, and can choose a next Stepping Stone with precise justification and reflection.</t>
  </si>
  <si>
    <t>NEO_Maths_Finding_My_Maths_Starting_Point_[FirstName]_[Date]</t>
  </si>
  <si>
    <t>What changed in my thinking? What support helped? What would I test or explain next?</t>
  </si>
  <si>
    <t>Learner owns the evidence; NEO owns canonical curriculum metadata.</t>
  </si>
  <si>
    <t>Notices or attempts key ideas from read and compare integers and decimals with support and can show one relevant representation.</t>
  </si>
  <si>
    <t>Uses familiar methods to use place value and completes connected examples with prompts or checking support.</t>
  </si>
  <si>
    <t>Independently estimate and explains the mathematical relationship or reasoning in a familiar and one varied context.</t>
  </si>
  <si>
    <t>Selects efficient representations or strategies, applies the learning in an unfamiliar context, and can check reasonableness with precise justification and reflection.</t>
  </si>
  <si>
    <t>NEO_Maths_Numbers_I_Can_Trust_[FirstName]_[Date]</t>
  </si>
  <si>
    <t>Notices or attempts key ideas from select a calculation strategy with support and can show one relevant representation.</t>
  </si>
  <si>
    <t>Uses familiar methods to use inverse operations and completes connected examples with prompts or checking support.</t>
  </si>
  <si>
    <t>Independently estimate first and explains the mathematical relationship or reasoning in a familiar and one varied context.</t>
  </si>
  <si>
    <t>Selects efficient representations or strategies, applies the learning in an unfamiliar context, and can explain a method choice with precise justification and reflection.</t>
  </si>
  <si>
    <t>NEO_Maths_Operations_as_Choices_[FirstName]_[Date]</t>
  </si>
  <si>
    <t>Notices or attempts key ideas from recognise common equivalences with support and can show one relevant representation.</t>
  </si>
  <si>
    <t>Uses familiar methods to compare FDP and completes connected examples with prompts or checking support.</t>
  </si>
  <si>
    <t>Independently find fractions and percentages of quantities and explains the mathematical relationship or reasoning in a familiar and one varied context.</t>
  </si>
  <si>
    <t>Selects efficient representations or strategies, applies the learning in an unfamiliar context, and can choose a helpful representation with precise justification and reflection.</t>
  </si>
  <si>
    <t>NEO_Maths_Fractions_Decimals_and_Percentag_[FirstName]_[Date]</t>
  </si>
  <si>
    <t>Notices or attempts key ideas from continue sequences with support and can show one relevant representation.</t>
  </si>
  <si>
    <t>Uses familiar methods to describe a rule and completes connected examples with prompts or checking support.</t>
  </si>
  <si>
    <t>Independently substitute values and explains the mathematical relationship or reasoning in a familiar and one varied context.</t>
  </si>
  <si>
    <t>Selects efficient representations or strategies, applies the learning in an unfamiliar context, and can create and test a conjecture with precise justification and reflection.</t>
  </si>
  <si>
    <t>NEO_Maths_Patterns_Before_Letters_[FirstName]_[Date]</t>
  </si>
  <si>
    <t>Notices or attempts key ideas from recognise angle and shape properties with support and can show one relevant representation.</t>
  </si>
  <si>
    <t>Uses familiar methods to measure accurately and completes connected examples with prompts or checking support.</t>
  </si>
  <si>
    <t>Independently use units and explains the mathematical relationship or reasoning in a familiar and one varied context.</t>
  </si>
  <si>
    <t>Selects efficient representations or strategies, applies the learning in an unfamiliar context, and can explain a spatial decision with precise justification and reflection.</t>
  </si>
  <si>
    <t>NEO_Maths_Shape_Space_and_Measure_Around_M_[FirstName]_[Date]</t>
  </si>
  <si>
    <t>Notices or attempts key ideas from read tables and charts with support and can show one relevant representation.</t>
  </si>
  <si>
    <t>Uses familiar methods to choose an average and completes connected examples with prompts or checking support.</t>
  </si>
  <si>
    <t>Independently use probability language and explains the mathematical relationship or reasoning in a familiar and one varied context.</t>
  </si>
  <si>
    <t>Selects efficient representations or strategies, applies the learning in an unfamiliar context, and can ask what data cannot show with precise justification and reflection.</t>
  </si>
  <si>
    <t>NEO_Maths_What_Can_Data_Really_Tell_Me_[FirstName]_[Date]</t>
  </si>
  <si>
    <t>Notices or attempts key ideas from identify needed information with support and can show one relevant representation.</t>
  </si>
  <si>
    <t>Uses familiar methods to choose operations and completes connected examples with prompts or checking support.</t>
  </si>
  <si>
    <t>Independently calculate and explains the mathematical relationship or reasoning in a familiar and one varied context.</t>
  </si>
  <si>
    <t>Selects efficient representations or strategies, applies the learning in an unfamiliar context, and can explain a decision and limitation with precise justification and reflection.</t>
  </si>
  <si>
    <t>NEO_Maths_Maths_for_a_Real_Decision_[FirstName]_[Date]</t>
  </si>
  <si>
    <t>Notices or attempts key ideas from use place value with integers and decimals with support and can show one relevant representation.</t>
  </si>
  <si>
    <t>Uses familiar methods to explain tenfold relationships and completes connected examples with prompts or checking support.</t>
  </si>
  <si>
    <t>Independently partition numbers and explains the mathematical relationship or reasoning in a familiar and one varied context.</t>
  </si>
  <si>
    <t>Selects efficient representations or strategies, applies the learning in an unfamiliar context, and can move between representations with precise justification and reflection.</t>
  </si>
  <si>
    <t>NEO_Maths_How_Much_Is_a_Digit_Worth_[FirstName]_[Date]</t>
  </si>
  <si>
    <t>Notices or attempts key ideas from use four operations with support and can show one relevant representation.</t>
  </si>
  <si>
    <t>Uses familiar methods to follow operation order and completes connected examples with prompts or checking support.</t>
  </si>
  <si>
    <t>Independently use inverse operations and explains the mathematical relationship or reasoning in a familiar and one varied context.</t>
  </si>
  <si>
    <t>NEO_Maths_Calculations_That_Make_Sense_[FirstName]_[Date]</t>
  </si>
  <si>
    <t>Notices or attempts key ideas from identify factors and multiples with support and can show one relevant representation.</t>
  </si>
  <si>
    <t>Uses familiar methods to recognise primes and completes connected examples with prompts or checking support.</t>
  </si>
  <si>
    <t>Independently use powers and explains the mathematical relationship or reasoning in a familiar and one varied context.</t>
  </si>
  <si>
    <t>Selects efficient representations or strategies, applies the learning in an unfamiliar context, and can test conjectures with precise justification and reflection.</t>
  </si>
  <si>
    <t>NEO_Maths_Patterns_Factors_and_Hidden_Stru_[FirstName]_[Date]</t>
  </si>
  <si>
    <t>Notices or attempts key ideas from simplify fractions with support and can show one relevant representation.</t>
  </si>
  <si>
    <t>Uses familiar methods to find equivalent fractions and completes connected examples with prompts or checking support.</t>
  </si>
  <si>
    <t>Independently compare FDP and explains the mathematical relationship or reasoning in a familiar and one varied context.</t>
  </si>
  <si>
    <t>Selects efficient representations or strategies, applies the learning in an unfamiliar context, and can explain representation choice with precise justification and reflection.</t>
  </si>
  <si>
    <t>NEO_Maths_One_Amount_Three_Languages_[FirstName]_[Date]</t>
  </si>
  <si>
    <t>Notices or attempts key ideas from use angle facts with support and can show one relevant representation.</t>
  </si>
  <si>
    <t>Uses familiar methods to identify triangle and quadrilateral properties and completes connected examples with prompts or checking support.</t>
  </si>
  <si>
    <t>Independently use precise notation and explains the mathematical relationship or reasoning in a familiar and one varied context.</t>
  </si>
  <si>
    <t>Selects efficient representations or strategies, applies the learning in an unfamiliar context, and can construct because–therefore chains with precise justification and reflection.</t>
  </si>
  <si>
    <t>NEO_Maths_Angles_Tell_Us_Why_[FirstName]_[Date]</t>
  </si>
  <si>
    <t>Notices or attempts key ideas from distinguish perimeter and area with support and can show one relevant representation.</t>
  </si>
  <si>
    <t>Uses familiar methods to derive/use area formulae and completes connected examples with prompts or checking support.</t>
  </si>
  <si>
    <t>Independently convert metric units and explains the mathematical relationship or reasoning in a familiar and one varied context.</t>
  </si>
  <si>
    <t>Selects efficient representations or strategies, applies the learning in an unfamiliar context, and can justify design choices with precise justification and reflection.</t>
  </si>
  <si>
    <t>NEO_Maths_Perimeter_and_Area_Same_Shape_St_[FirstName]_[Date]</t>
  </si>
  <si>
    <t>Notices or attempts key ideas from use ratio notation with support and can show one relevant representation.</t>
  </si>
  <si>
    <t>Uses familiar methods to simplify ratios and completes connected examples with prompts or checking support.</t>
  </si>
  <si>
    <t>Independently use scale factors and explains the mathematical relationship or reasoning in a familiar and one varied context.</t>
  </si>
  <si>
    <t>Selects efficient representations or strategies, applies the learning in an unfamiliar context, and can explain multiplicative relationships with precise justification and reflection.</t>
  </si>
  <si>
    <t>NEO_Maths_Relationships_That_Scale_[FirstName]_[Date]</t>
  </si>
  <si>
    <t>Notices or attempts key ideas from plot coordinates with support and can show one relevant representation.</t>
  </si>
  <si>
    <t>Uses familiar methods to use four quadrants when ready and completes connected examples with prompts or checking support.</t>
  </si>
  <si>
    <t>Independently reflect shapes and explains the mathematical relationship or reasoning in a familiar and one varied context.</t>
  </si>
  <si>
    <t>Selects efficient representations or strategies, applies the learning in an unfamiliar context, and can check invariants with precise justification and reflection.</t>
  </si>
  <si>
    <t>NEO_Maths_Coordinates_and_Moves_[FirstName]_[Date]</t>
  </si>
  <si>
    <t>Notices or attempts key ideas from calculate mean/median/mode/range with support and can show one relevant representation.</t>
  </si>
  <si>
    <t>Uses familiar methods to interpret averages and completes connected examples with prompts or checking support.</t>
  </si>
  <si>
    <t>Independently construct and read charts and explains the mathematical relationship or reasoning in a familiar and one varied context.</t>
  </si>
  <si>
    <t>Selects efficient representations or strategies, applies the learning in an unfamiliar context, and can recognise outliers with precise justification and reflection.</t>
  </si>
  <si>
    <t>NEO_Maths_Averages_and_Fair_Shares_[FirstName]_[Date]</t>
  </si>
  <si>
    <t>Notices or attempts key ideas from use probability scale with support and can show one relevant representation.</t>
  </si>
  <si>
    <t>Uses familiar methods to identify outcomes and completes connected examples with prompts or checking support.</t>
  </si>
  <si>
    <t>Independently run experiments and explains the mathematical relationship or reasoning in a familiar and one varied context.</t>
  </si>
  <si>
    <t>Selects efficient representations or strategies, applies the learning in an unfamiliar context, and can discuss sample size with precise justification and reflection.</t>
  </si>
  <si>
    <t>NEO_Maths_Chance_Experiments_and_Fairness_[FirstName]_[Date]</t>
  </si>
  <si>
    <t>Notices or attempts key ideas from calculate percentage increase/decrease with support and can show one relevant representation.</t>
  </si>
  <si>
    <t>Uses familiar methods to use multipliers informally and completes connected examples with prompts or checking support.</t>
  </si>
  <si>
    <t>Selects efficient representations or strategies, applies the learning in an unfamiliar context, and can explain non-reversibility with precise justification and reflection.</t>
  </si>
  <si>
    <t>NEO_Maths_Percent_Change_and_the_Story_of__[FirstName]_[Date]</t>
  </si>
  <si>
    <t>Notices or attempts key ideas from collect like terms with support and can show one relevant representation.</t>
  </si>
  <si>
    <t>Uses familiar methods to substitute and completes connected examples with prompts or checking support.</t>
  </si>
  <si>
    <t>Independently factorise common factors and explains the mathematical relationship or reasoning in a familiar and one varied context.</t>
  </si>
  <si>
    <t>Selects efficient representations or strategies, applies the learning in an unfamiliar context, and can justify equivalent forms with precise justification and reflection.</t>
  </si>
  <si>
    <t>NEO_Maths_Algebra_as_a_Language_of_Structu_[FirstName]_[Date]</t>
  </si>
  <si>
    <t>Notices or attempts key ideas from solve one- and two-step linear equations with support and can show one relevant representation.</t>
  </si>
  <si>
    <t>Independently form equations from contexts and explains the mathematical relationship or reasoning in a familiar and one varied context.</t>
  </si>
  <si>
    <t>Selects efficient representations or strategies, applies the learning in an unfamiliar context, and can check by substitution with precise justification and reflection.</t>
  </si>
  <si>
    <t>NEO_Maths_Equations_Keeping_a_Relationship_[FirstName]_[Date]</t>
  </si>
  <si>
    <t>Notices or attempts key ideas from connect equations, tables and graphs with support and can show one relevant representation.</t>
  </si>
  <si>
    <t>Uses familiar methods to interpret gradient and completes connected examples with prompts or checking support.</t>
  </si>
  <si>
    <t>Independently recognise positive/negative/zero gradients and explains the mathematical relationship or reasoning in a familiar and one varied context.</t>
  </si>
  <si>
    <t>Selects efficient representations or strategies, applies the learning in an unfamiliar context, and can evaluate linear models with precise justification and reflection.</t>
  </si>
  <si>
    <t>NEO_Maths_Lines_Tell_Stories_of_Change_[FirstName]_[Date]</t>
  </si>
  <si>
    <t>Notices or attempts key ideas from generate arithmetic sequences with support and can show one relevant representation.</t>
  </si>
  <si>
    <t>Uses familiar methods to find term-to-term rules and completes connected examples with prompts or checking support.</t>
  </si>
  <si>
    <t>Independently use position-to-term rules and explains the mathematical relationship or reasoning in a familiar and one varied context.</t>
  </si>
  <si>
    <t>Selects efficient representations or strategies, applies the learning in an unfamiliar context, and can compare sequence and graph representations with precise justification and reflection.</t>
  </si>
  <si>
    <t>NEO_Maths_Sequences_From_Steps_to_Rules_[FirstName]_[Date]</t>
  </si>
  <si>
    <t>Notices or attempts key ideas from use parallel-line angle facts with support and can show one relevant representation.</t>
  </si>
  <si>
    <t>Uses familiar methods to derive polygon angle sums and completes connected examples with prompts or checking support.</t>
  </si>
  <si>
    <t>Independently justify each step and explains the mathematical relationship or reasoning in a familiar and one varied context.</t>
  </si>
  <si>
    <t>Selects efficient representations or strategies, applies the learning in an unfamiliar context, and can recognise conditions for rules with precise justification and reflection.</t>
  </si>
  <si>
    <t>NEO_Maths_Parallel_Lines_and_Polygon_Logic_[FirstName]_[Date]</t>
  </si>
  <si>
    <t>Notices or attempts key ideas from use circle vocabulary with support and can show one relevant representation.</t>
  </si>
  <si>
    <t>Uses familiar methods to calculate circumference/area and completes connected examples with prompts or checking support.</t>
  </si>
  <si>
    <t>Independently calculate surface area and explains the mathematical relationship or reasoning in a familiar and one varied context.</t>
  </si>
  <si>
    <t>Selects efficient representations or strategies, applies the learning in an unfamiliar context, and can optimise within constraints with precise justification and reflection.</t>
  </si>
  <si>
    <t>NEO_Maths_Circles_Prisms_and_Packaging_[FirstName]_[Date]</t>
  </si>
  <si>
    <t>Notices or attempts key ideas from calculate unit rates with support and can show one relevant representation.</t>
  </si>
  <si>
    <t>Uses familiar methods to use speed/density and completes connected examples with prompts or checking support.</t>
  </si>
  <si>
    <t>Independently recognise proportional graphs through origin and explains the mathematical relationship or reasoning in a familiar and one varied context.</t>
  </si>
  <si>
    <t>Selects efficient representations or strategies, applies the learning in an unfamiliar context, and can justify best value with precise justification and reflection.</t>
  </si>
  <si>
    <t>NEO_Maths_Rates_Best_Value_and_Direct_Prop_[FirstName]_[Date]</t>
  </si>
  <si>
    <t>Notices or attempts key ideas from compare distributions with support and can show one relevant representation.</t>
  </si>
  <si>
    <t>Uses familiar methods to choose averages/spread and completes connected examples with prompts or checking support.</t>
  </si>
  <si>
    <t>Independently interpret scatter graphs and explains the mathematical relationship or reasoning in a familiar and one varied context.</t>
  </si>
  <si>
    <t>Selects efficient representations or strategies, applies the learning in an unfamiliar context, and can critique claims with precise justification and reflection.</t>
  </si>
  <si>
    <t>NEO_Maths_Comparing_Data_Without_Hiding_th_[FirstName]_[Date]</t>
  </si>
  <si>
    <t>Notices or attempts key ideas from enumerate sample spaces with support and can show one relevant representation.</t>
  </si>
  <si>
    <t>Uses familiar methods to use two-way tables/Venn when appropriate and completes connected examples with prompts or checking support.</t>
  </si>
  <si>
    <t>Independently compare theory and experiment and explains the mathematical relationship or reasoning in a familiar and one varied context.</t>
  </si>
  <si>
    <t>Selects efficient representations or strategies, applies the learning in an unfamiliar context, and can explain fairness with precise justification and reflection.</t>
  </si>
  <si>
    <t>NEO_Maths_Building_Probability_Models_[FirstName]_[Date]</t>
  </si>
  <si>
    <t>Notices or attempts key ideas from round to significant figures with support and can show one relevant representation.</t>
  </si>
  <si>
    <t>Uses familiar methods to estimate and completes connected examples with prompts or checking support.</t>
  </si>
  <si>
    <t>Independently write/order standard form and explains the mathematical relationship or reasoning in a familiar and one varied context.</t>
  </si>
  <si>
    <t>Selects efficient representations or strategies, applies the learning in an unfamiliar context, and can choose sensible accuracy with precise justification and reflection.</t>
  </si>
  <si>
    <t>NEO_Maths_Accuracy_Powers_and_Scale_[FirstName]_[Date]</t>
  </si>
  <si>
    <t>Notices or attempts key ideas from analyse 2D/3D properties with support and can show one relevant representation.</t>
  </si>
  <si>
    <t>Uses familiar methods to calculate surface area/volume and completes connected examples with prompts or checking support.</t>
  </si>
  <si>
    <t>Independently use polygon angles and explains the mathematical relationship or reasoning in a familiar and one varied context.</t>
  </si>
  <si>
    <t>Selects efficient representations or strategies, applies the learning in an unfamiliar context, and can reason from nets with precise justification and reflection.</t>
  </si>
  <si>
    <t>NEO_Maths_Solids_Cross_Sections_and_Space_[FirstName]_[Date]</t>
  </si>
  <si>
    <t>Notices or attempts key ideas from recognise quadratic patterns with support and can show one relevant representation.</t>
  </si>
  <si>
    <t>Uses familiar methods to use second differences and completes connected examples with prompts or checking support.</t>
  </si>
  <si>
    <t>Independently plot quadratic graphs and explains the mathematical relationship or reasoning in a familiar and one varied context.</t>
  </si>
  <si>
    <t>Selects efficient representations or strategies, applies the learning in an unfamiliar context, and can compare transformations with precise justification and reflection.</t>
  </si>
  <si>
    <t>NEO_Maths_Quadratics_When_Change_Itself_Ch_[FirstName]_[Date]</t>
  </si>
  <si>
    <t>Notices or attempts key ideas from use ruler/compass constructions with support and can show one relevant representation.</t>
  </si>
  <si>
    <t>Uses familiar methods to construct bisectors and completes connected examples with prompts or checking support.</t>
  </si>
  <si>
    <t>Independently use bearings and explains the mathematical relationship or reasoning in a familiar and one varied context.</t>
  </si>
  <si>
    <t>Selects efficient representations or strategies, applies the learning in an unfamiliar context, and can justify precision with precise justification and reflection.</t>
  </si>
  <si>
    <t>NEO_Maths_Precision_Loci_and_Safe_Routes_[FirstName]_[Date]</t>
  </si>
  <si>
    <t>Notices or attempts key ideas from solve linear inequalities with support and can show one relevant representation.</t>
  </si>
  <si>
    <t>Uses familiar methods to represent solution sets and completes connected examples with prompts or checking support.</t>
  </si>
  <si>
    <t>Independently form inequalities and explains the mathematical relationship or reasoning in a familiar and one varied context.</t>
  </si>
  <si>
    <t>Selects efficient representations or strategies, applies the learning in an unfamiliar context, and can check boundary meaning with precise justification and reflection.</t>
  </si>
  <si>
    <t>NEO_Maths_Inequalities_Mathematics_with_Bo_[FirstName]_[Date]</t>
  </si>
  <si>
    <t>Notices or attempts key ideas from substitute with support and can show one relevant representation.</t>
  </si>
  <si>
    <t>Uses familiar methods to rearrange simple formulae and completes connected examples with prompts or checking support.</t>
  </si>
  <si>
    <t>Independently make a subject and explains the mathematical relationship or reasoning in a familiar and one varied context.</t>
  </si>
  <si>
    <t>Selects efficient representations or strategies, applies the learning in an unfamiliar context, and can verify by substitution with precise justification and reflection.</t>
  </si>
  <si>
    <t>NEO_Maths_Formulae_and_Rearranging_Changin_[FirstName]_[Date]</t>
  </si>
  <si>
    <t>Notices or attempts key ideas from identify right triangles with support and can show one relevant representation.</t>
  </si>
  <si>
    <t>Uses familiar methods to use Pythagoras and completes connected examples with prompts or checking support.</t>
  </si>
  <si>
    <t>Independently solve contextual problems and explains the mathematical relationship or reasoning in a familiar and one varied context.</t>
  </si>
  <si>
    <t>Selects efficient representations or strategies, applies the learning in an unfamiliar context, and can begin 3D connections with precise justification and reflection.</t>
  </si>
  <si>
    <t>NEO_Maths_Pythagoras_and_the_Hidden_Length_[FirstName]_[Date]</t>
  </si>
  <si>
    <t>Notices or attempts key ideas from recognise similar figures with support and can show one relevant representation.</t>
  </si>
  <si>
    <t>Uses familiar methods to use length scale factors and completes connected examples with prompts or checking support.</t>
  </si>
  <si>
    <t>Independently interpret maps and explains the mathematical relationship or reasoning in a familiar and one varied context.</t>
  </si>
  <si>
    <t>Selects efficient representations or strategies, applies the learning in an unfamiliar context, and can explore area scale factor with precise justification and reflection.</t>
  </si>
  <si>
    <t>NEO_Maths_Similarity_and_Scale_Same_Shape__[FirstName]_[Date]</t>
  </si>
  <si>
    <t>Notices or attempts key ideas from plan a statistical enquiry with support and can show one relevant representation.</t>
  </si>
  <si>
    <t>Uses familiar methods to recognise bias and completes connected examples with prompts or checking support.</t>
  </si>
  <si>
    <t>Independently group data and explains the mathematical relationship or reasoning in a familiar and one varied context.</t>
  </si>
  <si>
    <t>Selects efficient representations or strategies, applies the learning in an unfamiliar context, and can critique conclusions with precise justification and reflection.</t>
  </si>
  <si>
    <t>NEO_Maths_Sampling_Bias_and_What_We_Can_In_[FirstName]_[Date]</t>
  </si>
  <si>
    <t>Notices or attempts key ideas from use Venn diagrams/set language with support and can show one relevant representation.</t>
  </si>
  <si>
    <t>Uses familiar methods to build tree diagrams and completes connected examples with prompts or checking support.</t>
  </si>
  <si>
    <t>Independently compare independent/dependent situations and explains the mathematical relationship or reasoning in a familiar and one varied context.</t>
  </si>
  <si>
    <t>Selects efficient representations or strategies, applies the learning in an unfamiliar context, and can compare experimental/theoretical probability with precise justification and reflection.</t>
  </si>
  <si>
    <t>NEO_Maths_Probability_Trees_and_Conditiona_[FirstName]_[Date]</t>
  </si>
  <si>
    <t>Notices or attempts key ideas from calculate with integers/fractions/decimals with support and can show one relevant representation.</t>
  </si>
  <si>
    <t>Uses familiar methods to use BIDMAS and completes connected examples with prompts or checking support.</t>
  </si>
  <si>
    <t>Selects efficient representations or strategies, applies the learning in an unfamiliar context, and can judge reasonableness with precise justification and reflection.</t>
  </si>
  <si>
    <t>NEO_Maths_Number_Systems_and_Calculator_Ju_[FirstName]_[Date]</t>
  </si>
  <si>
    <t>Notices or attempts key ideas from use symbols with support and can show one relevant representation.</t>
  </si>
  <si>
    <t>Independently expand and explains the mathematical relationship or reasoning in a familiar and one varied context.</t>
  </si>
  <si>
    <t>Selects efficient representations or strategies, applies the learning in an unfamiliar context, and can distinguish expression/equation/identity with precise justification and reflection.</t>
  </si>
  <si>
    <t>NEO_Maths_Algebraic_Expressions_and_Identi_[FirstName]_[Date]</t>
  </si>
  <si>
    <t>Notices or attempts key ideas from use set notation/Venn diagrams with support and can show one relevant representation.</t>
  </si>
  <si>
    <t>Uses familiar methods to generate graph points and completes connected examples with prompts or checking support.</t>
  </si>
  <si>
    <t>Independently write linear equations and explains the mathematical relationship or reasoning in a familiar and one varied context.</t>
  </si>
  <si>
    <t>Selects efficient representations or strategies, applies the learning in an unfamiliar context, and can connect representations with precise justification and reflection.</t>
  </si>
  <si>
    <t>NEO_Maths_Straight_Lines_Sets_and_Connecte_[FirstName]_[Date]</t>
  </si>
  <si>
    <t>Notices or attempts key ideas from solve ratio/proportion with support and can show one relevant representation.</t>
  </si>
  <si>
    <t>Uses familiar methods to use percentages and completes connected examples with prompts or checking support.</t>
  </si>
  <si>
    <t>Independently use direct proportion and explains the mathematical relationship or reasoning in a familiar and one varied context.</t>
  </si>
  <si>
    <t>Selects efficient representations or strategies, applies the learning in an unfamiliar context, and can reverse percentage changes with precise justification and reflection.</t>
  </si>
  <si>
    <t>NEO_Maths_Percentages_Ratio_and_Growth_Mod_[FirstName]_[Date]</t>
  </si>
  <si>
    <t>Notices or attempts key ideas from solve linear equations with support and can show one relevant representation.</t>
  </si>
  <si>
    <t>Uses familiar methods to solve simultaneous equations and completes connected examples with prompts or checking support.</t>
  </si>
  <si>
    <t>Independently form equations and explains the mathematical relationship or reasoning in a familiar and one varied context.</t>
  </si>
  <si>
    <t>Selects efficient representations or strategies, applies the learning in an unfamiliar context, and can check solutions with precise justification and reflection.</t>
  </si>
  <si>
    <t>NEO_Maths_Equations_Inequalities_and_Simul_[FirstName]_[Date]</t>
  </si>
  <si>
    <t>Notices or attempts key ideas from use Pythagoras with support and can show one relevant representation.</t>
  </si>
  <si>
    <t>Uses familiar methods to choose sine/cosine/tangent and completes connected examples with prompts or checking support.</t>
  </si>
  <si>
    <t>Independently interpret bearings/elevation and explains the mathematical relationship or reasoning in a familiar and one varied context.</t>
  </si>
  <si>
    <t>Selects efficient representations or strategies, applies the learning in an unfamiliar context, and can justify method with precise justification and reflection.</t>
  </si>
  <si>
    <t>NEO_Maths_Pythagoras_Trigonometry_and_Meas_[FirstName]_[Date]</t>
  </si>
  <si>
    <t>Notices or attempts key ideas from construct/interpret frequency diagrams with support and can show one relevant representation.</t>
  </si>
  <si>
    <t>Uses familiar methods to compare distributions and completes connected examples with prompts or checking support.</t>
  </si>
  <si>
    <t>Independently interpret correlation and explains the mathematical relationship or reasoning in a familiar and one varied context.</t>
  </si>
  <si>
    <t>Selects efficient representations or strategies, applies the learning in an unfamiliar context, and can critique graphical claims with precise justification and reflection.</t>
  </si>
  <si>
    <t>NEO_Maths_Frequency_Scatter_and_the_Shape__[FirstName]_[Date]</t>
  </si>
  <si>
    <t>Notices or attempts key ideas from identify rounding intervals with support and can show one relevant representation.</t>
  </si>
  <si>
    <t>Uses familiar methods to find upper/lower bounds and completes connected examples with prompts or checking support.</t>
  </si>
  <si>
    <t>Independently use estimation and explains the mathematical relationship or reasoning in a familiar and one varied context.</t>
  </si>
  <si>
    <t>Selects efficient representations or strategies, applies the learning in an unfamiliar context, and can communicate accuracy with precise justification and reflection.</t>
  </si>
  <si>
    <t>NEO_Maths_Bounds_and_the_Mathematics_of_Ne_[FirstName]_[Date]</t>
  </si>
  <si>
    <t>Notices or attempts key ideas from expand/factorise quadratics with support and can show one relevant representation.</t>
  </si>
  <si>
    <t>Uses familiar methods to solve by factorisation and completes connected examples with prompts or checking support.</t>
  </si>
  <si>
    <t>Independently plot/interpret quadratics and explains the mathematical relationship or reasoning in a familiar and one varied context.</t>
  </si>
  <si>
    <t>Selects efficient representations or strategies, applies the learning in an unfamiliar context, and can compare methods with precise justification and reflection.</t>
  </si>
  <si>
    <t>NEO_Maths_Quadratics_Factors_Roots_and_Gra_[FirstName]_[Date]</t>
  </si>
  <si>
    <t>Notices or attempts key ideas from identify relevant mathematics with support and can show one relevant representation.</t>
  </si>
  <si>
    <t>Uses familiar methods to connect domains and completes connected examples with prompts or checking support.</t>
  </si>
  <si>
    <t>Independently justify a strategy and explains the mathematical relationship or reasoning in a familiar and one varied context.</t>
  </si>
  <si>
    <t>Selects efficient representations or strategies, applies the learning in an unfamiliar context, and can communicate a multi-step solution with precise justification and reflection.</t>
  </si>
  <si>
    <t>NEO_Maths_The_Connected_Maths_Performance__[FirstName]_[Date]</t>
  </si>
  <si>
    <t>Notices or attempts key ideas from manipulate complex expressions with support and can show one relevant representation.</t>
  </si>
  <si>
    <t>Uses familiar methods to solve quadratics by multiple methods and completes connected examples with prompts or checking support.</t>
  </si>
  <si>
    <t>Independently rearrange harder formulae and explains the mathematical relationship or reasoning in a familiar and one varied context.</t>
  </si>
  <si>
    <t>Selects efficient representations or strategies, applies the learning in an unfamiliar context, and can choose strategy with precise justification and reflection.</t>
  </si>
  <si>
    <t>NEO_Maths_Advanced_Algebra_Structure_Strat_[FirstName]_[Date]</t>
  </si>
  <si>
    <t>Notices or attempts key ideas from interpret functions with support and can show one relevant representation.</t>
  </si>
  <si>
    <t>Uses familiar methods to sketch linear/quadratic/cubic/reciprocal/exponential graphs at tier and completes connected examples with prompts or checking support.</t>
  </si>
  <si>
    <t>Independently estimate roots/intersections and explains the mathematical relationship or reasoning in a familiar and one varied context.</t>
  </si>
  <si>
    <t>Selects efficient representations or strategies, applies the learning in an unfamiliar context, and can interpret gradient/rate with precise justification and reflection.</t>
  </si>
  <si>
    <t>NEO_Maths_Functions_Transformations_and_Ra_[FirstName]_[Date]</t>
  </si>
  <si>
    <t>Notices or attempts key ideas from interpret distance-time/speed-time graphs with support and can show one relevant representation.</t>
  </si>
  <si>
    <t>Uses familiar methods to calculate gradient as rate and completes connected examples with prompts or checking support.</t>
  </si>
  <si>
    <t>Independently compare average/instantaneous ideas and explains the mathematical relationship or reasoning in a familiar and one varied context.</t>
  </si>
  <si>
    <t>Selects efficient representations or strategies, applies the learning in an unfamiliar context, and can evaluate models with precise justification and reflection.</t>
  </si>
  <si>
    <t>NEO_Maths_Motion_Graphs_Distance_Speed_and_[FirstName]_[Date]</t>
  </si>
  <si>
    <t>Notices or attempts key ideas from use circle vocabulary/properties with support and can show one relevant representation.</t>
  </si>
  <si>
    <t>Uses familiar methods to apply circle theorems at tier and completes connected examples with prompts or checking support.</t>
  </si>
  <si>
    <t>Independently use tangent/chord facts and explains the mathematical relationship or reasoning in a familiar and one varied context.</t>
  </si>
  <si>
    <t>Selects efficient representations or strategies, applies the learning in an unfamiliar context, and can state reasons precisely with precise justification and reflection.</t>
  </si>
  <si>
    <t>NEO_Maths_Circle_Geometry_and_Proof_Chains_[FirstName]_[Date]</t>
  </si>
  <si>
    <t>Notices or attempts key ideas from use similarity including area/volume scale factors with support and can show one relevant representation.</t>
  </si>
  <si>
    <t>Uses familiar methods to use vectors at Higher and completes connected examples with prompts or checking support.</t>
  </si>
  <si>
    <t>Independently combine geometric reasoning and explains the mathematical relationship or reasoning in a familiar and one varied context.</t>
  </si>
  <si>
    <t>Selects efficient representations or strategies, applies the learning in an unfamiliar context, and can prove relationships where appropriate with precise justification and reflection.</t>
  </si>
  <si>
    <t>NEO_Maths_Similarity_Vectors_and_Transform_[FirstName]_[Date]</t>
  </si>
  <si>
    <t>Notices or attempts key ideas from apply trig/Pythagoras in 2D/3D with support and can show one relevant representation.</t>
  </si>
  <si>
    <t>Uses familiar methods to choose trig rules at tier and completes connected examples with prompts or checking support.</t>
  </si>
  <si>
    <t>Independently solve surface area/volume problems and explains the mathematical relationship or reasoning in a familiar and one varied context.</t>
  </si>
  <si>
    <t>NEO_Maths_Trigonometry_and_3D_Measures_[FirstName]_[Date]</t>
  </si>
  <si>
    <t>Notices or attempts key ideas from interpret/construct histograms at tier with support and can show one relevant representation.</t>
  </si>
  <si>
    <t>Uses familiar methods to use frequency density and completes connected examples with prompts or checking support.</t>
  </si>
  <si>
    <t>Independently compare distributions and explains the mathematical relationship or reasoning in a familiar and one varied context.</t>
  </si>
  <si>
    <t>Selects efficient representations or strategies, applies the learning in an unfamiliar context, and can justify statistical conclusions with precise justification and reflection.</t>
  </si>
  <si>
    <t>NEO_Maths_Histograms_Cumulative_Frequency__[FirstName]_[Date]</t>
  </si>
  <si>
    <t>Notices or attempts key ideas from use Venn/tree diagrams with support and can show one relevant representation.</t>
  </si>
  <si>
    <t>Uses familiar methods to calculate combined events and completes connected examples with prompts or checking support.</t>
  </si>
  <si>
    <t>Independently use expected frequency and explains the mathematical relationship or reasoning in a familiar and one varied context.</t>
  </si>
  <si>
    <t>Selects efficient representations or strategies, applies the learning in an unfamiliar context, and can communicate risk with precise justification and reflection.</t>
  </si>
  <si>
    <t>NEO_Maths_Conditional_Probability_and_Deci_[FirstName]_[Date]</t>
  </si>
  <si>
    <t>Notices or attempts key ideas from interpret command words with support and can show one relevant representation.</t>
  </si>
  <si>
    <t>Uses familiar methods to identify hidden topics and completes connected examples with prompts or checking support.</t>
  </si>
  <si>
    <t>Independently reason deductively and explains the mathematical relationship or reasoning in a familiar and one varied context.</t>
  </si>
  <si>
    <t>Selects efficient representations or strategies, applies the learning in an unfamiliar context, and can recover after a stuck moment with precise justification and reflection.</t>
  </si>
  <si>
    <t>NEO_Maths_Exam_Problems_as_Translation_[FirstName]_[Date]</t>
  </si>
  <si>
    <t>Notices or attempts key ideas from form a model with support and can show one relevant representation.</t>
  </si>
  <si>
    <t>Uses familiar methods to combine multiple domains and completes connected examples with prompts or checking support.</t>
  </si>
  <si>
    <t>Independently calculate accurately and explains the mathematical relationship or reasoning in a familiar and one varied context.</t>
  </si>
  <si>
    <t>Selects efficient representations or strategies, applies the learning in an unfamiliar context, and can communicate and revise with precise justification and reflection.</t>
  </si>
  <si>
    <t>NEO_Maths_Mathematics_Capstone_Solve_Expla_[FirstName]_[Date]</t>
  </si>
  <si>
    <t>Notices or attempts key ideas from read/order numbers with support and can show one relevant representation.</t>
  </si>
  <si>
    <t>Uses familiar methods to calculate with whole numbers/decimals and completes connected examples with prompts or checking support.</t>
  </si>
  <si>
    <t>Selects efficient representations or strategies, applies the learning in an unfamiliar context, and can choose calculator or non-calculator routes with precise justification and reflection.</t>
  </si>
  <si>
    <t>NEO_Maths_Everyday_Number_and_Estimation_[FirstName]_[Date]</t>
  </si>
  <si>
    <t>Notices or attempts key ideas from calculate money with support and can show one relevant representation.</t>
  </si>
  <si>
    <t>Independently simple/compound interest by level and explains the mathematical relationship or reasoning in a familiar and one varied context.</t>
  </si>
  <si>
    <t>Selects efficient representations or strategies, applies the learning in an unfamiliar context, and can explain a decision with precise justification and reflection.</t>
  </si>
  <si>
    <t>NEO_Maths_Money_Discounts_and_Budget_Choic_[FirstName]_[Date]</t>
  </si>
  <si>
    <t>Notices or attempts key ideas from use fractions/FDP equivalence with support and can show one relevant representation.</t>
  </si>
  <si>
    <t>Uses familiar methods to use simple ratio and completes connected examples with prompts or checking support.</t>
  </si>
  <si>
    <t>Independently inverse proportion at Level 2 and explains the mathematical relationship or reasoning in a familiar and one varied context.</t>
  </si>
  <si>
    <t>Selects efficient representations or strategies, applies the learning in an unfamiliar context, and can interpret units with precise justification and reflection.</t>
  </si>
  <si>
    <t>NEO_Maths_Recipes_Ratio_and_Direct_Proport_[FirstName]_[Date]</t>
  </si>
  <si>
    <t>Uses familiar methods to rates of pay and completes connected examples with prompts or checking support.</t>
  </si>
  <si>
    <t>Independently compare offers and explains the mathematical relationship or reasoning in a familiar and one varied context.</t>
  </si>
  <si>
    <t>Selects efficient representations or strategies, applies the learning in an unfamiliar context, and can interpret compound measures with precise justification and reflection.</t>
  </si>
  <si>
    <t>NEO_Maths_Pay_Speed_Density_and_Real_Rates_[FirstName]_[Date]</t>
  </si>
  <si>
    <t>Notices or attempts key ideas from convert units with support and can show one relevant representation.</t>
  </si>
  <si>
    <t>Uses familiar methods to use scales/maps and completes connected examples with prompts or checking support.</t>
  </si>
  <si>
    <t>Independently volume and explains the mathematical relationship or reasoning in a familiar and one varied context.</t>
  </si>
  <si>
    <t>Selects efficient representations or strategies, applies the learning in an unfamiliar context, and can calculate actual dimensions with precise justification and reflection.</t>
  </si>
  <si>
    <t>NEO_Maths_Measure_Scale_and_Making_Things__[FirstName]_[Date]</t>
  </si>
  <si>
    <t>Notices or attempts key ideas from calculate time intervals with support and can show one relevant representation.</t>
  </si>
  <si>
    <t>Uses familiar methods to read timetables and completes connected examples with prompts or checking support.</t>
  </si>
  <si>
    <t>Independently compare routes and explains the mathematical relationship or reasoning in a familiar and one varied context.</t>
  </si>
  <si>
    <t>Selects efficient representations or strategies, applies the learning in an unfamiliar context, and can explain assumptions with precise justification and reflection.</t>
  </si>
  <si>
    <t>NEO_Maths_Time_Travel_and_Scheduling_[FirstName]_[Date]</t>
  </si>
  <si>
    <t>Notices or attempts key ideas from read/construct charts with support and can show one relevant representation.</t>
  </si>
  <si>
    <t>Uses familiar methods to group data and completes connected examples with prompts or checking support.</t>
  </si>
  <si>
    <t>Independently compare data sets and explains the mathematical relationship or reasoning in a familiar and one varied context.</t>
  </si>
  <si>
    <t>Selects efficient representations or strategies, applies the learning in an unfamiliar context, and can critique a claim with precise justification and reflection.</t>
  </si>
  <si>
    <t>NEO_Maths_Charts_Averages_and_Claims_[FirstName]_[Date]</t>
  </si>
  <si>
    <t>Uses familiar methods to calculate simple events and completes connected examples with prompts or checking support.</t>
  </si>
  <si>
    <t>Independently use combined events/tables at L2 and explains the mathematical relationship or reasoning in a familiar and one varied context.</t>
  </si>
  <si>
    <t>Selects efficient representations or strategies, applies the learning in an unfamiliar context, and can interpret likelihood with precise justification and reflection.</t>
  </si>
  <si>
    <t>NEO_Maths_Probability_Risk_and_Everyday_De_[FirstName]_[Date]</t>
  </si>
  <si>
    <t>Notices or attempts key ideas from identify information with support and can show one relevant representation.</t>
  </si>
  <si>
    <t>Uses familiar methods to plan multiple steps and completes connected examples with prompts or checking support.</t>
  </si>
  <si>
    <t>Independently calculate to required accuracy and explains the mathematical relationship or reasoning in a familiar and one varied context.</t>
  </si>
  <si>
    <t>Selects efficient representations or strategies, applies the learning in an unfamiliar context, and can present a recommendation with precise justification and reflection.</t>
  </si>
  <si>
    <t>NEO_Maths_Applied_Decision_Project_[FirstName]_[Date]</t>
  </si>
  <si>
    <t>Notices or attempts key ideas from read mathematical information with support and can show one relevant representation.</t>
  </si>
  <si>
    <t>Uses familiar methods to identify operations and completes connected examples with prompts or checking support.</t>
  </si>
  <si>
    <t>Independently use required accuracy and explains the mathematical relationship or reasoning in a familiar and one varied context.</t>
  </si>
  <si>
    <t>Selects efficient representations or strategies, applies the learning in an unfamiliar context, and can use calculator/non-calculator strategies with precise justification and reflection.</t>
  </si>
  <si>
    <t>NEO_Maths_Functional_Skills_Assessment_Nav_[FirstName]_[Date]</t>
  </si>
  <si>
    <t>NEO Mathematics Curriculum Build Tracker — Pathways</t>
  </si>
  <si>
    <t>Operational register from mapped curriculum to lesson package, review, evidence and lock.</t>
  </si>
  <si>
    <t>Interactive Tool</t>
  </si>
  <si>
    <t>HTML Lesson</t>
  </si>
  <si>
    <t>Practice Companion</t>
  </si>
  <si>
    <t>Learner Guide</t>
  </si>
  <si>
    <t>Adult Guidance</t>
  </si>
  <si>
    <t>Review</t>
  </si>
  <si>
    <t>Priority / Note</t>
  </si>
  <si>
    <t>Complete</t>
  </si>
  <si>
    <t>Not started</t>
  </si>
  <si>
    <t>Sequence after spine review</t>
  </si>
  <si>
    <t>No live artifact linked</t>
  </si>
  <si>
    <t>1 lesson + 2 guides</t>
  </si>
  <si>
    <t>Reviewed</t>
  </si>
  <si>
    <t>Built</t>
  </si>
  <si>
    <t>Reference standard</t>
  </si>
  <si>
    <t>1 reference environment + 2 guides</t>
  </si>
  <si>
    <t>Early build priority</t>
  </si>
  <si>
    <t>4 current lessons + 6 guidance PDFs</t>
  </si>
  <si>
    <t>Sources, Assumptions and Review Notes</t>
  </si>
  <si>
    <t>This workbook is a GreenPrint curriculum architecture draft. External specifications are overlays and must be checked at annual review or before formal assessment entry.</t>
  </si>
  <si>
    <t>Source / Decision</t>
  </si>
  <si>
    <t>Purpose in Workbook</t>
  </si>
  <si>
    <t>Authority / Status</t>
  </si>
  <si>
    <t>URL or File</t>
  </si>
  <si>
    <t>Review Date / Trigger</t>
  </si>
  <si>
    <t>NEO Curriculum — Intent, Implementation and Impact v0.1</t>
  </si>
  <si>
    <t>Curriculum × Overlay architecture; modes; pathways; Mastery; portable evidence</t>
  </si>
  <si>
    <t>NEO working draft / greenprint</t>
  </si>
  <si>
    <t>Uploaded project file: NEO_Curriculum___Intent__Implementation_and_Impact_v0_1.md.pdf</t>
  </si>
  <si>
    <t>Interim September 2026; annual April review</t>
  </si>
  <si>
    <t>Connection before curriculum. Always. Qualification specifications describe assessment, not learning.</t>
  </si>
  <si>
    <t>NEO Cornerstones in Mathematics</t>
  </si>
  <si>
    <t>Definitions and mathematical interpretation of six Cornerstones</t>
  </si>
  <si>
    <t>NEO working design reference</t>
  </si>
  <si>
    <t>Uploaded project file: NEO Cornerstones in Mathematics.pdf</t>
  </si>
  <si>
    <t>Review with Teaching and Learning Policy</t>
  </si>
  <si>
    <t>Fit is deliberately uneven; Nutrition should not be forced in abstract units.</t>
  </si>
  <si>
    <t>National Curriculum in England: Mathematics programmes of study</t>
  </si>
  <si>
    <t>KS3 canonical learning source and progression principles</t>
  </si>
  <si>
    <t>Department for Education statutory programme of study</t>
  </si>
  <si>
    <t>Annual curriculum review or statutory change</t>
  </si>
  <si>
    <t>KS3 is interconnected; progression should reflect secure understanding and readiness.</t>
  </si>
  <si>
    <t>Qualification overlay for NEO core academic maths pathway</t>
  </si>
  <si>
    <t>Pearson qualification specification / course page</t>
  </si>
  <si>
    <t>Before each annual KS4 map review and exam entry cycle</t>
  </si>
  <si>
    <t>NEO draft names 4MA1 Foundation/Higher. Current Pearson course page should be treated as source of truth.</t>
  </si>
  <si>
    <t>Applied qualification overlay, Level 1 and Level 2</t>
  </si>
  <si>
    <t>Pearson accredited qualification page</t>
  </si>
  <si>
    <t>Before annual applied-pathway review; Pearson page currently lists review date 31 August 2028</t>
  </si>
  <si>
    <t>Three content areas: number; measures/shape/space; handling information/data. Problem solving is central.</t>
  </si>
  <si>
    <t>Yr 6 + KS3_KS4 Maths SoW Verseal V3</t>
  </si>
  <si>
    <t>Legacy sequencing, misconceptions, diagnostic questions and topic order</t>
  </si>
  <si>
    <t>Uploaded internal working scheme of work</t>
  </si>
  <si>
    <t>Uploaded project file: Yr 6 + KS3_KS4_Maths_SoW_Verseal_V3.xlsx</t>
  </si>
  <si>
    <t>Superseded progressively by NEO canonical map</t>
  </si>
  <si>
    <t>Used as sequencing evidence; Ways of Knowing language retired in favour of Cornerstones.</t>
  </si>
  <si>
    <t>Maths Progress International 11–14 Student Books Years 7–9</t>
  </si>
  <si>
    <t>Sequence anchor and topic-order cross-check</t>
  </si>
  <si>
    <t>Uploaded reference textbooks</t>
  </si>
  <si>
    <t>Uploaded project files: Years 7, 8 and 9 PDFs</t>
  </si>
  <si>
    <t>When revising KS3 sequence</t>
  </si>
  <si>
    <t>Used as a sequence reference, not copied as curriculum.</t>
  </si>
  <si>
    <t>GreenPrint v1.1 alignment pass</t>
  </si>
  <si>
    <t>Pathway names, internal stages, 3 × 45 × 38 rhythm, live evidence and current status fields</t>
  </si>
  <si>
    <t>NEO current GreenPrint</t>
  </si>
  <si>
    <t>NEO_Mathematics_Curriculum_GreenPrint_Running_Design_Record_v1.1.docx</t>
  </si>
  <si>
    <t>Review with next GreenPrint version</t>
  </si>
  <si>
    <t>Coordinated workbook pass v0.2, 2026-07-16</t>
  </si>
  <si>
    <t>Reference prototype: Ratio and Proportion v5</t>
  </si>
  <si>
    <t>Reference interaction, guidance and Scratchpad architecture</t>
  </si>
  <si>
    <t>Reviewed NEO prototype</t>
  </si>
  <si>
    <t>NEO_Maths_KS3_Ratio_Proportion_Interactive_v5.html</t>
  </si>
  <si>
    <t>Use as implementation benchmark</t>
  </si>
  <si>
    <t>Recipe Scaler, Ratio Table Builder, Smoothie Design, progressive practice and embedded Scratchpad.</t>
  </si>
  <si>
    <t>Reference prototype: Straight-Line Graphs v5</t>
  </si>
  <si>
    <t>Reference dynamic graph and conjecture-before-reveal architecture</t>
  </si>
  <si>
    <t>NEO_Maths_KS4_Straight_Line_Graphs_Interactive_v5.html</t>
  </si>
  <si>
    <t>Gradient Explorer, Matcher, Line Detective, Story Builder and coordinate Scratchpad.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</si>
</sst>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1.0"/>
      <color rgb="FF000000"/>
      <name val="Carlito"/>
      <scheme val="minor"/>
    </font>
    <font>
      <b/>
      <sz val="16.0"/>
      <color rgb="FFFFFFFF"/>
      <name val="Carlito"/>
    </font>
    <font>
      <b/>
      <i/>
      <sz val="10.0"/>
      <color rgb="FF24342B"/>
      <name val="Carlito"/>
    </font>
    <font>
      <b/>
      <sz val="11.0"/>
      <color rgb="FF3F5F45"/>
      <name val="Carlito"/>
    </font>
    <font>
      <b/>
      <sz val="10.0"/>
      <color rgb="FFFFFFFF"/>
      <name val="Carlito"/>
    </font>
    <font/>
    <font>
      <sz val="9.0"/>
      <color rgb="FF2F3429"/>
      <name val="Carlito"/>
    </font>
    <font>
      <b/>
      <sz val="13.0"/>
      <color rgb="FF3F5F45"/>
      <name val="Carlito"/>
    </font>
    <font>
      <b/>
      <sz val="9.0"/>
      <color rgb="FF3F5F45"/>
      <name val="Carlito"/>
    </font>
    <font>
      <b/>
      <sz val="11.0"/>
      <color rgb="FFFFFFFF"/>
      <name val="Carlito"/>
    </font>
    <font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365F43"/>
        <bgColor rgb="FF365F43"/>
      </patternFill>
    </fill>
    <fill>
      <patternFill patternType="solid">
        <fgColor rgb="FF3F5F45"/>
        <bgColor rgb="FF3F5F45"/>
      </patternFill>
    </fill>
    <fill>
      <patternFill patternType="solid">
        <fgColor rgb="FFEAF1E6"/>
        <bgColor rgb="FFEAF1E6"/>
      </patternFill>
    </fill>
    <fill>
      <patternFill patternType="solid">
        <fgColor rgb="FFE8F0E3"/>
        <bgColor rgb="FFE8F0E3"/>
      </patternFill>
    </fill>
    <fill>
      <patternFill patternType="solid">
        <fgColor rgb="FF5C6B4F"/>
        <bgColor rgb="FF5C6B4F"/>
      </patternFill>
    </fill>
    <fill>
      <patternFill patternType="solid">
        <fgColor rgb="FF526943"/>
        <bgColor rgb="FF526943"/>
      </patternFill>
    </fill>
  </fills>
  <borders count="15">
    <border/>
    <border>
      <left style="thin">
        <color rgb="FFD6CCB8"/>
      </left>
      <top style="thin">
        <color rgb="FFD6CCB8"/>
      </top>
    </border>
    <border>
      <right style="thin">
        <color rgb="FFD6CCB8"/>
      </right>
      <top style="thin">
        <color rgb="FFD6CCB8"/>
      </top>
    </border>
    <border>
      <top style="thin">
        <color rgb="FFD6CCB8"/>
      </top>
    </border>
    <border>
      <left style="thin">
        <color rgb="FFD6CCB8"/>
      </left>
    </border>
    <border>
      <right style="thin">
        <color rgb="FFD6CCB8"/>
      </right>
    </border>
    <border>
      <left style="thin">
        <color rgb="FFD6CCB8"/>
      </left>
      <bottom style="thin">
        <color rgb="FFD6CCB8"/>
      </bottom>
    </border>
    <border>
      <right style="thin">
        <color rgb="FFD6CCB8"/>
      </right>
      <bottom style="thin">
        <color rgb="FFD6CCB8"/>
      </bottom>
    </border>
    <border>
      <bottom style="thin">
        <color rgb="FFD6CCB8"/>
      </bottom>
    </border>
    <border>
      <right style="thin">
        <color rgb="FFD9E1DC"/>
      </right>
      <top style="thin">
        <color rgb="FFD6CCB8"/>
      </top>
      <bottom style="thin">
        <color rgb="FFD9E1DC"/>
      </bottom>
    </border>
    <border>
      <left style="thin">
        <color rgb="FFD9E1DC"/>
      </left>
      <top style="thin">
        <color rgb="FFD6CCB8"/>
      </top>
      <bottom style="thin">
        <color rgb="FFD9E1DC"/>
      </bottom>
    </border>
    <border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top style="thin">
        <color rgb="FFD9E1DC"/>
      </top>
      <bottom style="thin">
        <color rgb="FFD9E1DC"/>
      </bottom>
    </border>
    <border>
      <right style="thin">
        <color rgb="FFD9E1DC"/>
      </right>
      <top style="thin">
        <color rgb="FFD9E1DC"/>
      </top>
    </border>
    <border>
      <left style="thin">
        <color rgb="FFD9E1DC"/>
      </left>
      <top style="thin">
        <color rgb="FFD9E1DC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1" numFmtId="0" xfId="0" applyAlignment="1" applyFill="1" applyFont="1">
      <alignment horizontal="left" vertical="center"/>
    </xf>
    <xf borderId="0" fillId="4" fontId="2" numFmtId="0" xfId="0" applyAlignment="1" applyFill="1" applyFont="1">
      <alignment shrinkToFit="0" vertical="center" wrapText="1"/>
    </xf>
    <xf borderId="0" fillId="5" fontId="3" numFmtId="0" xfId="0" applyAlignment="1" applyFill="1" applyFont="1">
      <alignment vertical="center"/>
    </xf>
    <xf borderId="1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3" fillId="7" fontId="4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6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6" fillId="0" fontId="6" numFmtId="0" xfId="0" applyAlignment="1" applyBorder="1" applyFont="1">
      <alignment shrinkToFit="0" vertical="top" wrapText="1"/>
    </xf>
    <xf borderId="7" fillId="0" fontId="7" numFmtId="0" xfId="0" applyAlignment="1" applyBorder="1" applyFont="1">
      <alignment shrinkToFit="0" vertical="top" wrapText="1"/>
    </xf>
    <xf borderId="2" fillId="0" fontId="5" numFmtId="0" xfId="0" applyBorder="1" applyFont="1"/>
    <xf borderId="8" fillId="0" fontId="6" numFmtId="0" xfId="0" applyAlignment="1" applyBorder="1" applyFont="1">
      <alignment shrinkToFit="0" vertical="top" wrapText="1"/>
    </xf>
    <xf borderId="8" fillId="0" fontId="6" numFmtId="164" xfId="0" applyAlignment="1" applyBorder="1" applyFont="1" applyNumberForma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3" fillId="6" fontId="4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3" fillId="7" fontId="4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shrinkToFit="0" vertical="center" wrapText="1"/>
    </xf>
    <xf borderId="9" fillId="7" fontId="9" numFmtId="0" xfId="0" applyAlignment="1" applyBorder="1" applyFont="1">
      <alignment shrinkToFit="0" vertical="top" wrapText="1"/>
    </xf>
    <xf borderId="10" fillId="7" fontId="9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11" fillId="0" fontId="10" numFmtId="0" xfId="0" applyAlignment="1" applyBorder="1" applyFont="1">
      <alignment shrinkToFit="0" vertical="top" wrapText="1"/>
    </xf>
    <xf borderId="12" fillId="0" fontId="10" numFmtId="0" xfId="0" applyAlignment="1" applyBorder="1" applyFont="1">
      <alignment shrinkToFit="0" vertical="top" wrapText="1"/>
    </xf>
    <xf borderId="6" fillId="0" fontId="6" numFmtId="0" xfId="0" applyAlignment="1" applyBorder="1" applyFont="1">
      <alignment shrinkToFit="0" vertical="top" wrapText="1"/>
    </xf>
    <xf borderId="8" fillId="0" fontId="6" numFmtId="0" xfId="0" applyAlignment="1" applyBorder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13" fillId="0" fontId="10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shrinkToFit="0" vertical="top" wrapText="1"/>
    </xf>
    <xf borderId="1" fillId="6" fontId="4" numFmtId="0" xfId="0" applyAlignment="1" applyBorder="1" applyFont="1">
      <alignment horizontal="center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2" fillId="6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355C33"/>
      </font>
      <fill>
        <patternFill patternType="solid">
          <fgColor rgb="FFDCEFD8"/>
          <bgColor rgb="FFDCEFD8"/>
        </patternFill>
      </fill>
      <border/>
    </dxf>
    <dxf>
      <font>
        <b/>
        <color rgb="FF9B1C1C"/>
      </font>
      <fill>
        <patternFill patternType="solid">
          <fgColor rgb="FFFCE8E6"/>
          <bgColor rgb="FFFCE8E6"/>
        </patternFill>
      </fill>
      <border/>
    </dxf>
    <dxf>
      <font>
        <b/>
        <color rgb="FF246B3B"/>
      </font>
      <fill>
        <patternFill patternType="solid">
          <fgColor rgb="FFE6F4EA"/>
          <bgColor rgb="FFE6F4EA"/>
        </patternFill>
      </fill>
      <border/>
    </dxf>
    <dxf>
      <font>
        <b/>
        <color rgb="FF174EA6"/>
      </font>
      <fill>
        <patternFill patternType="solid">
          <fgColor rgb="FFE8F0FE"/>
          <bgColor rgb="FFE8F0FE"/>
        </patternFill>
      </fill>
      <border/>
    </dxf>
    <dxf>
      <font>
        <color rgb="FF246B3B"/>
      </font>
      <fill>
        <patternFill patternType="solid">
          <fgColor rgb="FFE6F4EA"/>
          <bgColor rgb="FFE6F4EA"/>
        </patternFill>
      </fill>
      <border/>
    </dxf>
    <dxf>
      <font>
        <color rgb="FF7A4F01"/>
      </font>
      <fill>
        <patternFill patternType="solid">
          <fgColor rgb="FFFFF4CE"/>
          <bgColor rgb="FFFFF4CE"/>
        </patternFill>
      </fill>
      <border/>
    </dxf>
    <dxf>
      <font/>
      <fill>
        <patternFill patternType="solid">
          <fgColor rgb="FFF7E5D8"/>
          <bgColor rgb="FFF7E5D8"/>
        </patternFill>
      </fill>
      <border/>
    </dxf>
    <dxf>
      <font/>
      <fill>
        <patternFill patternType="solid">
          <fgColor rgb="FFE5EEF2"/>
          <bgColor rgb="FFE5EEF2"/>
        </patternFill>
      </fill>
      <border/>
    </dxf>
  </dxfs>
  <tableStyles count="8">
    <tableStyle count="3" pivot="0" name="Curriculum Map-style">
      <tableStyleElement dxfId="1" type="headerRow"/>
      <tableStyleElement dxfId="2" type="firstRowStripe"/>
      <tableStyleElement dxfId="3" type="secondRowStripe"/>
    </tableStyle>
    <tableStyle count="3" pivot="0" name="Stepping Stones-style">
      <tableStyleElement dxfId="1" type="headerRow"/>
      <tableStyleElement dxfId="2" type="firstRowStripe"/>
      <tableStyleElement dxfId="3" type="secondRowStripe"/>
    </tableStyle>
    <tableStyle count="3" pivot="0" name="Qualification Overlays-style">
      <tableStyleElement dxfId="1" type="headerRow"/>
      <tableStyleElement dxfId="2" type="firstRowStripe"/>
      <tableStyleElement dxfId="3" type="secondRowStripe"/>
    </tableStyle>
    <tableStyle count="3" pivot="0" name="Cornerstone Map-style">
      <tableStyleElement dxfId="1" type="headerRow"/>
      <tableStyleElement dxfId="2" type="firstRowStripe"/>
      <tableStyleElement dxfId="3" type="secondRowStripe"/>
    </tableStyle>
    <tableStyle count="3" pivot="0" name="Interactive Tools-style">
      <tableStyleElement dxfId="1" type="headerRow"/>
      <tableStyleElement dxfId="2" type="firstRowStripe"/>
      <tableStyleElement dxfId="3" type="secondRowStripe"/>
    </tableStyle>
    <tableStyle count="3" pivot="0" name="Portfolio &amp; Mastery-style">
      <tableStyleElement dxfId="1" type="headerRow"/>
      <tableStyleElement dxfId="2" type="firstRowStripe"/>
      <tableStyleElement dxfId="3" type="secondRowStripe"/>
    </tableStyle>
    <tableStyle count="3" pivot="0" name="Build Tracker-style">
      <tableStyleElement dxfId="1" type="headerRow"/>
      <tableStyleElement dxfId="2" type="firstRowStripe"/>
      <tableStyleElement dxfId="3" type="secondRowStripe"/>
    </tableStyle>
    <tableStyle count="3" pivot="0" name="Sources &amp; No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Mapped Units by Pathway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Unit 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Overview!$D$5:$D$11</c:f>
            </c:strRef>
          </c:cat>
          <c:val>
            <c:numRef>
              <c:f>Overview!$E$5:$E$11</c:f>
              <c:numCache/>
            </c:numRef>
          </c:val>
        </c:ser>
        <c:axId val="661540783"/>
        <c:axId val="1946905314"/>
      </c:barChart>
      <c:catAx>
        <c:axId val="661540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905314"/>
      </c:catAx>
      <c:valAx>
        <c:axId val="1946905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54078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13</xdr:row>
      <xdr:rowOff>0</xdr:rowOff>
    </xdr:from>
    <xdr:ext cx="8477250" cy="5410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V72" displayName="Table_1" name="Table_1" id="1">
  <tableColumns count="22">
    <tableColumn name="Unit ID" id="1"/>
    <tableColumn name="Pathway" id="2"/>
    <tableColumn name="Internal Stage" id="3"/>
    <tableColumn name="Sequence" id="4"/>
    <tableColumn name="Mathematical Strand" id="5"/>
    <tableColumn name="Unit Title" id="6"/>
    <tableColumn name="Driving Question" id="7"/>
    <tableColumn name="Stepping Stones" id="8"/>
    <tableColumn name="Primary Cornerstone" id="9"/>
    <tableColumn name="Secondary Cornerstone(s)" id="10"/>
    <tableColumn name="Cornerstone Fit" id="11"/>
    <tableColumn name="Interactive Inquiry Tool" id="12"/>
    <tableColumn name="Scratchpad Template" id="13"/>
    <tableColumn name="Portfolio Evidence" id="14"/>
    <tableColumn name="Qualification Overlay" id="15"/>
    <tableColumn name="Overlay Reference" id="16"/>
    <tableColumn name="Suggested Mode(s)" id="17"/>
    <tableColumn name="Sensory / Cognitive Load" id="18"/>
    <tableColumn name="Prerequisite Connections" id="19"/>
    <tableColumn name="Next Connections" id="20"/>
    <tableColumn name="Current Status" id="21"/>
    <tableColumn name="Curriculum Design Note" id="22"/>
  </tableColumns>
  <tableStyleInfo name="Curriculum Map-style" showColumnStripes="0" showFirstColumn="1" showLastColumn="1" showRowStripes="1"/>
</table>
</file>

<file path=xl/tables/table2.xml><?xml version="1.0" encoding="utf-8"?>
<table xmlns="http://schemas.openxmlformats.org/spreadsheetml/2006/main" ref="A4:M399" displayName="Table_2" name="Table_2" id="2">
  <tableColumns count="13">
    <tableColumn name="Stepping Stone ID" id="1"/>
    <tableColumn name="Unit ID" id="2"/>
    <tableColumn name="Pathway" id="3"/>
    <tableColumn name="Internal Stage" id="4"/>
    <tableColumn name="Strand" id="5"/>
    <tableColumn name="Unit Title" id="6"/>
    <tableColumn name="Canonical Learning Statement" id="7"/>
    <tableColumn name="Primary Cornerstone" id="8"/>
    <tableColumn name="Secondary Cornerstones" id="9"/>
    <tableColumn name="Mode(s)" id="10"/>
    <tableColumn name="Suggested Evidence Types" id="11"/>
    <tableColumn name="Prerequisite Connection" id="12"/>
    <tableColumn name="Next Connection" id="13"/>
  </tableColumns>
  <tableStyleInfo name="Stepping Stones-style" showColumnStripes="0" showFirstColumn="1" showLastColumn="1" showRowStripes="1"/>
</table>
</file>

<file path=xl/tables/table3.xml><?xml version="1.0" encoding="utf-8"?>
<table xmlns="http://schemas.openxmlformats.org/spreadsheetml/2006/main" ref="A4:J114" displayName="Table_3" name="Table_3" id="3">
  <tableColumns count="10">
    <tableColumn name="Overlay Map ID" id="1"/>
    <tableColumn name="Unit ID" id="2"/>
    <tableColumn name="Pathway" id="3"/>
    <tableColumn name="Unit Title" id="4"/>
    <tableColumn name="Overlay" id="5"/>
    <tableColumn name="Tier / Level" id="6"/>
    <tableColumn name="Specification Reference" id="7"/>
    <tableColumn name="Canonical Link Summary" id="8"/>
    <tableColumn name="Source URL" id="9"/>
    <tableColumn name="Review Note" id="10"/>
  </tableColumns>
  <tableStyleInfo name="Qualification Overlays-style" showColumnStripes="0" showFirstColumn="1" showLastColumn="1" showRowStripes="1"/>
</table>
</file>

<file path=xl/tables/table4.xml><?xml version="1.0" encoding="utf-8"?>
<table xmlns="http://schemas.openxmlformats.org/spreadsheetml/2006/main" ref="A14:L82" displayName="Table_4" name="Table_4" id="4">
  <tableColumns count="12">
    <tableColumn name="Unit ID" id="1"/>
    <tableColumn name="Pathway" id="2"/>
    <tableColumn name="Internal Stage" id="3"/>
    <tableColumn name="Strand" id="4"/>
    <tableColumn name="Unit Title" id="5"/>
    <tableColumn name="Driving Question" id="6"/>
    <tableColumn name="Primary Cornerstone" id="7"/>
    <tableColumn name="Secondary Cornerstone(s)" id="8"/>
    <tableColumn name="Fit" id="9"/>
    <tableColumn name="What the Cornerstone Does Mathematically" id="10"/>
    <tableColumn name="Scratchpad / Inquiry Link" id="11"/>
    <tableColumn name="Sensory / Pacing Note" id="12"/>
  </tableColumns>
  <tableStyleInfo name="Cornerstone Map-style" showColumnStripes="0" showFirstColumn="1" showLastColumn="1" showRowStripes="1"/>
</table>
</file>

<file path=xl/tables/table5.xml><?xml version="1.0" encoding="utf-8"?>
<table xmlns="http://schemas.openxmlformats.org/spreadsheetml/2006/main" ref="A4:L72" displayName="Table_5" name="Table_5" id="5">
  <tableColumns count="12">
    <tableColumn name="Tool ID" id="1"/>
    <tableColumn name="Unit ID" id="2"/>
    <tableColumn name="Pathway" id="3"/>
    <tableColumn name="Unit Title" id="4"/>
    <tableColumn name="Interactive Inquiry Tool" id="5"/>
    <tableColumn name="Inquiry Move" id="6"/>
    <tableColumn name="Core Learner Actions" id="7"/>
    <tableColumn name="Scratchpad Preset" id="8"/>
    <tableColumn name="Suggested Contextual Button" id="9"/>
    <tableColumn name="Reusable Tool Family" id="10"/>
    <tableColumn name="Tool Status" id="11"/>
    <tableColumn name="Build Note" id="12"/>
  </tableColumns>
  <tableStyleInfo name="Interactive Tools-style" showColumnStripes="0" showFirstColumn="1" showLastColumn="1" showRowStripes="1"/>
</table>
</file>

<file path=xl/tables/table6.xml><?xml version="1.0" encoding="utf-8"?>
<table xmlns="http://schemas.openxmlformats.org/spreadsheetml/2006/main" ref="A4:N72" displayName="Table_6" name="Table_6" id="6">
  <tableColumns count="14">
    <tableColumn name="Unit ID" id="1"/>
    <tableColumn name="Pathway" id="2"/>
    <tableColumn name="Internal Stage" id="3"/>
    <tableColumn name="Strand" id="4"/>
    <tableColumn name="Unit Title" id="5"/>
    <tableColumn name="Portfolio / Evidence Product" id="6"/>
    <tableColumn name="Alternative Evidence Forms" id="7"/>
    <tableColumn name="Emerging" id="8"/>
    <tableColumn name="Developing" id="9"/>
    <tableColumn name="Secure" id="10"/>
    <tableColumn name="Mastering" id="11"/>
    <tableColumn name="Submission Pattern" id="12"/>
    <tableColumn name="Learner Reflection Prompt" id="13"/>
    <tableColumn name="Evidence Ownership Note" id="14"/>
  </tableColumns>
  <tableStyleInfo name="Portfolio &amp; Mastery-style" showColumnStripes="0" showFirstColumn="1" showLastColumn="1" showRowStripes="1"/>
</table>
</file>

<file path=xl/tables/table7.xml><?xml version="1.0" encoding="utf-8"?>
<table xmlns="http://schemas.openxmlformats.org/spreadsheetml/2006/main" ref="A4:M72" displayName="Table_7" name="Table_7" id="7">
  <tableColumns count="13">
    <tableColumn name="Unit ID" id="1"/>
    <tableColumn name="Pathway" id="2"/>
    <tableColumn name="Internal Stage" id="3"/>
    <tableColumn name="Unit Title" id="4"/>
    <tableColumn name="Curriculum Map" id="5"/>
    <tableColumn name="Interactive Tool" id="6"/>
    <tableColumn name="HTML Lesson" id="7"/>
    <tableColumn name="Practice Companion" id="8"/>
    <tableColumn name="Learner Guide" id="9"/>
    <tableColumn name="Adult Guidance" id="10"/>
    <tableColumn name="Review" id="11"/>
    <tableColumn name="Current Status" id="12"/>
    <tableColumn name="Priority / Note" id="13"/>
  </tableColumns>
  <tableStyleInfo name="Build Tracker-style" showColumnStripes="0" showFirstColumn="1" showLastColumn="1" showRowStripes="1"/>
</table>
</file>

<file path=xl/tables/table8.xml><?xml version="1.0" encoding="utf-8"?>
<table xmlns="http://schemas.openxmlformats.org/spreadsheetml/2006/main" ref="A4:F14" displayName="Table_8" name="Table_8" id="8">
  <tableColumns count="6">
    <tableColumn name="Source / Decision" id="1"/>
    <tableColumn name="Purpose in Workbook" id="2"/>
    <tableColumn name="Authority / Status" id="3"/>
    <tableColumn name="URL or File" id="4"/>
    <tableColumn name="Review Date / Trigger" id="5"/>
    <tableColumn name="Design Note" id="6"/>
  </tableColumns>
  <tableStyleInfo name="Sources &amp; N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2" width="16.0"/>
    <col customWidth="1" min="3" max="3" width="8.63"/>
    <col customWidth="1" min="4" max="4" width="24.0"/>
    <col customWidth="1" min="5" max="5" width="14.0"/>
    <col customWidth="1" min="6" max="6" width="50.0"/>
    <col customWidth="1" min="7" max="7" width="46.0"/>
    <col customWidth="1" min="8" max="8" width="8.0"/>
    <col customWidth="1" min="9" max="9" width="28.0"/>
    <col customWidth="1" min="10" max="10" width="58.0"/>
    <col customWidth="1" min="11" max="26" width="8.63"/>
  </cols>
  <sheetData>
    <row r="1" ht="25.5" customHeight="1">
      <c r="A1" s="1" t="s">
        <v>0</v>
      </c>
      <c r="K1" s="2"/>
      <c r="L1" s="2"/>
    </row>
    <row r="2" ht="33.75" customHeight="1">
      <c r="A2" s="3" t="s">
        <v>1</v>
      </c>
      <c r="K2" s="4"/>
      <c r="L2" s="4"/>
    </row>
    <row r="4">
      <c r="A4" s="5" t="s">
        <v>2</v>
      </c>
      <c r="B4" s="6" t="s">
        <v>3</v>
      </c>
      <c r="D4" s="7" t="s">
        <v>4</v>
      </c>
      <c r="E4" s="8" t="s">
        <v>5</v>
      </c>
      <c r="F4" s="8" t="s">
        <v>6</v>
      </c>
      <c r="G4" s="9" t="s">
        <v>7</v>
      </c>
      <c r="H4" s="5" t="s">
        <v>8</v>
      </c>
      <c r="I4" s="10"/>
      <c r="J4" s="10"/>
      <c r="K4" s="10"/>
      <c r="L4" s="10"/>
    </row>
    <row r="5" ht="42.0" customHeight="1">
      <c r="A5" s="11" t="s">
        <v>9</v>
      </c>
      <c r="B5" s="12">
        <f>COUNTA('Curriculum Map'!A5:A72)</f>
        <v>68</v>
      </c>
      <c r="D5" s="11" t="s">
        <v>10</v>
      </c>
      <c r="E5" s="13">
        <v>48.0</v>
      </c>
      <c r="F5" s="14">
        <v>0.7058823529411765</v>
      </c>
      <c r="G5" s="15" t="s">
        <v>11</v>
      </c>
      <c r="H5" s="16" t="s">
        <v>12</v>
      </c>
      <c r="I5" s="13" t="s">
        <v>13</v>
      </c>
      <c r="J5" s="15" t="s">
        <v>14</v>
      </c>
    </row>
    <row r="6" ht="42.0" customHeight="1">
      <c r="A6" s="11" t="s">
        <v>15</v>
      </c>
      <c r="B6" s="12">
        <f>COUNTA('Stepping Stones'!A5:A399)</f>
        <v>395</v>
      </c>
      <c r="D6" s="11" t="s">
        <v>16</v>
      </c>
      <c r="E6" s="13">
        <v>20.0</v>
      </c>
      <c r="F6" s="14">
        <v>0.29411764705882354</v>
      </c>
      <c r="G6" s="15" t="s">
        <v>17</v>
      </c>
      <c r="H6" s="16" t="s">
        <v>18</v>
      </c>
      <c r="I6" s="13" t="s">
        <v>19</v>
      </c>
      <c r="J6" s="15" t="s">
        <v>20</v>
      </c>
    </row>
    <row r="7" ht="42.0" customHeight="1">
      <c r="A7" s="11" t="s">
        <v>21</v>
      </c>
      <c r="B7" s="12">
        <f>COUNTA('Qualification Overlays'!A5:A114)</f>
        <v>110</v>
      </c>
      <c r="D7" s="11" t="s">
        <v>22</v>
      </c>
      <c r="E7" s="13">
        <v>0.0</v>
      </c>
      <c r="F7" s="14">
        <v>0.0</v>
      </c>
      <c r="G7" s="15" t="s">
        <v>23</v>
      </c>
      <c r="H7" s="16" t="s">
        <v>24</v>
      </c>
      <c r="I7" s="13" t="s">
        <v>25</v>
      </c>
      <c r="J7" s="15" t="s">
        <v>26</v>
      </c>
    </row>
    <row r="8" ht="42.0" customHeight="1">
      <c r="A8" s="17" t="s">
        <v>27</v>
      </c>
      <c r="B8" s="18">
        <f>COUNTIF('Build Tracker'!L5:L72,"Locked prototype")</f>
        <v>2</v>
      </c>
      <c r="D8" s="11"/>
      <c r="E8" s="13"/>
      <c r="F8" s="14"/>
      <c r="G8" s="15"/>
      <c r="H8" s="16" t="s">
        <v>28</v>
      </c>
      <c r="I8" s="13" t="s">
        <v>29</v>
      </c>
      <c r="J8" s="15" t="s">
        <v>30</v>
      </c>
    </row>
    <row r="9" ht="42.0" customHeight="1">
      <c r="D9" s="11"/>
      <c r="E9" s="13"/>
      <c r="F9" s="14"/>
      <c r="G9" s="15"/>
      <c r="H9" s="16" t="s">
        <v>31</v>
      </c>
      <c r="I9" s="13" t="s">
        <v>32</v>
      </c>
      <c r="J9" s="15" t="s">
        <v>33</v>
      </c>
    </row>
    <row r="10" ht="42.0" customHeight="1">
      <c r="D10" s="11"/>
      <c r="E10" s="13"/>
      <c r="F10" s="14"/>
      <c r="G10" s="15"/>
      <c r="H10" s="16" t="s">
        <v>34</v>
      </c>
      <c r="I10" s="13" t="s">
        <v>35</v>
      </c>
      <c r="J10" s="15" t="s">
        <v>36</v>
      </c>
    </row>
    <row r="11" ht="42.0" customHeight="1">
      <c r="A11" s="5" t="s">
        <v>37</v>
      </c>
      <c r="B11" s="19"/>
      <c r="D11" s="17" t="s">
        <v>38</v>
      </c>
      <c r="E11" s="20">
        <f>COUNTIF('Curriculum Map'!$B$5:$B$72,D11)</f>
        <v>0</v>
      </c>
      <c r="F11" s="21">
        <f>E11/$B$5</f>
        <v>0</v>
      </c>
      <c r="G11" s="22" t="s">
        <v>39</v>
      </c>
      <c r="H11" s="16" t="s">
        <v>40</v>
      </c>
      <c r="I11" s="13" t="s">
        <v>41</v>
      </c>
      <c r="J11" s="15" t="s">
        <v>42</v>
      </c>
    </row>
    <row r="12" ht="42.0" customHeight="1">
      <c r="A12" s="16" t="s">
        <v>43</v>
      </c>
      <c r="B12" s="15" t="s">
        <v>44</v>
      </c>
      <c r="H12" s="23" t="s">
        <v>45</v>
      </c>
      <c r="I12" s="20" t="s">
        <v>46</v>
      </c>
      <c r="J12" s="22" t="s">
        <v>47</v>
      </c>
    </row>
    <row r="13" ht="43.5" customHeight="1">
      <c r="A13" s="16" t="s">
        <v>19</v>
      </c>
      <c r="B13" s="15" t="s">
        <v>48</v>
      </c>
    </row>
    <row r="14" ht="43.5" customHeight="1">
      <c r="A14" s="16" t="s">
        <v>49</v>
      </c>
      <c r="B14" s="15" t="s">
        <v>50</v>
      </c>
      <c r="D14" s="5" t="s">
        <v>51</v>
      </c>
      <c r="E14" s="24" t="s">
        <v>52</v>
      </c>
      <c r="F14" s="6" t="s">
        <v>53</v>
      </c>
    </row>
    <row r="15" ht="37.5" customHeight="1">
      <c r="A15" s="16" t="s">
        <v>54</v>
      </c>
      <c r="B15" s="15" t="s">
        <v>55</v>
      </c>
      <c r="D15" s="16" t="s">
        <v>56</v>
      </c>
      <c r="E15" s="13">
        <f>'Cornerstone Map'!B5</f>
        <v>22</v>
      </c>
      <c r="F15" s="15" t="s">
        <v>57</v>
      </c>
    </row>
    <row r="16" ht="37.5" customHeight="1">
      <c r="A16" s="16" t="s">
        <v>58</v>
      </c>
      <c r="B16" s="15" t="s">
        <v>59</v>
      </c>
      <c r="D16" s="16" t="s">
        <v>60</v>
      </c>
      <c r="E16" s="13">
        <f>'Cornerstone Map'!B6</f>
        <v>14</v>
      </c>
      <c r="F16" s="15" t="s">
        <v>61</v>
      </c>
    </row>
    <row r="17" ht="37.5" customHeight="1">
      <c r="A17" s="16" t="s">
        <v>62</v>
      </c>
      <c r="B17" s="15" t="s">
        <v>63</v>
      </c>
      <c r="D17" s="16" t="s">
        <v>64</v>
      </c>
      <c r="E17" s="13">
        <f>'Cornerstone Map'!B7</f>
        <v>10</v>
      </c>
      <c r="F17" s="15" t="s">
        <v>65</v>
      </c>
    </row>
    <row r="18" ht="37.5" customHeight="1">
      <c r="A18" s="23" t="s">
        <v>66</v>
      </c>
      <c r="B18" s="22" t="s">
        <v>67</v>
      </c>
      <c r="D18" s="16" t="s">
        <v>68</v>
      </c>
      <c r="E18" s="13">
        <f>'Cornerstone Map'!B8</f>
        <v>19</v>
      </c>
      <c r="F18" s="15" t="s">
        <v>69</v>
      </c>
    </row>
    <row r="19" ht="37.5" customHeight="1">
      <c r="D19" s="16" t="s">
        <v>70</v>
      </c>
      <c r="E19" s="13">
        <f>'Cornerstone Map'!B9</f>
        <v>3</v>
      </c>
      <c r="F19" s="15" t="s">
        <v>71</v>
      </c>
    </row>
    <row r="20" ht="37.5" customHeight="1">
      <c r="D20" s="23" t="s">
        <v>72</v>
      </c>
      <c r="E20" s="20">
        <f>'Cornerstone Map'!B10</f>
        <v>0</v>
      </c>
      <c r="F20" s="2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H4:L4"/>
    <mergeCell ref="A11:B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26.0"/>
    <col customWidth="1" min="3" max="3" width="18.0"/>
    <col customWidth="1" min="4" max="4" width="9.0"/>
    <col customWidth="1" min="5" max="5" width="24.0"/>
    <col customWidth="1" min="6" max="6" width="32.0"/>
    <col customWidth="1" min="7" max="7" width="38.0"/>
    <col customWidth="1" min="8" max="8" width="58.0"/>
    <col customWidth="1" min="9" max="9" width="20.0"/>
    <col customWidth="1" min="10" max="10" width="28.0"/>
    <col customWidth="1" min="11" max="11" width="16.0"/>
    <col customWidth="1" min="12" max="12" width="36.0"/>
    <col customWidth="1" min="13" max="13" width="24.0"/>
    <col customWidth="1" min="14" max="14" width="38.0"/>
    <col customWidth="1" min="15" max="15" width="32.0"/>
    <col customWidth="1" min="16" max="16" width="34.0"/>
    <col customWidth="1" min="17" max="17" width="26.0"/>
    <col customWidth="1" min="18" max="18" width="30.0"/>
    <col customWidth="1" min="19" max="20" width="34.0"/>
    <col customWidth="1" min="21" max="21" width="20.0"/>
    <col customWidth="1" min="22" max="22" width="38.0"/>
    <col customWidth="1" min="23" max="26" width="8.63"/>
  </cols>
  <sheetData>
    <row r="1" ht="25.5" customHeight="1">
      <c r="A1" s="1" t="s">
        <v>74</v>
      </c>
    </row>
    <row r="2" ht="33.75" customHeight="1">
      <c r="A2" s="3" t="s">
        <v>75</v>
      </c>
    </row>
    <row r="4" ht="42.0" customHeight="1">
      <c r="A4" s="25" t="s">
        <v>76</v>
      </c>
      <c r="B4" s="26" t="s">
        <v>4</v>
      </c>
      <c r="C4" s="26" t="s">
        <v>77</v>
      </c>
      <c r="D4" s="26" t="s">
        <v>78</v>
      </c>
      <c r="E4" s="26" t="s">
        <v>79</v>
      </c>
      <c r="F4" s="26" t="s">
        <v>80</v>
      </c>
      <c r="G4" s="26" t="s">
        <v>81</v>
      </c>
      <c r="H4" s="26" t="s">
        <v>19</v>
      </c>
      <c r="I4" s="26" t="s">
        <v>51</v>
      </c>
      <c r="J4" s="26" t="s">
        <v>82</v>
      </c>
      <c r="K4" s="26" t="s">
        <v>83</v>
      </c>
      <c r="L4" s="26" t="s">
        <v>84</v>
      </c>
      <c r="M4" s="26" t="s">
        <v>85</v>
      </c>
      <c r="N4" s="26" t="s">
        <v>86</v>
      </c>
      <c r="O4" s="26" t="s">
        <v>87</v>
      </c>
      <c r="P4" s="26" t="s">
        <v>88</v>
      </c>
      <c r="Q4" s="26" t="s">
        <v>89</v>
      </c>
      <c r="R4" s="26" t="s">
        <v>90</v>
      </c>
      <c r="S4" s="26" t="s">
        <v>91</v>
      </c>
      <c r="T4" s="26" t="s">
        <v>92</v>
      </c>
      <c r="U4" s="26" t="s">
        <v>93</v>
      </c>
      <c r="V4" s="27" t="s">
        <v>94</v>
      </c>
      <c r="W4" s="28" t="s">
        <v>95</v>
      </c>
      <c r="X4" s="29" t="s">
        <v>96</v>
      </c>
    </row>
    <row r="5" ht="72.0" customHeight="1">
      <c r="A5" s="30" t="s">
        <v>97</v>
      </c>
      <c r="B5" s="31" t="s">
        <v>10</v>
      </c>
      <c r="C5" s="31" t="s">
        <v>98</v>
      </c>
      <c r="D5" s="31">
        <v>1.0</v>
      </c>
      <c r="E5" s="31" t="s">
        <v>99</v>
      </c>
      <c r="F5" s="31" t="s">
        <v>100</v>
      </c>
      <c r="G5" s="31" t="s">
        <v>101</v>
      </c>
      <c r="H5" s="31" t="s">
        <v>102</v>
      </c>
      <c r="I5" s="31" t="s">
        <v>56</v>
      </c>
      <c r="J5" s="31" t="s">
        <v>103</v>
      </c>
      <c r="K5" s="31" t="s">
        <v>104</v>
      </c>
      <c r="L5" s="31" t="s">
        <v>105</v>
      </c>
      <c r="M5" s="31" t="s">
        <v>106</v>
      </c>
      <c r="N5" s="31" t="s">
        <v>107</v>
      </c>
      <c r="O5" s="31" t="s">
        <v>108</v>
      </c>
      <c r="P5" s="31" t="s">
        <v>109</v>
      </c>
      <c r="Q5" s="31" t="s">
        <v>110</v>
      </c>
      <c r="R5" s="31" t="s">
        <v>111</v>
      </c>
      <c r="S5" s="31" t="s">
        <v>112</v>
      </c>
      <c r="T5" s="31" t="s">
        <v>113</v>
      </c>
      <c r="U5" s="31" t="s">
        <v>114</v>
      </c>
      <c r="V5" s="32" t="s">
        <v>115</v>
      </c>
      <c r="W5" s="33" t="s">
        <v>116</v>
      </c>
      <c r="X5" s="34" t="s">
        <v>117</v>
      </c>
    </row>
    <row r="6" ht="72.0" customHeight="1">
      <c r="A6" s="30" t="s">
        <v>118</v>
      </c>
      <c r="B6" s="31" t="s">
        <v>10</v>
      </c>
      <c r="C6" s="31" t="s">
        <v>98</v>
      </c>
      <c r="D6" s="31">
        <v>2.0</v>
      </c>
      <c r="E6" s="31" t="s">
        <v>119</v>
      </c>
      <c r="F6" s="31" t="s">
        <v>120</v>
      </c>
      <c r="G6" s="31" t="s">
        <v>121</v>
      </c>
      <c r="H6" s="31" t="s">
        <v>122</v>
      </c>
      <c r="I6" s="31" t="s">
        <v>70</v>
      </c>
      <c r="J6" s="31" t="s">
        <v>123</v>
      </c>
      <c r="K6" s="31" t="s">
        <v>104</v>
      </c>
      <c r="L6" s="31" t="s">
        <v>124</v>
      </c>
      <c r="M6" s="31" t="s">
        <v>125</v>
      </c>
      <c r="N6" s="31" t="s">
        <v>126</v>
      </c>
      <c r="O6" s="31" t="s">
        <v>127</v>
      </c>
      <c r="P6" s="31" t="s">
        <v>128</v>
      </c>
      <c r="Q6" s="31" t="s">
        <v>110</v>
      </c>
      <c r="R6" s="31" t="s">
        <v>129</v>
      </c>
      <c r="S6" s="31" t="s">
        <v>130</v>
      </c>
      <c r="T6" s="31" t="s">
        <v>131</v>
      </c>
      <c r="U6" s="31" t="s">
        <v>132</v>
      </c>
      <c r="V6" s="32" t="s">
        <v>115</v>
      </c>
      <c r="W6" s="33" t="s">
        <v>133</v>
      </c>
      <c r="X6" s="34" t="s">
        <v>117</v>
      </c>
    </row>
    <row r="7" ht="72.0" customHeight="1">
      <c r="A7" s="30" t="s">
        <v>134</v>
      </c>
      <c r="B7" s="31" t="s">
        <v>10</v>
      </c>
      <c r="C7" s="31" t="s">
        <v>98</v>
      </c>
      <c r="D7" s="31">
        <v>3.0</v>
      </c>
      <c r="E7" s="31" t="s">
        <v>119</v>
      </c>
      <c r="F7" s="31" t="s">
        <v>135</v>
      </c>
      <c r="G7" s="31" t="s">
        <v>136</v>
      </c>
      <c r="H7" s="31" t="s">
        <v>137</v>
      </c>
      <c r="I7" s="31" t="s">
        <v>64</v>
      </c>
      <c r="J7" s="31" t="s">
        <v>103</v>
      </c>
      <c r="K7" s="31" t="s">
        <v>104</v>
      </c>
      <c r="L7" s="31" t="s">
        <v>138</v>
      </c>
      <c r="M7" s="31" t="s">
        <v>139</v>
      </c>
      <c r="N7" s="31" t="s">
        <v>140</v>
      </c>
      <c r="O7" s="31" t="s">
        <v>141</v>
      </c>
      <c r="P7" s="31" t="s">
        <v>142</v>
      </c>
      <c r="Q7" s="31" t="s">
        <v>110</v>
      </c>
      <c r="R7" s="31" t="s">
        <v>143</v>
      </c>
      <c r="S7" s="31" t="s">
        <v>144</v>
      </c>
      <c r="T7" s="31" t="s">
        <v>145</v>
      </c>
      <c r="U7" s="31" t="s">
        <v>114</v>
      </c>
      <c r="V7" s="32" t="s">
        <v>115</v>
      </c>
      <c r="W7" s="33" t="s">
        <v>116</v>
      </c>
      <c r="X7" s="34" t="s">
        <v>117</v>
      </c>
    </row>
    <row r="8" ht="72.0" customHeight="1">
      <c r="A8" s="30" t="s">
        <v>146</v>
      </c>
      <c r="B8" s="31" t="s">
        <v>10</v>
      </c>
      <c r="C8" s="31" t="s">
        <v>98</v>
      </c>
      <c r="D8" s="31">
        <v>4.0</v>
      </c>
      <c r="E8" s="31" t="s">
        <v>147</v>
      </c>
      <c r="F8" s="31" t="s">
        <v>148</v>
      </c>
      <c r="G8" s="31" t="s">
        <v>149</v>
      </c>
      <c r="H8" s="31" t="s">
        <v>150</v>
      </c>
      <c r="I8" s="31" t="s">
        <v>56</v>
      </c>
      <c r="J8" s="31" t="s">
        <v>151</v>
      </c>
      <c r="K8" s="31" t="s">
        <v>104</v>
      </c>
      <c r="L8" s="31" t="s">
        <v>152</v>
      </c>
      <c r="M8" s="31" t="s">
        <v>153</v>
      </c>
      <c r="N8" s="31" t="s">
        <v>154</v>
      </c>
      <c r="O8" s="31" t="s">
        <v>155</v>
      </c>
      <c r="P8" s="31" t="s">
        <v>156</v>
      </c>
      <c r="Q8" s="31" t="s">
        <v>110</v>
      </c>
      <c r="R8" s="31" t="s">
        <v>157</v>
      </c>
      <c r="S8" s="31" t="s">
        <v>158</v>
      </c>
      <c r="T8" s="31" t="s">
        <v>159</v>
      </c>
      <c r="U8" s="31" t="s">
        <v>114</v>
      </c>
      <c r="V8" s="32" t="s">
        <v>115</v>
      </c>
      <c r="W8" s="33" t="s">
        <v>116</v>
      </c>
      <c r="X8" s="34" t="s">
        <v>117</v>
      </c>
    </row>
    <row r="9" ht="72.0" customHeight="1">
      <c r="A9" s="30" t="s">
        <v>160</v>
      </c>
      <c r="B9" s="31" t="s">
        <v>10</v>
      </c>
      <c r="C9" s="31" t="s">
        <v>98</v>
      </c>
      <c r="D9" s="31">
        <v>5.0</v>
      </c>
      <c r="E9" s="31" t="s">
        <v>161</v>
      </c>
      <c r="F9" s="31" t="s">
        <v>162</v>
      </c>
      <c r="G9" s="31" t="s">
        <v>163</v>
      </c>
      <c r="H9" s="31" t="s">
        <v>164</v>
      </c>
      <c r="I9" s="31" t="s">
        <v>64</v>
      </c>
      <c r="J9" s="31" t="s">
        <v>123</v>
      </c>
      <c r="K9" s="31" t="s">
        <v>104</v>
      </c>
      <c r="L9" s="31" t="s">
        <v>165</v>
      </c>
      <c r="M9" s="31" t="s">
        <v>125</v>
      </c>
      <c r="N9" s="31" t="s">
        <v>166</v>
      </c>
      <c r="O9" s="31" t="s">
        <v>167</v>
      </c>
      <c r="P9" s="31" t="s">
        <v>168</v>
      </c>
      <c r="Q9" s="31" t="s">
        <v>110</v>
      </c>
      <c r="R9" s="31" t="s">
        <v>169</v>
      </c>
      <c r="S9" s="31" t="s">
        <v>158</v>
      </c>
      <c r="T9" s="31" t="s">
        <v>170</v>
      </c>
      <c r="U9" s="31" t="s">
        <v>114</v>
      </c>
      <c r="V9" s="32" t="s">
        <v>115</v>
      </c>
      <c r="W9" s="33" t="s">
        <v>116</v>
      </c>
      <c r="X9" s="34" t="s">
        <v>117</v>
      </c>
    </row>
    <row r="10" ht="72.0" customHeight="1">
      <c r="A10" s="30" t="s">
        <v>171</v>
      </c>
      <c r="B10" s="31" t="s">
        <v>10</v>
      </c>
      <c r="C10" s="31" t="s">
        <v>98</v>
      </c>
      <c r="D10" s="31">
        <v>6.0</v>
      </c>
      <c r="E10" s="31" t="s">
        <v>172</v>
      </c>
      <c r="F10" s="31" t="s">
        <v>173</v>
      </c>
      <c r="G10" s="31" t="s">
        <v>174</v>
      </c>
      <c r="H10" s="31" t="s">
        <v>175</v>
      </c>
      <c r="I10" s="31" t="s">
        <v>60</v>
      </c>
      <c r="J10" s="31" t="s">
        <v>176</v>
      </c>
      <c r="K10" s="31" t="s">
        <v>104</v>
      </c>
      <c r="L10" s="31" t="s">
        <v>177</v>
      </c>
      <c r="M10" s="31" t="s">
        <v>125</v>
      </c>
      <c r="N10" s="31" t="s">
        <v>178</v>
      </c>
      <c r="O10" s="31" t="s">
        <v>179</v>
      </c>
      <c r="P10" s="31" t="s">
        <v>180</v>
      </c>
      <c r="Q10" s="31" t="s">
        <v>110</v>
      </c>
      <c r="R10" s="31" t="s">
        <v>181</v>
      </c>
      <c r="S10" s="31" t="s">
        <v>182</v>
      </c>
      <c r="T10" s="31" t="s">
        <v>183</v>
      </c>
      <c r="U10" s="31" t="s">
        <v>114</v>
      </c>
      <c r="V10" s="32" t="s">
        <v>115</v>
      </c>
      <c r="W10" s="33" t="s">
        <v>116</v>
      </c>
      <c r="X10" s="34" t="s">
        <v>117</v>
      </c>
    </row>
    <row r="11" ht="72.0" customHeight="1">
      <c r="A11" s="30" t="s">
        <v>184</v>
      </c>
      <c r="B11" s="31" t="s">
        <v>10</v>
      </c>
      <c r="C11" s="31" t="s">
        <v>98</v>
      </c>
      <c r="D11" s="31">
        <v>7.0</v>
      </c>
      <c r="E11" s="31" t="s">
        <v>185</v>
      </c>
      <c r="F11" s="31" t="s">
        <v>186</v>
      </c>
      <c r="G11" s="31" t="s">
        <v>187</v>
      </c>
      <c r="H11" s="31" t="s">
        <v>188</v>
      </c>
      <c r="I11" s="31" t="s">
        <v>68</v>
      </c>
      <c r="J11" s="31" t="s">
        <v>176</v>
      </c>
      <c r="K11" s="31" t="s">
        <v>104</v>
      </c>
      <c r="L11" s="31" t="s">
        <v>189</v>
      </c>
      <c r="M11" s="31" t="s">
        <v>139</v>
      </c>
      <c r="N11" s="31" t="s">
        <v>190</v>
      </c>
      <c r="O11" s="31" t="s">
        <v>191</v>
      </c>
      <c r="P11" s="31" t="s">
        <v>192</v>
      </c>
      <c r="Q11" s="31" t="s">
        <v>110</v>
      </c>
      <c r="R11" s="31" t="s">
        <v>193</v>
      </c>
      <c r="S11" s="31" t="s">
        <v>182</v>
      </c>
      <c r="T11" s="31" t="s">
        <v>194</v>
      </c>
      <c r="U11" s="31" t="s">
        <v>114</v>
      </c>
      <c r="V11" s="32" t="s">
        <v>115</v>
      </c>
      <c r="W11" s="33" t="s">
        <v>116</v>
      </c>
      <c r="X11" s="34" t="s">
        <v>117</v>
      </c>
    </row>
    <row r="12" ht="72.0" customHeight="1">
      <c r="A12" s="30" t="s">
        <v>195</v>
      </c>
      <c r="B12" s="31" t="s">
        <v>10</v>
      </c>
      <c r="C12" s="31" t="s">
        <v>98</v>
      </c>
      <c r="D12" s="31">
        <v>8.0</v>
      </c>
      <c r="E12" s="31" t="s">
        <v>196</v>
      </c>
      <c r="F12" s="31" t="s">
        <v>197</v>
      </c>
      <c r="G12" s="31" t="s">
        <v>198</v>
      </c>
      <c r="H12" s="31" t="s">
        <v>199</v>
      </c>
      <c r="I12" s="31" t="s">
        <v>56</v>
      </c>
      <c r="J12" s="31" t="s">
        <v>200</v>
      </c>
      <c r="K12" s="31" t="s">
        <v>104</v>
      </c>
      <c r="L12" s="31" t="s">
        <v>201</v>
      </c>
      <c r="M12" s="31" t="s">
        <v>139</v>
      </c>
      <c r="N12" s="31" t="s">
        <v>202</v>
      </c>
      <c r="O12" s="31" t="s">
        <v>203</v>
      </c>
      <c r="P12" s="31" t="s">
        <v>204</v>
      </c>
      <c r="Q12" s="31" t="s">
        <v>110</v>
      </c>
      <c r="R12" s="31" t="s">
        <v>205</v>
      </c>
      <c r="S12" s="31" t="s">
        <v>206</v>
      </c>
      <c r="T12" s="31" t="s">
        <v>207</v>
      </c>
      <c r="U12" s="31" t="s">
        <v>114</v>
      </c>
      <c r="V12" s="32" t="s">
        <v>115</v>
      </c>
      <c r="W12" s="33" t="s">
        <v>116</v>
      </c>
      <c r="X12" s="34" t="s">
        <v>117</v>
      </c>
    </row>
    <row r="13" ht="72.0" customHeight="1">
      <c r="A13" s="30" t="s">
        <v>208</v>
      </c>
      <c r="B13" s="31" t="s">
        <v>10</v>
      </c>
      <c r="C13" s="31" t="s">
        <v>209</v>
      </c>
      <c r="D13" s="31">
        <v>1.0</v>
      </c>
      <c r="E13" s="31" t="s">
        <v>119</v>
      </c>
      <c r="F13" s="31" t="s">
        <v>210</v>
      </c>
      <c r="G13" s="31" t="s">
        <v>211</v>
      </c>
      <c r="H13" s="31" t="s">
        <v>212</v>
      </c>
      <c r="I13" s="31" t="s">
        <v>56</v>
      </c>
      <c r="J13" s="31" t="s">
        <v>213</v>
      </c>
      <c r="K13" s="31" t="s">
        <v>104</v>
      </c>
      <c r="L13" s="31" t="s">
        <v>214</v>
      </c>
      <c r="M13" s="31" t="s">
        <v>125</v>
      </c>
      <c r="N13" s="31" t="s">
        <v>215</v>
      </c>
      <c r="O13" s="31" t="s">
        <v>216</v>
      </c>
      <c r="P13" s="31" t="s">
        <v>217</v>
      </c>
      <c r="Q13" s="31" t="s">
        <v>110</v>
      </c>
      <c r="R13" s="31" t="s">
        <v>218</v>
      </c>
      <c r="S13" s="31" t="s">
        <v>219</v>
      </c>
      <c r="T13" s="31" t="s">
        <v>220</v>
      </c>
      <c r="U13" s="31" t="s">
        <v>114</v>
      </c>
      <c r="V13" s="32" t="s">
        <v>221</v>
      </c>
      <c r="W13" s="33" t="s">
        <v>116</v>
      </c>
      <c r="X13" s="34" t="s">
        <v>117</v>
      </c>
    </row>
    <row r="14" ht="72.0" customHeight="1">
      <c r="A14" s="30" t="s">
        <v>222</v>
      </c>
      <c r="B14" s="31" t="s">
        <v>10</v>
      </c>
      <c r="C14" s="31" t="s">
        <v>209</v>
      </c>
      <c r="D14" s="31">
        <v>2.0</v>
      </c>
      <c r="E14" s="31" t="s">
        <v>119</v>
      </c>
      <c r="F14" s="31" t="s">
        <v>223</v>
      </c>
      <c r="G14" s="31" t="s">
        <v>224</v>
      </c>
      <c r="H14" s="31" t="s">
        <v>225</v>
      </c>
      <c r="I14" s="31" t="s">
        <v>68</v>
      </c>
      <c r="J14" s="31" t="s">
        <v>226</v>
      </c>
      <c r="K14" s="31" t="s">
        <v>104</v>
      </c>
      <c r="L14" s="31" t="s">
        <v>227</v>
      </c>
      <c r="M14" s="31" t="s">
        <v>139</v>
      </c>
      <c r="N14" s="31" t="s">
        <v>228</v>
      </c>
      <c r="O14" s="31" t="s">
        <v>229</v>
      </c>
      <c r="P14" s="31" t="s">
        <v>230</v>
      </c>
      <c r="Q14" s="31" t="s">
        <v>110</v>
      </c>
      <c r="R14" s="31" t="s">
        <v>231</v>
      </c>
      <c r="S14" s="31" t="s">
        <v>144</v>
      </c>
      <c r="T14" s="31" t="s">
        <v>232</v>
      </c>
      <c r="U14" s="31" t="s">
        <v>114</v>
      </c>
      <c r="V14" s="32" t="s">
        <v>115</v>
      </c>
      <c r="W14" s="33" t="s">
        <v>116</v>
      </c>
      <c r="X14" s="34" t="s">
        <v>117</v>
      </c>
    </row>
    <row r="15" ht="72.0" customHeight="1">
      <c r="A15" s="30" t="s">
        <v>233</v>
      </c>
      <c r="B15" s="31" t="s">
        <v>10</v>
      </c>
      <c r="C15" s="31" t="s">
        <v>209</v>
      </c>
      <c r="D15" s="31">
        <v>3.0</v>
      </c>
      <c r="E15" s="31" t="s">
        <v>161</v>
      </c>
      <c r="F15" s="31" t="s">
        <v>234</v>
      </c>
      <c r="G15" s="31" t="s">
        <v>235</v>
      </c>
      <c r="H15" s="31" t="s">
        <v>236</v>
      </c>
      <c r="I15" s="31" t="s">
        <v>64</v>
      </c>
      <c r="J15" s="31" t="s">
        <v>123</v>
      </c>
      <c r="K15" s="31" t="s">
        <v>104</v>
      </c>
      <c r="L15" s="31" t="s">
        <v>237</v>
      </c>
      <c r="M15" s="31" t="s">
        <v>125</v>
      </c>
      <c r="N15" s="31" t="s">
        <v>238</v>
      </c>
      <c r="O15" s="31" t="s">
        <v>216</v>
      </c>
      <c r="P15" s="31" t="s">
        <v>239</v>
      </c>
      <c r="Q15" s="31" t="s">
        <v>110</v>
      </c>
      <c r="R15" s="31" t="s">
        <v>231</v>
      </c>
      <c r="S15" s="31" t="s">
        <v>158</v>
      </c>
      <c r="T15" s="31" t="s">
        <v>240</v>
      </c>
      <c r="U15" s="31" t="s">
        <v>114</v>
      </c>
      <c r="V15" s="32" t="s">
        <v>115</v>
      </c>
      <c r="W15" s="33" t="s">
        <v>116</v>
      </c>
      <c r="X15" s="34" t="s">
        <v>117</v>
      </c>
    </row>
    <row r="16" ht="72.0" customHeight="1">
      <c r="A16" s="30" t="s">
        <v>241</v>
      </c>
      <c r="B16" s="31" t="s">
        <v>10</v>
      </c>
      <c r="C16" s="31" t="s">
        <v>209</v>
      </c>
      <c r="D16" s="31">
        <v>4.0</v>
      </c>
      <c r="E16" s="31" t="s">
        <v>147</v>
      </c>
      <c r="F16" s="31" t="s">
        <v>242</v>
      </c>
      <c r="G16" s="31" t="s">
        <v>243</v>
      </c>
      <c r="H16" s="31" t="s">
        <v>244</v>
      </c>
      <c r="I16" s="31" t="s">
        <v>56</v>
      </c>
      <c r="J16" s="31" t="s">
        <v>151</v>
      </c>
      <c r="K16" s="31" t="s">
        <v>104</v>
      </c>
      <c r="L16" s="31" t="s">
        <v>245</v>
      </c>
      <c r="M16" s="31" t="s">
        <v>153</v>
      </c>
      <c r="N16" s="31" t="s">
        <v>246</v>
      </c>
      <c r="O16" s="31" t="s">
        <v>229</v>
      </c>
      <c r="P16" s="31" t="s">
        <v>247</v>
      </c>
      <c r="Q16" s="31" t="s">
        <v>110</v>
      </c>
      <c r="R16" s="31" t="s">
        <v>231</v>
      </c>
      <c r="S16" s="31" t="s">
        <v>248</v>
      </c>
      <c r="T16" s="31" t="s">
        <v>249</v>
      </c>
      <c r="U16" s="31" t="s">
        <v>114</v>
      </c>
      <c r="V16" s="32" t="s">
        <v>115</v>
      </c>
      <c r="W16" s="33" t="s">
        <v>116</v>
      </c>
      <c r="X16" s="34" t="s">
        <v>117</v>
      </c>
    </row>
    <row r="17" ht="72.0" customHeight="1">
      <c r="A17" s="30" t="s">
        <v>250</v>
      </c>
      <c r="B17" s="31" t="s">
        <v>10</v>
      </c>
      <c r="C17" s="31" t="s">
        <v>209</v>
      </c>
      <c r="D17" s="31">
        <v>5.0</v>
      </c>
      <c r="E17" s="31" t="s">
        <v>172</v>
      </c>
      <c r="F17" s="31" t="s">
        <v>251</v>
      </c>
      <c r="G17" s="31" t="s">
        <v>252</v>
      </c>
      <c r="H17" s="31" t="s">
        <v>253</v>
      </c>
      <c r="I17" s="31" t="s">
        <v>68</v>
      </c>
      <c r="J17" s="31" t="s">
        <v>254</v>
      </c>
      <c r="K17" s="31" t="s">
        <v>104</v>
      </c>
      <c r="L17" s="31" t="s">
        <v>255</v>
      </c>
      <c r="M17" s="31" t="s">
        <v>125</v>
      </c>
      <c r="N17" s="31" t="s">
        <v>256</v>
      </c>
      <c r="O17" s="31" t="s">
        <v>216</v>
      </c>
      <c r="P17" s="31" t="s">
        <v>257</v>
      </c>
      <c r="Q17" s="31" t="s">
        <v>110</v>
      </c>
      <c r="R17" s="31" t="s">
        <v>258</v>
      </c>
      <c r="S17" s="31" t="s">
        <v>158</v>
      </c>
      <c r="T17" s="31" t="s">
        <v>259</v>
      </c>
      <c r="U17" s="31" t="s">
        <v>114</v>
      </c>
      <c r="V17" s="32" t="s">
        <v>115</v>
      </c>
      <c r="W17" s="33" t="s">
        <v>116</v>
      </c>
      <c r="X17" s="34" t="s">
        <v>117</v>
      </c>
    </row>
    <row r="18" ht="72.0" customHeight="1">
      <c r="A18" s="30" t="s">
        <v>260</v>
      </c>
      <c r="B18" s="31" t="s">
        <v>10</v>
      </c>
      <c r="C18" s="31" t="s">
        <v>209</v>
      </c>
      <c r="D18" s="31">
        <v>6.0</v>
      </c>
      <c r="E18" s="31" t="s">
        <v>172</v>
      </c>
      <c r="F18" s="31" t="s">
        <v>261</v>
      </c>
      <c r="G18" s="31" t="s">
        <v>262</v>
      </c>
      <c r="H18" s="31" t="s">
        <v>263</v>
      </c>
      <c r="I18" s="31" t="s">
        <v>64</v>
      </c>
      <c r="J18" s="31" t="s">
        <v>264</v>
      </c>
      <c r="K18" s="31" t="s">
        <v>104</v>
      </c>
      <c r="L18" s="31" t="s">
        <v>265</v>
      </c>
      <c r="M18" s="31" t="s">
        <v>125</v>
      </c>
      <c r="N18" s="31" t="s">
        <v>266</v>
      </c>
      <c r="O18" s="31" t="s">
        <v>229</v>
      </c>
      <c r="P18" s="31" t="s">
        <v>267</v>
      </c>
      <c r="Q18" s="31" t="s">
        <v>110</v>
      </c>
      <c r="R18" s="31" t="s">
        <v>231</v>
      </c>
      <c r="S18" s="31" t="s">
        <v>268</v>
      </c>
      <c r="T18" s="31" t="s">
        <v>269</v>
      </c>
      <c r="U18" s="31" t="s">
        <v>114</v>
      </c>
      <c r="V18" s="32" t="s">
        <v>115</v>
      </c>
      <c r="W18" s="33" t="s">
        <v>116</v>
      </c>
      <c r="X18" s="34" t="s">
        <v>117</v>
      </c>
    </row>
    <row r="19" ht="72.0" customHeight="1">
      <c r="A19" s="30" t="s">
        <v>270</v>
      </c>
      <c r="B19" s="31" t="s">
        <v>10</v>
      </c>
      <c r="C19" s="31" t="s">
        <v>209</v>
      </c>
      <c r="D19" s="31">
        <v>7.0</v>
      </c>
      <c r="E19" s="31" t="s">
        <v>147</v>
      </c>
      <c r="F19" s="31" t="s">
        <v>271</v>
      </c>
      <c r="G19" s="31" t="s">
        <v>272</v>
      </c>
      <c r="H19" s="31" t="s">
        <v>273</v>
      </c>
      <c r="I19" s="31" t="s">
        <v>56</v>
      </c>
      <c r="J19" s="31" t="s">
        <v>274</v>
      </c>
      <c r="K19" s="31" t="s">
        <v>104</v>
      </c>
      <c r="L19" s="31" t="s">
        <v>275</v>
      </c>
      <c r="M19" s="31" t="s">
        <v>276</v>
      </c>
      <c r="N19" s="31" t="s">
        <v>277</v>
      </c>
      <c r="O19" s="31" t="s">
        <v>278</v>
      </c>
      <c r="P19" s="31" t="s">
        <v>279</v>
      </c>
      <c r="Q19" s="31" t="s">
        <v>110</v>
      </c>
      <c r="R19" s="31" t="s">
        <v>280</v>
      </c>
      <c r="S19" s="31" t="s">
        <v>281</v>
      </c>
      <c r="T19" s="31" t="s">
        <v>282</v>
      </c>
      <c r="U19" s="31" t="s">
        <v>114</v>
      </c>
      <c r="V19" s="32" t="s">
        <v>221</v>
      </c>
      <c r="W19" s="33" t="s">
        <v>116</v>
      </c>
      <c r="X19" s="34" t="s">
        <v>117</v>
      </c>
    </row>
    <row r="20" ht="72.0" customHeight="1">
      <c r="A20" s="30" t="s">
        <v>283</v>
      </c>
      <c r="B20" s="31" t="s">
        <v>10</v>
      </c>
      <c r="C20" s="31" t="s">
        <v>209</v>
      </c>
      <c r="D20" s="31">
        <v>8.0</v>
      </c>
      <c r="E20" s="31" t="s">
        <v>284</v>
      </c>
      <c r="F20" s="31" t="s">
        <v>285</v>
      </c>
      <c r="G20" s="31" t="s">
        <v>286</v>
      </c>
      <c r="H20" s="31" t="s">
        <v>287</v>
      </c>
      <c r="I20" s="31" t="s">
        <v>60</v>
      </c>
      <c r="J20" s="31" t="s">
        <v>176</v>
      </c>
      <c r="K20" s="31" t="s">
        <v>104</v>
      </c>
      <c r="L20" s="31" t="s">
        <v>288</v>
      </c>
      <c r="M20" s="31" t="s">
        <v>289</v>
      </c>
      <c r="N20" s="31" t="s">
        <v>290</v>
      </c>
      <c r="O20" s="31" t="s">
        <v>216</v>
      </c>
      <c r="P20" s="31" t="s">
        <v>291</v>
      </c>
      <c r="Q20" s="31" t="s">
        <v>110</v>
      </c>
      <c r="R20" s="31" t="s">
        <v>292</v>
      </c>
      <c r="S20" s="31" t="s">
        <v>293</v>
      </c>
      <c r="T20" s="31" t="s">
        <v>294</v>
      </c>
      <c r="U20" s="31" t="s">
        <v>114</v>
      </c>
      <c r="V20" s="32" t="s">
        <v>115</v>
      </c>
      <c r="W20" s="33" t="s">
        <v>116</v>
      </c>
      <c r="X20" s="34" t="s">
        <v>117</v>
      </c>
    </row>
    <row r="21" ht="72.0" customHeight="1">
      <c r="A21" s="30" t="s">
        <v>295</v>
      </c>
      <c r="B21" s="31" t="s">
        <v>10</v>
      </c>
      <c r="C21" s="31" t="s">
        <v>209</v>
      </c>
      <c r="D21" s="31">
        <v>9.0</v>
      </c>
      <c r="E21" s="31" t="s">
        <v>185</v>
      </c>
      <c r="F21" s="31" t="s">
        <v>296</v>
      </c>
      <c r="G21" s="31" t="s">
        <v>297</v>
      </c>
      <c r="H21" s="31" t="s">
        <v>298</v>
      </c>
      <c r="I21" s="31" t="s">
        <v>56</v>
      </c>
      <c r="J21" s="31" t="s">
        <v>299</v>
      </c>
      <c r="K21" s="31" t="s">
        <v>104</v>
      </c>
      <c r="L21" s="31" t="s">
        <v>300</v>
      </c>
      <c r="M21" s="31" t="s">
        <v>106</v>
      </c>
      <c r="N21" s="31" t="s">
        <v>301</v>
      </c>
      <c r="O21" s="31" t="s">
        <v>229</v>
      </c>
      <c r="P21" s="31" t="s">
        <v>302</v>
      </c>
      <c r="Q21" s="31" t="s">
        <v>110</v>
      </c>
      <c r="R21" s="31" t="s">
        <v>231</v>
      </c>
      <c r="S21" s="31" t="s">
        <v>303</v>
      </c>
      <c r="T21" s="31" t="s">
        <v>304</v>
      </c>
      <c r="U21" s="31" t="s">
        <v>114</v>
      </c>
      <c r="V21" s="32" t="s">
        <v>115</v>
      </c>
      <c r="W21" s="33" t="s">
        <v>116</v>
      </c>
      <c r="X21" s="34" t="s">
        <v>117</v>
      </c>
    </row>
    <row r="22" ht="72.0" customHeight="1">
      <c r="A22" s="30" t="s">
        <v>305</v>
      </c>
      <c r="B22" s="31" t="s">
        <v>10</v>
      </c>
      <c r="C22" s="31" t="s">
        <v>209</v>
      </c>
      <c r="D22" s="31">
        <v>10.0</v>
      </c>
      <c r="E22" s="31" t="s">
        <v>185</v>
      </c>
      <c r="F22" s="31" t="s">
        <v>306</v>
      </c>
      <c r="G22" s="31" t="s">
        <v>307</v>
      </c>
      <c r="H22" s="31" t="s">
        <v>308</v>
      </c>
      <c r="I22" s="31" t="s">
        <v>68</v>
      </c>
      <c r="J22" s="31" t="s">
        <v>309</v>
      </c>
      <c r="K22" s="31" t="s">
        <v>104</v>
      </c>
      <c r="L22" s="31" t="s">
        <v>310</v>
      </c>
      <c r="M22" s="31" t="s">
        <v>139</v>
      </c>
      <c r="N22" s="31" t="s">
        <v>311</v>
      </c>
      <c r="O22" s="31" t="s">
        <v>229</v>
      </c>
      <c r="P22" s="31" t="s">
        <v>312</v>
      </c>
      <c r="Q22" s="31" t="s">
        <v>110</v>
      </c>
      <c r="R22" s="31" t="s">
        <v>313</v>
      </c>
      <c r="S22" s="31" t="s">
        <v>314</v>
      </c>
      <c r="T22" s="31" t="s">
        <v>315</v>
      </c>
      <c r="U22" s="31" t="s">
        <v>114</v>
      </c>
      <c r="V22" s="32" t="s">
        <v>115</v>
      </c>
      <c r="W22" s="33" t="s">
        <v>116</v>
      </c>
      <c r="X22" s="34" t="s">
        <v>117</v>
      </c>
    </row>
    <row r="23" ht="72.0" customHeight="1">
      <c r="A23" s="30" t="s">
        <v>316</v>
      </c>
      <c r="B23" s="31" t="s">
        <v>10</v>
      </c>
      <c r="C23" s="31" t="s">
        <v>317</v>
      </c>
      <c r="D23" s="31">
        <v>1.0</v>
      </c>
      <c r="E23" s="31" t="s">
        <v>119</v>
      </c>
      <c r="F23" s="31" t="s">
        <v>318</v>
      </c>
      <c r="G23" s="31" t="s">
        <v>319</v>
      </c>
      <c r="H23" s="31" t="s">
        <v>320</v>
      </c>
      <c r="I23" s="31" t="s">
        <v>60</v>
      </c>
      <c r="J23" s="31" t="s">
        <v>321</v>
      </c>
      <c r="K23" s="31" t="s">
        <v>104</v>
      </c>
      <c r="L23" s="31" t="s">
        <v>322</v>
      </c>
      <c r="M23" s="31" t="s">
        <v>153</v>
      </c>
      <c r="N23" s="31" t="s">
        <v>323</v>
      </c>
      <c r="O23" s="31" t="s">
        <v>324</v>
      </c>
      <c r="P23" s="31" t="s">
        <v>325</v>
      </c>
      <c r="Q23" s="31" t="s">
        <v>110</v>
      </c>
      <c r="R23" s="31" t="s">
        <v>231</v>
      </c>
      <c r="S23" s="31" t="s">
        <v>281</v>
      </c>
      <c r="T23" s="31" t="s">
        <v>326</v>
      </c>
      <c r="U23" s="31" t="s">
        <v>114</v>
      </c>
      <c r="V23" s="32" t="s">
        <v>115</v>
      </c>
      <c r="W23" s="33" t="s">
        <v>116</v>
      </c>
      <c r="X23" s="34" t="s">
        <v>117</v>
      </c>
    </row>
    <row r="24" ht="72.0" customHeight="1">
      <c r="A24" s="30" t="s">
        <v>327</v>
      </c>
      <c r="B24" s="31" t="s">
        <v>10</v>
      </c>
      <c r="C24" s="31" t="s">
        <v>317</v>
      </c>
      <c r="D24" s="31">
        <v>2.0</v>
      </c>
      <c r="E24" s="31" t="s">
        <v>161</v>
      </c>
      <c r="F24" s="31" t="s">
        <v>328</v>
      </c>
      <c r="G24" s="31" t="s">
        <v>329</v>
      </c>
      <c r="H24" s="31" t="s">
        <v>330</v>
      </c>
      <c r="I24" s="31" t="s">
        <v>56</v>
      </c>
      <c r="J24" s="31" t="s">
        <v>299</v>
      </c>
      <c r="K24" s="31" t="s">
        <v>104</v>
      </c>
      <c r="L24" s="31" t="s">
        <v>331</v>
      </c>
      <c r="M24" s="31" t="s">
        <v>139</v>
      </c>
      <c r="N24" s="31" t="s">
        <v>332</v>
      </c>
      <c r="O24" s="31" t="s">
        <v>333</v>
      </c>
      <c r="P24" s="31" t="s">
        <v>334</v>
      </c>
      <c r="Q24" s="31" t="s">
        <v>110</v>
      </c>
      <c r="R24" s="31" t="s">
        <v>231</v>
      </c>
      <c r="S24" s="31" t="s">
        <v>335</v>
      </c>
      <c r="T24" s="31" t="s">
        <v>336</v>
      </c>
      <c r="U24" s="31" t="s">
        <v>114</v>
      </c>
      <c r="V24" s="32" t="s">
        <v>115</v>
      </c>
      <c r="W24" s="33" t="s">
        <v>116</v>
      </c>
      <c r="X24" s="34" t="s">
        <v>117</v>
      </c>
    </row>
    <row r="25" ht="72.0" customHeight="1">
      <c r="A25" s="30" t="s">
        <v>337</v>
      </c>
      <c r="B25" s="31" t="s">
        <v>10</v>
      </c>
      <c r="C25" s="31" t="s">
        <v>317</v>
      </c>
      <c r="D25" s="31">
        <v>3.0</v>
      </c>
      <c r="E25" s="31" t="s">
        <v>161</v>
      </c>
      <c r="F25" s="31" t="s">
        <v>338</v>
      </c>
      <c r="G25" s="31" t="s">
        <v>339</v>
      </c>
      <c r="H25" s="31" t="s">
        <v>340</v>
      </c>
      <c r="I25" s="31" t="s">
        <v>68</v>
      </c>
      <c r="J25" s="31" t="s">
        <v>341</v>
      </c>
      <c r="K25" s="31" t="s">
        <v>104</v>
      </c>
      <c r="L25" s="31" t="s">
        <v>342</v>
      </c>
      <c r="M25" s="31" t="s">
        <v>139</v>
      </c>
      <c r="N25" s="31" t="s">
        <v>343</v>
      </c>
      <c r="O25" s="31" t="s">
        <v>344</v>
      </c>
      <c r="P25" s="31" t="s">
        <v>345</v>
      </c>
      <c r="Q25" s="31" t="s">
        <v>110</v>
      </c>
      <c r="R25" s="31" t="s">
        <v>346</v>
      </c>
      <c r="S25" s="31" t="s">
        <v>347</v>
      </c>
      <c r="T25" s="31" t="s">
        <v>348</v>
      </c>
      <c r="U25" s="31" t="s">
        <v>114</v>
      </c>
      <c r="V25" s="32" t="s">
        <v>115</v>
      </c>
      <c r="W25" s="33" t="s">
        <v>116</v>
      </c>
      <c r="X25" s="34" t="s">
        <v>117</v>
      </c>
    </row>
    <row r="26" ht="72.0" customHeight="1">
      <c r="A26" s="30" t="s">
        <v>349</v>
      </c>
      <c r="B26" s="31" t="s">
        <v>10</v>
      </c>
      <c r="C26" s="31" t="s">
        <v>317</v>
      </c>
      <c r="D26" s="31">
        <v>4.0</v>
      </c>
      <c r="E26" s="31" t="s">
        <v>284</v>
      </c>
      <c r="F26" s="31" t="s">
        <v>350</v>
      </c>
      <c r="G26" s="31" t="s">
        <v>351</v>
      </c>
      <c r="H26" s="31" t="s">
        <v>352</v>
      </c>
      <c r="I26" s="31" t="s">
        <v>60</v>
      </c>
      <c r="J26" s="31" t="s">
        <v>353</v>
      </c>
      <c r="K26" s="31" t="s">
        <v>104</v>
      </c>
      <c r="L26" s="31" t="s">
        <v>354</v>
      </c>
      <c r="M26" s="31" t="s">
        <v>289</v>
      </c>
      <c r="N26" s="31" t="s">
        <v>355</v>
      </c>
      <c r="O26" s="31" t="s">
        <v>356</v>
      </c>
      <c r="P26" s="31" t="s">
        <v>357</v>
      </c>
      <c r="Q26" s="31" t="s">
        <v>110</v>
      </c>
      <c r="R26" s="31" t="s">
        <v>358</v>
      </c>
      <c r="S26" s="31" t="s">
        <v>359</v>
      </c>
      <c r="T26" s="31" t="s">
        <v>360</v>
      </c>
      <c r="U26" s="31" t="s">
        <v>114</v>
      </c>
      <c r="V26" s="32" t="s">
        <v>221</v>
      </c>
      <c r="W26" s="33" t="s">
        <v>116</v>
      </c>
      <c r="X26" s="34" t="s">
        <v>117</v>
      </c>
    </row>
    <row r="27" ht="72.0" customHeight="1">
      <c r="A27" s="30" t="s">
        <v>361</v>
      </c>
      <c r="B27" s="31" t="s">
        <v>10</v>
      </c>
      <c r="C27" s="31" t="s">
        <v>317</v>
      </c>
      <c r="D27" s="31">
        <v>5.0</v>
      </c>
      <c r="E27" s="31" t="s">
        <v>161</v>
      </c>
      <c r="F27" s="31" t="s">
        <v>362</v>
      </c>
      <c r="G27" s="31" t="s">
        <v>363</v>
      </c>
      <c r="H27" s="31" t="s">
        <v>364</v>
      </c>
      <c r="I27" s="31" t="s">
        <v>64</v>
      </c>
      <c r="J27" s="31" t="s">
        <v>123</v>
      </c>
      <c r="K27" s="31" t="s">
        <v>104</v>
      </c>
      <c r="L27" s="31" t="s">
        <v>365</v>
      </c>
      <c r="M27" s="31" t="s">
        <v>125</v>
      </c>
      <c r="N27" s="31" t="s">
        <v>366</v>
      </c>
      <c r="O27" s="31" t="s">
        <v>333</v>
      </c>
      <c r="P27" s="31" t="s">
        <v>367</v>
      </c>
      <c r="Q27" s="31" t="s">
        <v>110</v>
      </c>
      <c r="R27" s="31" t="s">
        <v>231</v>
      </c>
      <c r="S27" s="31" t="s">
        <v>368</v>
      </c>
      <c r="T27" s="31" t="s">
        <v>369</v>
      </c>
      <c r="U27" s="31" t="s">
        <v>114</v>
      </c>
      <c r="V27" s="32" t="s">
        <v>115</v>
      </c>
      <c r="W27" s="33" t="s">
        <v>116</v>
      </c>
      <c r="X27" s="34" t="s">
        <v>117</v>
      </c>
    </row>
    <row r="28" ht="72.0" customHeight="1">
      <c r="A28" s="30" t="s">
        <v>370</v>
      </c>
      <c r="B28" s="31" t="s">
        <v>10</v>
      </c>
      <c r="C28" s="31" t="s">
        <v>317</v>
      </c>
      <c r="D28" s="31">
        <v>6.0</v>
      </c>
      <c r="E28" s="31" t="s">
        <v>172</v>
      </c>
      <c r="F28" s="31" t="s">
        <v>371</v>
      </c>
      <c r="G28" s="31" t="s">
        <v>372</v>
      </c>
      <c r="H28" s="31" t="s">
        <v>373</v>
      </c>
      <c r="I28" s="31" t="s">
        <v>68</v>
      </c>
      <c r="J28" s="31" t="s">
        <v>254</v>
      </c>
      <c r="K28" s="31" t="s">
        <v>104</v>
      </c>
      <c r="L28" s="31" t="s">
        <v>374</v>
      </c>
      <c r="M28" s="31" t="s">
        <v>125</v>
      </c>
      <c r="N28" s="31" t="s">
        <v>375</v>
      </c>
      <c r="O28" s="31" t="s">
        <v>333</v>
      </c>
      <c r="P28" s="31" t="s">
        <v>376</v>
      </c>
      <c r="Q28" s="31" t="s">
        <v>110</v>
      </c>
      <c r="R28" s="31" t="s">
        <v>377</v>
      </c>
      <c r="S28" s="31" t="s">
        <v>378</v>
      </c>
      <c r="T28" s="31" t="s">
        <v>379</v>
      </c>
      <c r="U28" s="31" t="s">
        <v>114</v>
      </c>
      <c r="V28" s="32" t="s">
        <v>115</v>
      </c>
      <c r="W28" s="33" t="s">
        <v>116</v>
      </c>
      <c r="X28" s="34" t="s">
        <v>117</v>
      </c>
    </row>
    <row r="29" ht="72.0" customHeight="1">
      <c r="A29" s="30" t="s">
        <v>380</v>
      </c>
      <c r="B29" s="31" t="s">
        <v>10</v>
      </c>
      <c r="C29" s="31" t="s">
        <v>317</v>
      </c>
      <c r="D29" s="31">
        <v>7.0</v>
      </c>
      <c r="E29" s="31" t="s">
        <v>172</v>
      </c>
      <c r="F29" s="31" t="s">
        <v>381</v>
      </c>
      <c r="G29" s="31" t="s">
        <v>382</v>
      </c>
      <c r="H29" s="31" t="s">
        <v>383</v>
      </c>
      <c r="I29" s="31" t="s">
        <v>64</v>
      </c>
      <c r="J29" s="31" t="s">
        <v>384</v>
      </c>
      <c r="K29" s="31" t="s">
        <v>104</v>
      </c>
      <c r="L29" s="31" t="s">
        <v>385</v>
      </c>
      <c r="M29" s="31" t="s">
        <v>125</v>
      </c>
      <c r="N29" s="31" t="s">
        <v>386</v>
      </c>
      <c r="O29" s="31" t="s">
        <v>324</v>
      </c>
      <c r="P29" s="31" t="s">
        <v>387</v>
      </c>
      <c r="Q29" s="31" t="s">
        <v>110</v>
      </c>
      <c r="R29" s="31" t="s">
        <v>231</v>
      </c>
      <c r="S29" s="31" t="s">
        <v>388</v>
      </c>
      <c r="T29" s="31" t="s">
        <v>389</v>
      </c>
      <c r="U29" s="31" t="s">
        <v>114</v>
      </c>
      <c r="V29" s="32" t="s">
        <v>115</v>
      </c>
      <c r="W29" s="33" t="s">
        <v>116</v>
      </c>
      <c r="X29" s="34" t="s">
        <v>117</v>
      </c>
    </row>
    <row r="30" ht="72.0" customHeight="1">
      <c r="A30" s="30" t="s">
        <v>390</v>
      </c>
      <c r="B30" s="31" t="s">
        <v>10</v>
      </c>
      <c r="C30" s="31" t="s">
        <v>317</v>
      </c>
      <c r="D30" s="31">
        <v>8.0</v>
      </c>
      <c r="E30" s="31" t="s">
        <v>147</v>
      </c>
      <c r="F30" s="31" t="s">
        <v>391</v>
      </c>
      <c r="G30" s="31" t="s">
        <v>392</v>
      </c>
      <c r="H30" s="31" t="s">
        <v>393</v>
      </c>
      <c r="I30" s="31" t="s">
        <v>56</v>
      </c>
      <c r="J30" s="31" t="s">
        <v>394</v>
      </c>
      <c r="K30" s="31" t="s">
        <v>104</v>
      </c>
      <c r="L30" s="31" t="s">
        <v>395</v>
      </c>
      <c r="M30" s="31" t="s">
        <v>276</v>
      </c>
      <c r="N30" s="31" t="s">
        <v>396</v>
      </c>
      <c r="O30" s="31" t="s">
        <v>397</v>
      </c>
      <c r="P30" s="31" t="s">
        <v>398</v>
      </c>
      <c r="Q30" s="31" t="s">
        <v>110</v>
      </c>
      <c r="R30" s="31" t="s">
        <v>231</v>
      </c>
      <c r="S30" s="31" t="s">
        <v>399</v>
      </c>
      <c r="T30" s="31" t="s">
        <v>400</v>
      </c>
      <c r="U30" s="31" t="s">
        <v>401</v>
      </c>
      <c r="V30" s="32" t="s">
        <v>115</v>
      </c>
      <c r="W30" s="33" t="s">
        <v>402</v>
      </c>
      <c r="X30" s="34" t="s">
        <v>117</v>
      </c>
    </row>
    <row r="31" ht="72.0" customHeight="1">
      <c r="A31" s="30" t="s">
        <v>403</v>
      </c>
      <c r="B31" s="31" t="s">
        <v>10</v>
      </c>
      <c r="C31" s="31" t="s">
        <v>317</v>
      </c>
      <c r="D31" s="31">
        <v>9.0</v>
      </c>
      <c r="E31" s="31" t="s">
        <v>185</v>
      </c>
      <c r="F31" s="31" t="s">
        <v>404</v>
      </c>
      <c r="G31" s="31" t="s">
        <v>405</v>
      </c>
      <c r="H31" s="31" t="s">
        <v>406</v>
      </c>
      <c r="I31" s="31" t="s">
        <v>68</v>
      </c>
      <c r="J31" s="31" t="s">
        <v>176</v>
      </c>
      <c r="K31" s="31" t="s">
        <v>104</v>
      </c>
      <c r="L31" s="31" t="s">
        <v>407</v>
      </c>
      <c r="M31" s="31" t="s">
        <v>139</v>
      </c>
      <c r="N31" s="31" t="s">
        <v>408</v>
      </c>
      <c r="O31" s="31" t="s">
        <v>409</v>
      </c>
      <c r="P31" s="31" t="s">
        <v>410</v>
      </c>
      <c r="Q31" s="31" t="s">
        <v>110</v>
      </c>
      <c r="R31" s="31" t="s">
        <v>411</v>
      </c>
      <c r="S31" s="31" t="s">
        <v>412</v>
      </c>
      <c r="T31" s="31" t="s">
        <v>413</v>
      </c>
      <c r="U31" s="31" t="s">
        <v>114</v>
      </c>
      <c r="V31" s="32" t="s">
        <v>115</v>
      </c>
      <c r="W31" s="33" t="s">
        <v>116</v>
      </c>
      <c r="X31" s="34" t="s">
        <v>117</v>
      </c>
    </row>
    <row r="32" ht="72.0" customHeight="1">
      <c r="A32" s="30" t="s">
        <v>414</v>
      </c>
      <c r="B32" s="31" t="s">
        <v>10</v>
      </c>
      <c r="C32" s="31" t="s">
        <v>317</v>
      </c>
      <c r="D32" s="31">
        <v>10.0</v>
      </c>
      <c r="E32" s="31" t="s">
        <v>185</v>
      </c>
      <c r="F32" s="31" t="s">
        <v>415</v>
      </c>
      <c r="G32" s="31" t="s">
        <v>416</v>
      </c>
      <c r="H32" s="31" t="s">
        <v>417</v>
      </c>
      <c r="I32" s="31" t="s">
        <v>68</v>
      </c>
      <c r="J32" s="31" t="s">
        <v>309</v>
      </c>
      <c r="K32" s="31" t="s">
        <v>104</v>
      </c>
      <c r="L32" s="31" t="s">
        <v>418</v>
      </c>
      <c r="M32" s="31" t="s">
        <v>139</v>
      </c>
      <c r="N32" s="31" t="s">
        <v>419</v>
      </c>
      <c r="O32" s="31" t="s">
        <v>324</v>
      </c>
      <c r="P32" s="31" t="s">
        <v>420</v>
      </c>
      <c r="Q32" s="31" t="s">
        <v>110</v>
      </c>
      <c r="R32" s="31" t="s">
        <v>231</v>
      </c>
      <c r="S32" s="31" t="s">
        <v>421</v>
      </c>
      <c r="T32" s="31" t="s">
        <v>422</v>
      </c>
      <c r="U32" s="31" t="s">
        <v>114</v>
      </c>
      <c r="V32" s="32" t="s">
        <v>115</v>
      </c>
      <c r="W32" s="33" t="s">
        <v>116</v>
      </c>
      <c r="X32" s="34" t="s">
        <v>117</v>
      </c>
    </row>
    <row r="33" ht="72.0" customHeight="1">
      <c r="A33" s="30" t="s">
        <v>423</v>
      </c>
      <c r="B33" s="31" t="s">
        <v>10</v>
      </c>
      <c r="C33" s="31" t="s">
        <v>424</v>
      </c>
      <c r="D33" s="31">
        <v>1.0</v>
      </c>
      <c r="E33" s="31" t="s">
        <v>119</v>
      </c>
      <c r="F33" s="31" t="s">
        <v>425</v>
      </c>
      <c r="G33" s="31" t="s">
        <v>426</v>
      </c>
      <c r="H33" s="31" t="s">
        <v>427</v>
      </c>
      <c r="I33" s="31" t="s">
        <v>60</v>
      </c>
      <c r="J33" s="31" t="s">
        <v>321</v>
      </c>
      <c r="K33" s="31" t="s">
        <v>104</v>
      </c>
      <c r="L33" s="31" t="s">
        <v>428</v>
      </c>
      <c r="M33" s="31" t="s">
        <v>125</v>
      </c>
      <c r="N33" s="31" t="s">
        <v>429</v>
      </c>
      <c r="O33" s="31" t="s">
        <v>430</v>
      </c>
      <c r="P33" s="31" t="s">
        <v>431</v>
      </c>
      <c r="Q33" s="31" t="s">
        <v>110</v>
      </c>
      <c r="R33" s="31" t="s">
        <v>231</v>
      </c>
      <c r="S33" s="31" t="s">
        <v>432</v>
      </c>
      <c r="T33" s="31" t="s">
        <v>433</v>
      </c>
      <c r="U33" s="31" t="s">
        <v>114</v>
      </c>
      <c r="V33" s="32" t="s">
        <v>115</v>
      </c>
      <c r="W33" s="33" t="s">
        <v>116</v>
      </c>
      <c r="X33" s="34" t="s">
        <v>117</v>
      </c>
    </row>
    <row r="34" ht="72.0" customHeight="1">
      <c r="A34" s="30" t="s">
        <v>434</v>
      </c>
      <c r="B34" s="31" t="s">
        <v>10</v>
      </c>
      <c r="C34" s="31" t="s">
        <v>424</v>
      </c>
      <c r="D34" s="31">
        <v>2.0</v>
      </c>
      <c r="E34" s="31" t="s">
        <v>172</v>
      </c>
      <c r="F34" s="31" t="s">
        <v>435</v>
      </c>
      <c r="G34" s="31" t="s">
        <v>436</v>
      </c>
      <c r="H34" s="31" t="s">
        <v>437</v>
      </c>
      <c r="I34" s="31" t="s">
        <v>60</v>
      </c>
      <c r="J34" s="31" t="s">
        <v>151</v>
      </c>
      <c r="K34" s="31" t="s">
        <v>104</v>
      </c>
      <c r="L34" s="31" t="s">
        <v>438</v>
      </c>
      <c r="M34" s="31" t="s">
        <v>125</v>
      </c>
      <c r="N34" s="31" t="s">
        <v>439</v>
      </c>
      <c r="O34" s="31" t="s">
        <v>324</v>
      </c>
      <c r="P34" s="31" t="s">
        <v>440</v>
      </c>
      <c r="Q34" s="31" t="s">
        <v>110</v>
      </c>
      <c r="R34" s="31" t="s">
        <v>441</v>
      </c>
      <c r="S34" s="31" t="s">
        <v>442</v>
      </c>
      <c r="T34" s="31" t="s">
        <v>443</v>
      </c>
      <c r="U34" s="31" t="s">
        <v>114</v>
      </c>
      <c r="V34" s="32" t="s">
        <v>115</v>
      </c>
      <c r="W34" s="33" t="s">
        <v>116</v>
      </c>
      <c r="X34" s="34" t="s">
        <v>117</v>
      </c>
    </row>
    <row r="35" ht="72.0" customHeight="1">
      <c r="A35" s="30" t="s">
        <v>444</v>
      </c>
      <c r="B35" s="31" t="s">
        <v>10</v>
      </c>
      <c r="C35" s="31" t="s">
        <v>424</v>
      </c>
      <c r="D35" s="31">
        <v>3.0</v>
      </c>
      <c r="E35" s="31" t="s">
        <v>161</v>
      </c>
      <c r="F35" s="31" t="s">
        <v>445</v>
      </c>
      <c r="G35" s="31" t="s">
        <v>446</v>
      </c>
      <c r="H35" s="31" t="s">
        <v>447</v>
      </c>
      <c r="I35" s="31" t="s">
        <v>60</v>
      </c>
      <c r="J35" s="31" t="s">
        <v>176</v>
      </c>
      <c r="K35" s="31" t="s">
        <v>104</v>
      </c>
      <c r="L35" s="31" t="s">
        <v>448</v>
      </c>
      <c r="M35" s="31" t="s">
        <v>289</v>
      </c>
      <c r="N35" s="31" t="s">
        <v>449</v>
      </c>
      <c r="O35" s="31" t="s">
        <v>430</v>
      </c>
      <c r="P35" s="31" t="s">
        <v>450</v>
      </c>
      <c r="Q35" s="31" t="s">
        <v>110</v>
      </c>
      <c r="R35" s="31" t="s">
        <v>451</v>
      </c>
      <c r="S35" s="31" t="s">
        <v>452</v>
      </c>
      <c r="T35" s="31" t="s">
        <v>453</v>
      </c>
      <c r="U35" s="31" t="s">
        <v>114</v>
      </c>
      <c r="V35" s="32" t="s">
        <v>115</v>
      </c>
      <c r="W35" s="33" t="s">
        <v>116</v>
      </c>
      <c r="X35" s="34" t="s">
        <v>117</v>
      </c>
    </row>
    <row r="36" ht="72.0" customHeight="1">
      <c r="A36" s="30" t="s">
        <v>454</v>
      </c>
      <c r="B36" s="31" t="s">
        <v>10</v>
      </c>
      <c r="C36" s="31" t="s">
        <v>424</v>
      </c>
      <c r="D36" s="31">
        <v>4.0</v>
      </c>
      <c r="E36" s="31" t="s">
        <v>172</v>
      </c>
      <c r="F36" s="31" t="s">
        <v>455</v>
      </c>
      <c r="G36" s="31" t="s">
        <v>456</v>
      </c>
      <c r="H36" s="31" t="s">
        <v>457</v>
      </c>
      <c r="I36" s="31" t="s">
        <v>60</v>
      </c>
      <c r="J36" s="31" t="s">
        <v>321</v>
      </c>
      <c r="K36" s="31" t="s">
        <v>104</v>
      </c>
      <c r="L36" s="31" t="s">
        <v>458</v>
      </c>
      <c r="M36" s="31" t="s">
        <v>125</v>
      </c>
      <c r="N36" s="31" t="s">
        <v>459</v>
      </c>
      <c r="O36" s="31" t="s">
        <v>397</v>
      </c>
      <c r="P36" s="31" t="s">
        <v>460</v>
      </c>
      <c r="Q36" s="31" t="s">
        <v>110</v>
      </c>
      <c r="R36" s="31" t="s">
        <v>461</v>
      </c>
      <c r="S36" s="31" t="s">
        <v>462</v>
      </c>
      <c r="T36" s="31" t="s">
        <v>463</v>
      </c>
      <c r="U36" s="31" t="s">
        <v>114</v>
      </c>
      <c r="V36" s="32" t="s">
        <v>115</v>
      </c>
      <c r="W36" s="33" t="s">
        <v>116</v>
      </c>
      <c r="X36" s="34" t="s">
        <v>117</v>
      </c>
    </row>
    <row r="37" ht="72.0" customHeight="1">
      <c r="A37" s="30" t="s">
        <v>464</v>
      </c>
      <c r="B37" s="31" t="s">
        <v>10</v>
      </c>
      <c r="C37" s="31" t="s">
        <v>424</v>
      </c>
      <c r="D37" s="31">
        <v>5.0</v>
      </c>
      <c r="E37" s="31" t="s">
        <v>161</v>
      </c>
      <c r="F37" s="31" t="s">
        <v>465</v>
      </c>
      <c r="G37" s="31" t="s">
        <v>466</v>
      </c>
      <c r="H37" s="31" t="s">
        <v>467</v>
      </c>
      <c r="I37" s="31" t="s">
        <v>56</v>
      </c>
      <c r="J37" s="31" t="s">
        <v>299</v>
      </c>
      <c r="K37" s="31" t="s">
        <v>104</v>
      </c>
      <c r="L37" s="31" t="s">
        <v>468</v>
      </c>
      <c r="M37" s="31" t="s">
        <v>289</v>
      </c>
      <c r="N37" s="31" t="s">
        <v>469</v>
      </c>
      <c r="O37" s="31" t="s">
        <v>430</v>
      </c>
      <c r="P37" s="31" t="s">
        <v>470</v>
      </c>
      <c r="Q37" s="31" t="s">
        <v>110</v>
      </c>
      <c r="R37" s="31" t="s">
        <v>471</v>
      </c>
      <c r="S37" s="31" t="s">
        <v>472</v>
      </c>
      <c r="T37" s="31" t="s">
        <v>473</v>
      </c>
      <c r="U37" s="31" t="s">
        <v>114</v>
      </c>
      <c r="V37" s="32" t="s">
        <v>115</v>
      </c>
      <c r="W37" s="33" t="s">
        <v>116</v>
      </c>
      <c r="X37" s="34" t="s">
        <v>117</v>
      </c>
    </row>
    <row r="38" ht="72.0" customHeight="1">
      <c r="A38" s="30" t="s">
        <v>474</v>
      </c>
      <c r="B38" s="31" t="s">
        <v>10</v>
      </c>
      <c r="C38" s="31" t="s">
        <v>424</v>
      </c>
      <c r="D38" s="31">
        <v>6.0</v>
      </c>
      <c r="E38" s="31" t="s">
        <v>161</v>
      </c>
      <c r="F38" s="31" t="s">
        <v>475</v>
      </c>
      <c r="G38" s="31" t="s">
        <v>476</v>
      </c>
      <c r="H38" s="31" t="s">
        <v>477</v>
      </c>
      <c r="I38" s="31" t="s">
        <v>56</v>
      </c>
      <c r="J38" s="31" t="s">
        <v>103</v>
      </c>
      <c r="K38" s="31" t="s">
        <v>104</v>
      </c>
      <c r="L38" s="31" t="s">
        <v>478</v>
      </c>
      <c r="M38" s="31" t="s">
        <v>139</v>
      </c>
      <c r="N38" s="31" t="s">
        <v>479</v>
      </c>
      <c r="O38" s="31" t="s">
        <v>333</v>
      </c>
      <c r="P38" s="31" t="s">
        <v>480</v>
      </c>
      <c r="Q38" s="31" t="s">
        <v>110</v>
      </c>
      <c r="R38" s="31" t="s">
        <v>231</v>
      </c>
      <c r="S38" s="31" t="s">
        <v>481</v>
      </c>
      <c r="T38" s="31" t="s">
        <v>482</v>
      </c>
      <c r="U38" s="31" t="s">
        <v>114</v>
      </c>
      <c r="V38" s="32" t="s">
        <v>115</v>
      </c>
      <c r="W38" s="33" t="s">
        <v>116</v>
      </c>
      <c r="X38" s="34" t="s">
        <v>117</v>
      </c>
    </row>
    <row r="39" ht="72.0" customHeight="1">
      <c r="A39" s="30" t="s">
        <v>483</v>
      </c>
      <c r="B39" s="31" t="s">
        <v>10</v>
      </c>
      <c r="C39" s="31" t="s">
        <v>424</v>
      </c>
      <c r="D39" s="31">
        <v>7.0</v>
      </c>
      <c r="E39" s="31" t="s">
        <v>172</v>
      </c>
      <c r="F39" s="31" t="s">
        <v>484</v>
      </c>
      <c r="G39" s="31" t="s">
        <v>485</v>
      </c>
      <c r="H39" s="31" t="s">
        <v>486</v>
      </c>
      <c r="I39" s="31" t="s">
        <v>56</v>
      </c>
      <c r="J39" s="31" t="s">
        <v>487</v>
      </c>
      <c r="K39" s="31" t="s">
        <v>104</v>
      </c>
      <c r="L39" s="31" t="s">
        <v>488</v>
      </c>
      <c r="M39" s="31" t="s">
        <v>125</v>
      </c>
      <c r="N39" s="31" t="s">
        <v>489</v>
      </c>
      <c r="O39" s="31" t="s">
        <v>490</v>
      </c>
      <c r="P39" s="31" t="s">
        <v>491</v>
      </c>
      <c r="Q39" s="31" t="s">
        <v>110</v>
      </c>
      <c r="R39" s="31" t="s">
        <v>231</v>
      </c>
      <c r="S39" s="31" t="s">
        <v>492</v>
      </c>
      <c r="T39" s="31" t="s">
        <v>493</v>
      </c>
      <c r="U39" s="31" t="s">
        <v>494</v>
      </c>
      <c r="V39" s="32" t="s">
        <v>115</v>
      </c>
      <c r="W39" s="33" t="s">
        <v>495</v>
      </c>
      <c r="X39" s="34" t="s">
        <v>117</v>
      </c>
    </row>
    <row r="40" ht="72.0" customHeight="1">
      <c r="A40" s="30" t="s">
        <v>496</v>
      </c>
      <c r="B40" s="31" t="s">
        <v>10</v>
      </c>
      <c r="C40" s="31" t="s">
        <v>424</v>
      </c>
      <c r="D40" s="31">
        <v>8.0</v>
      </c>
      <c r="E40" s="31" t="s">
        <v>147</v>
      </c>
      <c r="F40" s="31" t="s">
        <v>497</v>
      </c>
      <c r="G40" s="31" t="s">
        <v>498</v>
      </c>
      <c r="H40" s="31" t="s">
        <v>499</v>
      </c>
      <c r="I40" s="31" t="s">
        <v>56</v>
      </c>
      <c r="J40" s="31" t="s">
        <v>500</v>
      </c>
      <c r="K40" s="31" t="s">
        <v>104</v>
      </c>
      <c r="L40" s="31" t="s">
        <v>501</v>
      </c>
      <c r="M40" s="31" t="s">
        <v>125</v>
      </c>
      <c r="N40" s="31" t="s">
        <v>502</v>
      </c>
      <c r="O40" s="31" t="s">
        <v>324</v>
      </c>
      <c r="P40" s="31" t="s">
        <v>503</v>
      </c>
      <c r="Q40" s="31" t="s">
        <v>110</v>
      </c>
      <c r="R40" s="31" t="s">
        <v>231</v>
      </c>
      <c r="S40" s="31" t="s">
        <v>504</v>
      </c>
      <c r="T40" s="31" t="s">
        <v>505</v>
      </c>
      <c r="U40" s="31" t="s">
        <v>114</v>
      </c>
      <c r="V40" s="32" t="s">
        <v>115</v>
      </c>
      <c r="W40" s="33" t="s">
        <v>116</v>
      </c>
      <c r="X40" s="34" t="s">
        <v>117</v>
      </c>
    </row>
    <row r="41" ht="72.0" customHeight="1">
      <c r="A41" s="30" t="s">
        <v>506</v>
      </c>
      <c r="B41" s="31" t="s">
        <v>10</v>
      </c>
      <c r="C41" s="31" t="s">
        <v>424</v>
      </c>
      <c r="D41" s="31">
        <v>9.0</v>
      </c>
      <c r="E41" s="31" t="s">
        <v>185</v>
      </c>
      <c r="F41" s="31" t="s">
        <v>507</v>
      </c>
      <c r="G41" s="31" t="s">
        <v>508</v>
      </c>
      <c r="H41" s="31" t="s">
        <v>509</v>
      </c>
      <c r="I41" s="31" t="s">
        <v>56</v>
      </c>
      <c r="J41" s="31" t="s">
        <v>299</v>
      </c>
      <c r="K41" s="31" t="s">
        <v>104</v>
      </c>
      <c r="L41" s="31" t="s">
        <v>510</v>
      </c>
      <c r="M41" s="31" t="s">
        <v>139</v>
      </c>
      <c r="N41" s="31" t="s">
        <v>511</v>
      </c>
      <c r="O41" s="31" t="s">
        <v>333</v>
      </c>
      <c r="P41" s="31" t="s">
        <v>512</v>
      </c>
      <c r="Q41" s="31" t="s">
        <v>110</v>
      </c>
      <c r="R41" s="31" t="s">
        <v>513</v>
      </c>
      <c r="S41" s="31" t="s">
        <v>514</v>
      </c>
      <c r="T41" s="31" t="s">
        <v>515</v>
      </c>
      <c r="U41" s="31" t="s">
        <v>114</v>
      </c>
      <c r="V41" s="32" t="s">
        <v>115</v>
      </c>
      <c r="W41" s="33" t="s">
        <v>116</v>
      </c>
      <c r="X41" s="34" t="s">
        <v>117</v>
      </c>
    </row>
    <row r="42" ht="72.0" customHeight="1">
      <c r="A42" s="30" t="s">
        <v>516</v>
      </c>
      <c r="B42" s="31" t="s">
        <v>10</v>
      </c>
      <c r="C42" s="31" t="s">
        <v>424</v>
      </c>
      <c r="D42" s="31">
        <v>10.0</v>
      </c>
      <c r="E42" s="31" t="s">
        <v>185</v>
      </c>
      <c r="F42" s="31" t="s">
        <v>517</v>
      </c>
      <c r="G42" s="31" t="s">
        <v>518</v>
      </c>
      <c r="H42" s="31" t="s">
        <v>519</v>
      </c>
      <c r="I42" s="31" t="s">
        <v>60</v>
      </c>
      <c r="J42" s="31" t="s">
        <v>321</v>
      </c>
      <c r="K42" s="31" t="s">
        <v>104</v>
      </c>
      <c r="L42" s="31" t="s">
        <v>520</v>
      </c>
      <c r="M42" s="31" t="s">
        <v>139</v>
      </c>
      <c r="N42" s="31" t="s">
        <v>521</v>
      </c>
      <c r="O42" s="31" t="s">
        <v>430</v>
      </c>
      <c r="P42" s="31" t="s">
        <v>522</v>
      </c>
      <c r="Q42" s="31" t="s">
        <v>110</v>
      </c>
      <c r="R42" s="31" t="s">
        <v>523</v>
      </c>
      <c r="S42" s="31" t="s">
        <v>524</v>
      </c>
      <c r="T42" s="31" t="s">
        <v>525</v>
      </c>
      <c r="U42" s="31" t="s">
        <v>114</v>
      </c>
      <c r="V42" s="32" t="s">
        <v>115</v>
      </c>
      <c r="W42" s="33" t="s">
        <v>116</v>
      </c>
      <c r="X42" s="34" t="s">
        <v>117</v>
      </c>
    </row>
    <row r="43" ht="72.0" customHeight="1">
      <c r="A43" s="30" t="s">
        <v>526</v>
      </c>
      <c r="B43" s="31" t="s">
        <v>16</v>
      </c>
      <c r="C43" s="31" t="s">
        <v>527</v>
      </c>
      <c r="D43" s="31">
        <v>1.0</v>
      </c>
      <c r="E43" s="31" t="s">
        <v>119</v>
      </c>
      <c r="F43" s="31" t="s">
        <v>528</v>
      </c>
      <c r="G43" s="31" t="s">
        <v>529</v>
      </c>
      <c r="H43" s="31" t="s">
        <v>530</v>
      </c>
      <c r="I43" s="31" t="s">
        <v>68</v>
      </c>
      <c r="J43" s="31" t="s">
        <v>531</v>
      </c>
      <c r="K43" s="31" t="s">
        <v>104</v>
      </c>
      <c r="L43" s="31" t="s">
        <v>532</v>
      </c>
      <c r="M43" s="31" t="s">
        <v>139</v>
      </c>
      <c r="N43" s="31" t="s">
        <v>533</v>
      </c>
      <c r="O43" s="31" t="s">
        <v>534</v>
      </c>
      <c r="P43" s="31" t="s">
        <v>535</v>
      </c>
      <c r="Q43" s="31" t="s">
        <v>110</v>
      </c>
      <c r="R43" s="31" t="s">
        <v>231</v>
      </c>
      <c r="S43" s="31" t="s">
        <v>536</v>
      </c>
      <c r="T43" s="31" t="s">
        <v>537</v>
      </c>
      <c r="U43" s="31" t="s">
        <v>114</v>
      </c>
      <c r="V43" s="32" t="s">
        <v>115</v>
      </c>
      <c r="W43" s="33" t="s">
        <v>116</v>
      </c>
      <c r="X43" s="34" t="s">
        <v>117</v>
      </c>
    </row>
    <row r="44" ht="72.0" customHeight="1">
      <c r="A44" s="30" t="s">
        <v>538</v>
      </c>
      <c r="B44" s="31" t="s">
        <v>16</v>
      </c>
      <c r="C44" s="31" t="s">
        <v>527</v>
      </c>
      <c r="D44" s="31">
        <v>2.0</v>
      </c>
      <c r="E44" s="31" t="s">
        <v>161</v>
      </c>
      <c r="F44" s="31" t="s">
        <v>539</v>
      </c>
      <c r="G44" s="31" t="s">
        <v>540</v>
      </c>
      <c r="H44" s="31" t="s">
        <v>541</v>
      </c>
      <c r="I44" s="31" t="s">
        <v>56</v>
      </c>
      <c r="J44" s="31" t="s">
        <v>299</v>
      </c>
      <c r="K44" s="31" t="s">
        <v>104</v>
      </c>
      <c r="L44" s="31" t="s">
        <v>542</v>
      </c>
      <c r="M44" s="31" t="s">
        <v>139</v>
      </c>
      <c r="N44" s="31" t="s">
        <v>543</v>
      </c>
      <c r="O44" s="31" t="s">
        <v>534</v>
      </c>
      <c r="P44" s="31" t="s">
        <v>544</v>
      </c>
      <c r="Q44" s="31" t="s">
        <v>110</v>
      </c>
      <c r="R44" s="31" t="s">
        <v>545</v>
      </c>
      <c r="S44" s="31" t="s">
        <v>546</v>
      </c>
      <c r="T44" s="31" t="s">
        <v>547</v>
      </c>
      <c r="U44" s="31" t="s">
        <v>114</v>
      </c>
      <c r="V44" s="32" t="s">
        <v>115</v>
      </c>
      <c r="W44" s="33" t="s">
        <v>116</v>
      </c>
      <c r="X44" s="34" t="s">
        <v>117</v>
      </c>
    </row>
    <row r="45" ht="72.0" customHeight="1">
      <c r="A45" s="30" t="s">
        <v>548</v>
      </c>
      <c r="B45" s="31" t="s">
        <v>16</v>
      </c>
      <c r="C45" s="31" t="s">
        <v>527</v>
      </c>
      <c r="D45" s="31">
        <v>3.0</v>
      </c>
      <c r="E45" s="31" t="s">
        <v>284</v>
      </c>
      <c r="F45" s="31" t="s">
        <v>549</v>
      </c>
      <c r="G45" s="31" t="s">
        <v>550</v>
      </c>
      <c r="H45" s="31" t="s">
        <v>551</v>
      </c>
      <c r="I45" s="31" t="s">
        <v>56</v>
      </c>
      <c r="J45" s="31" t="s">
        <v>264</v>
      </c>
      <c r="K45" s="31" t="s">
        <v>104</v>
      </c>
      <c r="L45" s="31" t="s">
        <v>552</v>
      </c>
      <c r="M45" s="31" t="s">
        <v>289</v>
      </c>
      <c r="N45" s="31" t="s">
        <v>553</v>
      </c>
      <c r="O45" s="31" t="s">
        <v>534</v>
      </c>
      <c r="P45" s="31" t="s">
        <v>554</v>
      </c>
      <c r="Q45" s="31" t="s">
        <v>110</v>
      </c>
      <c r="R45" s="31" t="s">
        <v>555</v>
      </c>
      <c r="S45" s="31" t="s">
        <v>556</v>
      </c>
      <c r="T45" s="31" t="s">
        <v>557</v>
      </c>
      <c r="U45" s="31" t="s">
        <v>558</v>
      </c>
      <c r="V45" s="32" t="s">
        <v>115</v>
      </c>
      <c r="W45" s="33" t="s">
        <v>559</v>
      </c>
      <c r="X45" s="34" t="s">
        <v>117</v>
      </c>
    </row>
    <row r="46" ht="72.0" customHeight="1">
      <c r="A46" s="30" t="s">
        <v>560</v>
      </c>
      <c r="B46" s="31" t="s">
        <v>16</v>
      </c>
      <c r="C46" s="31" t="s">
        <v>527</v>
      </c>
      <c r="D46" s="31">
        <v>4.0</v>
      </c>
      <c r="E46" s="31" t="s">
        <v>147</v>
      </c>
      <c r="F46" s="31" t="s">
        <v>561</v>
      </c>
      <c r="G46" s="31" t="s">
        <v>562</v>
      </c>
      <c r="H46" s="31" t="s">
        <v>563</v>
      </c>
      <c r="I46" s="31" t="s">
        <v>60</v>
      </c>
      <c r="J46" s="31" t="s">
        <v>123</v>
      </c>
      <c r="K46" s="31" t="s">
        <v>104</v>
      </c>
      <c r="L46" s="31" t="s">
        <v>564</v>
      </c>
      <c r="M46" s="31" t="s">
        <v>153</v>
      </c>
      <c r="N46" s="31" t="s">
        <v>565</v>
      </c>
      <c r="O46" s="31" t="s">
        <v>566</v>
      </c>
      <c r="P46" s="31" t="s">
        <v>567</v>
      </c>
      <c r="Q46" s="31" t="s">
        <v>110</v>
      </c>
      <c r="R46" s="31" t="s">
        <v>231</v>
      </c>
      <c r="S46" s="31" t="s">
        <v>568</v>
      </c>
      <c r="T46" s="31" t="s">
        <v>569</v>
      </c>
      <c r="U46" s="31" t="s">
        <v>401</v>
      </c>
      <c r="V46" s="32" t="s">
        <v>115</v>
      </c>
      <c r="W46" s="33" t="s">
        <v>402</v>
      </c>
      <c r="X46" s="34" t="s">
        <v>117</v>
      </c>
    </row>
    <row r="47" ht="72.0" customHeight="1">
      <c r="A47" s="30" t="s">
        <v>570</v>
      </c>
      <c r="B47" s="31" t="s">
        <v>16</v>
      </c>
      <c r="C47" s="31" t="s">
        <v>527</v>
      </c>
      <c r="D47" s="31">
        <v>5.0</v>
      </c>
      <c r="E47" s="31" t="s">
        <v>161</v>
      </c>
      <c r="F47" s="31" t="s">
        <v>571</v>
      </c>
      <c r="G47" s="31" t="s">
        <v>572</v>
      </c>
      <c r="H47" s="31" t="s">
        <v>573</v>
      </c>
      <c r="I47" s="31" t="s">
        <v>56</v>
      </c>
      <c r="J47" s="31" t="s">
        <v>299</v>
      </c>
      <c r="K47" s="31" t="s">
        <v>104</v>
      </c>
      <c r="L47" s="31" t="s">
        <v>574</v>
      </c>
      <c r="M47" s="31" t="s">
        <v>289</v>
      </c>
      <c r="N47" s="31" t="s">
        <v>575</v>
      </c>
      <c r="O47" s="31" t="s">
        <v>534</v>
      </c>
      <c r="P47" s="31" t="s">
        <v>576</v>
      </c>
      <c r="Q47" s="31" t="s">
        <v>110</v>
      </c>
      <c r="R47" s="31" t="s">
        <v>577</v>
      </c>
      <c r="S47" s="31" t="s">
        <v>578</v>
      </c>
      <c r="T47" s="31" t="s">
        <v>579</v>
      </c>
      <c r="U47" s="31" t="s">
        <v>114</v>
      </c>
      <c r="V47" s="32" t="s">
        <v>115</v>
      </c>
      <c r="W47" s="33" t="s">
        <v>116</v>
      </c>
      <c r="X47" s="34" t="s">
        <v>117</v>
      </c>
    </row>
    <row r="48" ht="72.0" customHeight="1">
      <c r="A48" s="30" t="s">
        <v>580</v>
      </c>
      <c r="B48" s="31" t="s">
        <v>16</v>
      </c>
      <c r="C48" s="31" t="s">
        <v>527</v>
      </c>
      <c r="D48" s="31">
        <v>6.0</v>
      </c>
      <c r="E48" s="31" t="s">
        <v>172</v>
      </c>
      <c r="F48" s="31" t="s">
        <v>581</v>
      </c>
      <c r="G48" s="31" t="s">
        <v>582</v>
      </c>
      <c r="H48" s="31" t="s">
        <v>583</v>
      </c>
      <c r="I48" s="31" t="s">
        <v>60</v>
      </c>
      <c r="J48" s="31" t="s">
        <v>123</v>
      </c>
      <c r="K48" s="31" t="s">
        <v>104</v>
      </c>
      <c r="L48" s="31" t="s">
        <v>584</v>
      </c>
      <c r="M48" s="31" t="s">
        <v>125</v>
      </c>
      <c r="N48" s="31" t="s">
        <v>585</v>
      </c>
      <c r="O48" s="31" t="s">
        <v>534</v>
      </c>
      <c r="P48" s="31" t="s">
        <v>586</v>
      </c>
      <c r="Q48" s="31" t="s">
        <v>110</v>
      </c>
      <c r="R48" s="31" t="s">
        <v>587</v>
      </c>
      <c r="S48" s="31" t="s">
        <v>588</v>
      </c>
      <c r="T48" s="31" t="s">
        <v>589</v>
      </c>
      <c r="U48" s="31" t="s">
        <v>494</v>
      </c>
      <c r="V48" s="32" t="s">
        <v>115</v>
      </c>
      <c r="W48" s="33" t="s">
        <v>495</v>
      </c>
      <c r="X48" s="34" t="s">
        <v>117</v>
      </c>
    </row>
    <row r="49" ht="72.0" customHeight="1">
      <c r="A49" s="30" t="s">
        <v>590</v>
      </c>
      <c r="B49" s="31" t="s">
        <v>16</v>
      </c>
      <c r="C49" s="31" t="s">
        <v>527</v>
      </c>
      <c r="D49" s="31">
        <v>7.0</v>
      </c>
      <c r="E49" s="31" t="s">
        <v>185</v>
      </c>
      <c r="F49" s="31" t="s">
        <v>591</v>
      </c>
      <c r="G49" s="31" t="s">
        <v>592</v>
      </c>
      <c r="H49" s="31" t="s">
        <v>593</v>
      </c>
      <c r="I49" s="31" t="s">
        <v>68</v>
      </c>
      <c r="J49" s="31" t="s">
        <v>176</v>
      </c>
      <c r="K49" s="31" t="s">
        <v>104</v>
      </c>
      <c r="L49" s="31" t="s">
        <v>594</v>
      </c>
      <c r="M49" s="31" t="s">
        <v>139</v>
      </c>
      <c r="N49" s="31" t="s">
        <v>595</v>
      </c>
      <c r="O49" s="31" t="s">
        <v>534</v>
      </c>
      <c r="P49" s="31" t="s">
        <v>596</v>
      </c>
      <c r="Q49" s="31" t="s">
        <v>110</v>
      </c>
      <c r="R49" s="31" t="s">
        <v>555</v>
      </c>
      <c r="S49" s="31" t="s">
        <v>597</v>
      </c>
      <c r="T49" s="31" t="s">
        <v>598</v>
      </c>
      <c r="U49" s="31" t="s">
        <v>114</v>
      </c>
      <c r="V49" s="32" t="s">
        <v>115</v>
      </c>
      <c r="W49" s="33" t="s">
        <v>116</v>
      </c>
      <c r="X49" s="34" t="s">
        <v>117</v>
      </c>
    </row>
    <row r="50" ht="72.0" customHeight="1">
      <c r="A50" s="30" t="s">
        <v>599</v>
      </c>
      <c r="B50" s="31" t="s">
        <v>16</v>
      </c>
      <c r="C50" s="31" t="s">
        <v>527</v>
      </c>
      <c r="D50" s="31">
        <v>8.0</v>
      </c>
      <c r="E50" s="31" t="s">
        <v>119</v>
      </c>
      <c r="F50" s="31" t="s">
        <v>600</v>
      </c>
      <c r="G50" s="31" t="s">
        <v>601</v>
      </c>
      <c r="H50" s="31" t="s">
        <v>602</v>
      </c>
      <c r="I50" s="31" t="s">
        <v>70</v>
      </c>
      <c r="J50" s="31" t="s">
        <v>321</v>
      </c>
      <c r="K50" s="31" t="s">
        <v>104</v>
      </c>
      <c r="L50" s="31" t="s">
        <v>603</v>
      </c>
      <c r="M50" s="31" t="s">
        <v>153</v>
      </c>
      <c r="N50" s="31" t="s">
        <v>604</v>
      </c>
      <c r="O50" s="31" t="s">
        <v>534</v>
      </c>
      <c r="P50" s="31" t="s">
        <v>605</v>
      </c>
      <c r="Q50" s="31" t="s">
        <v>110</v>
      </c>
      <c r="R50" s="31" t="s">
        <v>606</v>
      </c>
      <c r="S50" s="31" t="s">
        <v>607</v>
      </c>
      <c r="T50" s="31" t="s">
        <v>608</v>
      </c>
      <c r="U50" s="31" t="s">
        <v>114</v>
      </c>
      <c r="V50" s="32" t="s">
        <v>115</v>
      </c>
      <c r="W50" s="33" t="s">
        <v>116</v>
      </c>
      <c r="X50" s="34" t="s">
        <v>117</v>
      </c>
    </row>
    <row r="51" ht="72.0" customHeight="1">
      <c r="A51" s="30" t="s">
        <v>609</v>
      </c>
      <c r="B51" s="31" t="s">
        <v>16</v>
      </c>
      <c r="C51" s="31" t="s">
        <v>527</v>
      </c>
      <c r="D51" s="31">
        <v>9.0</v>
      </c>
      <c r="E51" s="31" t="s">
        <v>161</v>
      </c>
      <c r="F51" s="31" t="s">
        <v>610</v>
      </c>
      <c r="G51" s="31" t="s">
        <v>611</v>
      </c>
      <c r="H51" s="31" t="s">
        <v>612</v>
      </c>
      <c r="I51" s="31" t="s">
        <v>56</v>
      </c>
      <c r="J51" s="31" t="s">
        <v>264</v>
      </c>
      <c r="K51" s="31" t="s">
        <v>104</v>
      </c>
      <c r="L51" s="31" t="s">
        <v>613</v>
      </c>
      <c r="M51" s="31" t="s">
        <v>289</v>
      </c>
      <c r="N51" s="31" t="s">
        <v>614</v>
      </c>
      <c r="O51" s="31" t="s">
        <v>534</v>
      </c>
      <c r="P51" s="31" t="s">
        <v>615</v>
      </c>
      <c r="Q51" s="31" t="s">
        <v>110</v>
      </c>
      <c r="R51" s="31" t="s">
        <v>616</v>
      </c>
      <c r="S51" s="31" t="s">
        <v>617</v>
      </c>
      <c r="T51" s="31" t="s">
        <v>618</v>
      </c>
      <c r="U51" s="31" t="s">
        <v>114</v>
      </c>
      <c r="V51" s="32" t="s">
        <v>115</v>
      </c>
      <c r="W51" s="33" t="s">
        <v>116</v>
      </c>
      <c r="X51" s="34" t="s">
        <v>117</v>
      </c>
    </row>
    <row r="52" ht="72.0" customHeight="1">
      <c r="A52" s="30" t="s">
        <v>619</v>
      </c>
      <c r="B52" s="31" t="s">
        <v>16</v>
      </c>
      <c r="C52" s="31" t="s">
        <v>527</v>
      </c>
      <c r="D52" s="31">
        <v>10.0</v>
      </c>
      <c r="E52" s="31" t="s">
        <v>620</v>
      </c>
      <c r="F52" s="31" t="s">
        <v>621</v>
      </c>
      <c r="G52" s="31" t="s">
        <v>622</v>
      </c>
      <c r="H52" s="31" t="s">
        <v>623</v>
      </c>
      <c r="I52" s="31" t="s">
        <v>64</v>
      </c>
      <c r="J52" s="31" t="s">
        <v>123</v>
      </c>
      <c r="K52" s="31" t="s">
        <v>104</v>
      </c>
      <c r="L52" s="31" t="s">
        <v>624</v>
      </c>
      <c r="M52" s="31" t="s">
        <v>625</v>
      </c>
      <c r="N52" s="31" t="s">
        <v>626</v>
      </c>
      <c r="O52" s="31" t="s">
        <v>627</v>
      </c>
      <c r="P52" s="31" t="s">
        <v>628</v>
      </c>
      <c r="Q52" s="31" t="s">
        <v>110</v>
      </c>
      <c r="R52" s="31" t="s">
        <v>629</v>
      </c>
      <c r="S52" s="31" t="s">
        <v>630</v>
      </c>
      <c r="T52" s="31" t="s">
        <v>631</v>
      </c>
      <c r="U52" s="31" t="s">
        <v>114</v>
      </c>
      <c r="V52" s="32" t="s">
        <v>115</v>
      </c>
      <c r="W52" s="33" t="s">
        <v>116</v>
      </c>
      <c r="X52" s="34" t="s">
        <v>117</v>
      </c>
    </row>
    <row r="53" ht="72.0" customHeight="1">
      <c r="A53" s="30" t="s">
        <v>632</v>
      </c>
      <c r="B53" s="31" t="s">
        <v>16</v>
      </c>
      <c r="C53" s="31" t="s">
        <v>633</v>
      </c>
      <c r="D53" s="31">
        <v>1.0</v>
      </c>
      <c r="E53" s="31" t="s">
        <v>161</v>
      </c>
      <c r="F53" s="31" t="s">
        <v>634</v>
      </c>
      <c r="G53" s="31" t="s">
        <v>635</v>
      </c>
      <c r="H53" s="31" t="s">
        <v>636</v>
      </c>
      <c r="I53" s="31" t="s">
        <v>68</v>
      </c>
      <c r="J53" s="31" t="s">
        <v>176</v>
      </c>
      <c r="K53" s="31" t="s">
        <v>104</v>
      </c>
      <c r="L53" s="31" t="s">
        <v>637</v>
      </c>
      <c r="M53" s="31" t="s">
        <v>139</v>
      </c>
      <c r="N53" s="31" t="s">
        <v>638</v>
      </c>
      <c r="O53" s="31" t="s">
        <v>639</v>
      </c>
      <c r="P53" s="31" t="s">
        <v>640</v>
      </c>
      <c r="Q53" s="31" t="s">
        <v>110</v>
      </c>
      <c r="R53" s="31" t="s">
        <v>641</v>
      </c>
      <c r="S53" s="31" t="s">
        <v>642</v>
      </c>
      <c r="T53" s="31" t="s">
        <v>643</v>
      </c>
      <c r="U53" s="31" t="s">
        <v>114</v>
      </c>
      <c r="V53" s="32" t="s">
        <v>115</v>
      </c>
      <c r="W53" s="33" t="s">
        <v>116</v>
      </c>
      <c r="X53" s="34" t="s">
        <v>117</v>
      </c>
    </row>
    <row r="54" ht="72.0" customHeight="1">
      <c r="A54" s="30" t="s">
        <v>644</v>
      </c>
      <c r="B54" s="31" t="s">
        <v>16</v>
      </c>
      <c r="C54" s="31" t="s">
        <v>633</v>
      </c>
      <c r="D54" s="31">
        <v>2.0</v>
      </c>
      <c r="E54" s="31" t="s">
        <v>284</v>
      </c>
      <c r="F54" s="31" t="s">
        <v>645</v>
      </c>
      <c r="G54" s="31" t="s">
        <v>646</v>
      </c>
      <c r="H54" s="31" t="s">
        <v>647</v>
      </c>
      <c r="I54" s="31" t="s">
        <v>60</v>
      </c>
      <c r="J54" s="31" t="s">
        <v>123</v>
      </c>
      <c r="K54" s="31" t="s">
        <v>104</v>
      </c>
      <c r="L54" s="31" t="s">
        <v>648</v>
      </c>
      <c r="M54" s="31" t="s">
        <v>289</v>
      </c>
      <c r="N54" s="31" t="s">
        <v>649</v>
      </c>
      <c r="O54" s="31" t="s">
        <v>650</v>
      </c>
      <c r="P54" s="31" t="s">
        <v>651</v>
      </c>
      <c r="Q54" s="31" t="s">
        <v>110</v>
      </c>
      <c r="R54" s="31" t="s">
        <v>652</v>
      </c>
      <c r="S54" s="31" t="s">
        <v>653</v>
      </c>
      <c r="T54" s="31" t="s">
        <v>654</v>
      </c>
      <c r="U54" s="31" t="s">
        <v>114</v>
      </c>
      <c r="V54" s="32" t="s">
        <v>115</v>
      </c>
      <c r="W54" s="33" t="s">
        <v>116</v>
      </c>
      <c r="X54" s="34" t="s">
        <v>117</v>
      </c>
    </row>
    <row r="55" ht="72.0" customHeight="1">
      <c r="A55" s="30" t="s">
        <v>655</v>
      </c>
      <c r="B55" s="31" t="s">
        <v>16</v>
      </c>
      <c r="C55" s="31" t="s">
        <v>633</v>
      </c>
      <c r="D55" s="31">
        <v>3.0</v>
      </c>
      <c r="E55" s="31" t="s">
        <v>284</v>
      </c>
      <c r="F55" s="31" t="s">
        <v>656</v>
      </c>
      <c r="G55" s="31" t="s">
        <v>657</v>
      </c>
      <c r="H55" s="31" t="s">
        <v>658</v>
      </c>
      <c r="I55" s="31" t="s">
        <v>60</v>
      </c>
      <c r="J55" s="31" t="s">
        <v>321</v>
      </c>
      <c r="K55" s="31" t="s">
        <v>104</v>
      </c>
      <c r="L55" s="31" t="s">
        <v>659</v>
      </c>
      <c r="M55" s="31" t="s">
        <v>289</v>
      </c>
      <c r="N55" s="31" t="s">
        <v>660</v>
      </c>
      <c r="O55" s="31" t="s">
        <v>534</v>
      </c>
      <c r="P55" s="31" t="s">
        <v>661</v>
      </c>
      <c r="Q55" s="31" t="s">
        <v>110</v>
      </c>
      <c r="R55" s="31" t="s">
        <v>662</v>
      </c>
      <c r="S55" s="31" t="s">
        <v>663</v>
      </c>
      <c r="T55" s="31" t="s">
        <v>664</v>
      </c>
      <c r="U55" s="31" t="s">
        <v>114</v>
      </c>
      <c r="V55" s="32" t="s">
        <v>115</v>
      </c>
      <c r="W55" s="33" t="s">
        <v>116</v>
      </c>
      <c r="X55" s="34" t="s">
        <v>117</v>
      </c>
    </row>
    <row r="56" ht="72.0" customHeight="1">
      <c r="A56" s="30" t="s">
        <v>665</v>
      </c>
      <c r="B56" s="31" t="s">
        <v>16</v>
      </c>
      <c r="C56" s="31" t="s">
        <v>633</v>
      </c>
      <c r="D56" s="31">
        <v>4.0</v>
      </c>
      <c r="E56" s="31" t="s">
        <v>172</v>
      </c>
      <c r="F56" s="31" t="s">
        <v>666</v>
      </c>
      <c r="G56" s="31" t="s">
        <v>667</v>
      </c>
      <c r="H56" s="31" t="s">
        <v>668</v>
      </c>
      <c r="I56" s="31" t="s">
        <v>68</v>
      </c>
      <c r="J56" s="31" t="s">
        <v>341</v>
      </c>
      <c r="K56" s="31" t="s">
        <v>104</v>
      </c>
      <c r="L56" s="31" t="s">
        <v>669</v>
      </c>
      <c r="M56" s="31" t="s">
        <v>125</v>
      </c>
      <c r="N56" s="31" t="s">
        <v>670</v>
      </c>
      <c r="O56" s="31" t="s">
        <v>534</v>
      </c>
      <c r="P56" s="31" t="s">
        <v>671</v>
      </c>
      <c r="Q56" s="31" t="s">
        <v>110</v>
      </c>
      <c r="R56" s="31" t="s">
        <v>672</v>
      </c>
      <c r="S56" s="31" t="s">
        <v>673</v>
      </c>
      <c r="T56" s="31" t="s">
        <v>674</v>
      </c>
      <c r="U56" s="31" t="s">
        <v>114</v>
      </c>
      <c r="V56" s="32" t="s">
        <v>115</v>
      </c>
      <c r="W56" s="33" t="s">
        <v>116</v>
      </c>
      <c r="X56" s="34" t="s">
        <v>117</v>
      </c>
    </row>
    <row r="57" ht="72.0" customHeight="1">
      <c r="A57" s="30" t="s">
        <v>675</v>
      </c>
      <c r="B57" s="31" t="s">
        <v>16</v>
      </c>
      <c r="C57" s="31" t="s">
        <v>633</v>
      </c>
      <c r="D57" s="31">
        <v>5.0</v>
      </c>
      <c r="E57" s="31" t="s">
        <v>172</v>
      </c>
      <c r="F57" s="31" t="s">
        <v>676</v>
      </c>
      <c r="G57" s="31" t="s">
        <v>677</v>
      </c>
      <c r="H57" s="31" t="s">
        <v>678</v>
      </c>
      <c r="I57" s="31" t="s">
        <v>56</v>
      </c>
      <c r="J57" s="31" t="s">
        <v>264</v>
      </c>
      <c r="K57" s="31" t="s">
        <v>104</v>
      </c>
      <c r="L57" s="31" t="s">
        <v>679</v>
      </c>
      <c r="M57" s="31" t="s">
        <v>289</v>
      </c>
      <c r="N57" s="31" t="s">
        <v>680</v>
      </c>
      <c r="O57" s="31" t="s">
        <v>534</v>
      </c>
      <c r="P57" s="31" t="s">
        <v>681</v>
      </c>
      <c r="Q57" s="31" t="s">
        <v>110</v>
      </c>
      <c r="R57" s="31" t="s">
        <v>682</v>
      </c>
      <c r="S57" s="31" t="s">
        <v>683</v>
      </c>
      <c r="T57" s="31" t="s">
        <v>684</v>
      </c>
      <c r="U57" s="31" t="s">
        <v>114</v>
      </c>
      <c r="V57" s="32" t="s">
        <v>115</v>
      </c>
      <c r="W57" s="33" t="s">
        <v>116</v>
      </c>
      <c r="X57" s="34" t="s">
        <v>117</v>
      </c>
    </row>
    <row r="58" ht="72.0" customHeight="1">
      <c r="A58" s="30" t="s">
        <v>685</v>
      </c>
      <c r="B58" s="31" t="s">
        <v>16</v>
      </c>
      <c r="C58" s="31" t="s">
        <v>633</v>
      </c>
      <c r="D58" s="31">
        <v>6.0</v>
      </c>
      <c r="E58" s="31" t="s">
        <v>172</v>
      </c>
      <c r="F58" s="31" t="s">
        <v>686</v>
      </c>
      <c r="G58" s="31" t="s">
        <v>687</v>
      </c>
      <c r="H58" s="31" t="s">
        <v>688</v>
      </c>
      <c r="I58" s="31" t="s">
        <v>60</v>
      </c>
      <c r="J58" s="31" t="s">
        <v>299</v>
      </c>
      <c r="K58" s="31" t="s">
        <v>104</v>
      </c>
      <c r="L58" s="31" t="s">
        <v>689</v>
      </c>
      <c r="M58" s="31" t="s">
        <v>125</v>
      </c>
      <c r="N58" s="31" t="s">
        <v>690</v>
      </c>
      <c r="O58" s="31" t="s">
        <v>534</v>
      </c>
      <c r="P58" s="31" t="s">
        <v>691</v>
      </c>
      <c r="Q58" s="31" t="s">
        <v>110</v>
      </c>
      <c r="R58" s="31" t="s">
        <v>692</v>
      </c>
      <c r="S58" s="31" t="s">
        <v>693</v>
      </c>
      <c r="T58" s="31" t="s">
        <v>694</v>
      </c>
      <c r="U58" s="31" t="s">
        <v>114</v>
      </c>
      <c r="V58" s="32" t="s">
        <v>115</v>
      </c>
      <c r="W58" s="33" t="s">
        <v>116</v>
      </c>
      <c r="X58" s="34" t="s">
        <v>117</v>
      </c>
    </row>
    <row r="59" ht="72.0" customHeight="1">
      <c r="A59" s="30" t="s">
        <v>695</v>
      </c>
      <c r="B59" s="31" t="s">
        <v>16</v>
      </c>
      <c r="C59" s="31" t="s">
        <v>633</v>
      </c>
      <c r="D59" s="31">
        <v>7.0</v>
      </c>
      <c r="E59" s="31" t="s">
        <v>185</v>
      </c>
      <c r="F59" s="31" t="s">
        <v>696</v>
      </c>
      <c r="G59" s="31" t="s">
        <v>697</v>
      </c>
      <c r="H59" s="31" t="s">
        <v>698</v>
      </c>
      <c r="I59" s="31" t="s">
        <v>68</v>
      </c>
      <c r="J59" s="31" t="s">
        <v>176</v>
      </c>
      <c r="K59" s="31" t="s">
        <v>104</v>
      </c>
      <c r="L59" s="31" t="s">
        <v>699</v>
      </c>
      <c r="M59" s="31" t="s">
        <v>106</v>
      </c>
      <c r="N59" s="31" t="s">
        <v>700</v>
      </c>
      <c r="O59" s="31" t="s">
        <v>701</v>
      </c>
      <c r="P59" s="31" t="s">
        <v>702</v>
      </c>
      <c r="Q59" s="31" t="s">
        <v>110</v>
      </c>
      <c r="R59" s="31" t="s">
        <v>703</v>
      </c>
      <c r="S59" s="31" t="s">
        <v>704</v>
      </c>
      <c r="T59" s="31" t="s">
        <v>705</v>
      </c>
      <c r="U59" s="31" t="s">
        <v>114</v>
      </c>
      <c r="V59" s="32" t="s">
        <v>115</v>
      </c>
      <c r="W59" s="33" t="s">
        <v>116</v>
      </c>
      <c r="X59" s="34" t="s">
        <v>117</v>
      </c>
    </row>
    <row r="60" ht="72.0" customHeight="1">
      <c r="A60" s="30" t="s">
        <v>706</v>
      </c>
      <c r="B60" s="31" t="s">
        <v>16</v>
      </c>
      <c r="C60" s="31" t="s">
        <v>633</v>
      </c>
      <c r="D60" s="31">
        <v>8.0</v>
      </c>
      <c r="E60" s="31" t="s">
        <v>185</v>
      </c>
      <c r="F60" s="31" t="s">
        <v>707</v>
      </c>
      <c r="G60" s="31" t="s">
        <v>708</v>
      </c>
      <c r="H60" s="31" t="s">
        <v>709</v>
      </c>
      <c r="I60" s="31" t="s">
        <v>68</v>
      </c>
      <c r="J60" s="31" t="s">
        <v>254</v>
      </c>
      <c r="K60" s="31" t="s">
        <v>104</v>
      </c>
      <c r="L60" s="31" t="s">
        <v>710</v>
      </c>
      <c r="M60" s="31" t="s">
        <v>139</v>
      </c>
      <c r="N60" s="31" t="s">
        <v>711</v>
      </c>
      <c r="O60" s="31" t="s">
        <v>534</v>
      </c>
      <c r="P60" s="31" t="s">
        <v>712</v>
      </c>
      <c r="Q60" s="31" t="s">
        <v>110</v>
      </c>
      <c r="R60" s="31" t="s">
        <v>713</v>
      </c>
      <c r="S60" s="31" t="s">
        <v>714</v>
      </c>
      <c r="T60" s="31" t="s">
        <v>715</v>
      </c>
      <c r="U60" s="31" t="s">
        <v>114</v>
      </c>
      <c r="V60" s="32" t="s">
        <v>115</v>
      </c>
      <c r="W60" s="33" t="s">
        <v>116</v>
      </c>
      <c r="X60" s="34" t="s">
        <v>117</v>
      </c>
    </row>
    <row r="61" ht="72.0" customHeight="1">
      <c r="A61" s="30" t="s">
        <v>716</v>
      </c>
      <c r="B61" s="31" t="s">
        <v>16</v>
      </c>
      <c r="C61" s="31" t="s">
        <v>633</v>
      </c>
      <c r="D61" s="31">
        <v>9.0</v>
      </c>
      <c r="E61" s="31" t="s">
        <v>620</v>
      </c>
      <c r="F61" s="31" t="s">
        <v>717</v>
      </c>
      <c r="G61" s="31" t="s">
        <v>718</v>
      </c>
      <c r="H61" s="31" t="s">
        <v>719</v>
      </c>
      <c r="I61" s="31" t="s">
        <v>68</v>
      </c>
      <c r="J61" s="31" t="s">
        <v>531</v>
      </c>
      <c r="K61" s="31" t="s">
        <v>104</v>
      </c>
      <c r="L61" s="31" t="s">
        <v>720</v>
      </c>
      <c r="M61" s="31" t="s">
        <v>139</v>
      </c>
      <c r="N61" s="31" t="s">
        <v>721</v>
      </c>
      <c r="O61" s="31" t="s">
        <v>722</v>
      </c>
      <c r="P61" s="31" t="s">
        <v>723</v>
      </c>
      <c r="Q61" s="31" t="s">
        <v>110</v>
      </c>
      <c r="R61" s="31" t="s">
        <v>724</v>
      </c>
      <c r="S61" s="31" t="s">
        <v>725</v>
      </c>
      <c r="T61" s="31" t="s">
        <v>726</v>
      </c>
      <c r="U61" s="31" t="s">
        <v>114</v>
      </c>
      <c r="V61" s="32" t="s">
        <v>115</v>
      </c>
      <c r="W61" s="33" t="s">
        <v>116</v>
      </c>
      <c r="X61" s="34" t="s">
        <v>117</v>
      </c>
    </row>
    <row r="62" ht="72.0" customHeight="1">
      <c r="A62" s="30" t="s">
        <v>727</v>
      </c>
      <c r="B62" s="31" t="s">
        <v>16</v>
      </c>
      <c r="C62" s="31" t="s">
        <v>633</v>
      </c>
      <c r="D62" s="31">
        <v>10.0</v>
      </c>
      <c r="E62" s="31" t="s">
        <v>728</v>
      </c>
      <c r="F62" s="31" t="s">
        <v>729</v>
      </c>
      <c r="G62" s="31" t="s">
        <v>730</v>
      </c>
      <c r="H62" s="31" t="s">
        <v>731</v>
      </c>
      <c r="I62" s="31" t="s">
        <v>64</v>
      </c>
      <c r="J62" s="31" t="s">
        <v>123</v>
      </c>
      <c r="K62" s="31" t="s">
        <v>104</v>
      </c>
      <c r="L62" s="31" t="s">
        <v>732</v>
      </c>
      <c r="M62" s="31" t="s">
        <v>625</v>
      </c>
      <c r="N62" s="31" t="s">
        <v>733</v>
      </c>
      <c r="O62" s="31" t="s">
        <v>734</v>
      </c>
      <c r="P62" s="31" t="s">
        <v>735</v>
      </c>
      <c r="Q62" s="31" t="s">
        <v>110</v>
      </c>
      <c r="R62" s="31" t="s">
        <v>736</v>
      </c>
      <c r="S62" s="31" t="s">
        <v>737</v>
      </c>
      <c r="T62" s="31" t="s">
        <v>738</v>
      </c>
      <c r="U62" s="31" t="s">
        <v>114</v>
      </c>
      <c r="V62" s="32" t="s">
        <v>115</v>
      </c>
      <c r="W62" s="33" t="s">
        <v>116</v>
      </c>
      <c r="X62" s="34" t="s">
        <v>117</v>
      </c>
    </row>
    <row r="63" ht="72.0" customHeight="1">
      <c r="A63" s="30" t="s">
        <v>739</v>
      </c>
      <c r="B63" s="31" t="s">
        <v>10</v>
      </c>
      <c r="C63" s="31" t="s">
        <v>740</v>
      </c>
      <c r="D63" s="31">
        <v>1.0</v>
      </c>
      <c r="E63" s="31" t="s">
        <v>119</v>
      </c>
      <c r="F63" s="31" t="s">
        <v>741</v>
      </c>
      <c r="G63" s="31" t="s">
        <v>742</v>
      </c>
      <c r="H63" s="31" t="s">
        <v>743</v>
      </c>
      <c r="I63" s="31" t="s">
        <v>68</v>
      </c>
      <c r="J63" s="31" t="s">
        <v>531</v>
      </c>
      <c r="K63" s="31" t="s">
        <v>104</v>
      </c>
      <c r="L63" s="31" t="s">
        <v>744</v>
      </c>
      <c r="M63" s="31" t="s">
        <v>139</v>
      </c>
      <c r="N63" s="31" t="s">
        <v>745</v>
      </c>
      <c r="O63" s="31" t="s">
        <v>746</v>
      </c>
      <c r="P63" s="31" t="s">
        <v>747</v>
      </c>
      <c r="Q63" s="31" t="s">
        <v>110</v>
      </c>
      <c r="R63" s="31" t="s">
        <v>748</v>
      </c>
      <c r="S63" s="31" t="s">
        <v>749</v>
      </c>
      <c r="T63" s="31" t="s">
        <v>750</v>
      </c>
      <c r="U63" s="31" t="s">
        <v>114</v>
      </c>
      <c r="V63" s="32" t="s">
        <v>115</v>
      </c>
      <c r="W63" s="33" t="s">
        <v>116</v>
      </c>
      <c r="X63" s="34" t="s">
        <v>117</v>
      </c>
    </row>
    <row r="64" ht="72.0" customHeight="1">
      <c r="A64" s="30" t="s">
        <v>751</v>
      </c>
      <c r="B64" s="31" t="s">
        <v>10</v>
      </c>
      <c r="C64" s="31" t="s">
        <v>740</v>
      </c>
      <c r="D64" s="31">
        <v>2.0</v>
      </c>
      <c r="E64" s="31" t="s">
        <v>196</v>
      </c>
      <c r="F64" s="31" t="s">
        <v>752</v>
      </c>
      <c r="G64" s="31" t="s">
        <v>753</v>
      </c>
      <c r="H64" s="31" t="s">
        <v>754</v>
      </c>
      <c r="I64" s="31" t="s">
        <v>56</v>
      </c>
      <c r="J64" s="31" t="s">
        <v>394</v>
      </c>
      <c r="K64" s="31" t="s">
        <v>104</v>
      </c>
      <c r="L64" s="31" t="s">
        <v>755</v>
      </c>
      <c r="M64" s="31" t="s">
        <v>139</v>
      </c>
      <c r="N64" s="31" t="s">
        <v>756</v>
      </c>
      <c r="O64" s="31" t="s">
        <v>746</v>
      </c>
      <c r="P64" s="31" t="s">
        <v>757</v>
      </c>
      <c r="Q64" s="31" t="s">
        <v>110</v>
      </c>
      <c r="R64" s="31" t="s">
        <v>758</v>
      </c>
      <c r="S64" s="31" t="s">
        <v>759</v>
      </c>
      <c r="T64" s="31" t="s">
        <v>760</v>
      </c>
      <c r="U64" s="31" t="s">
        <v>114</v>
      </c>
      <c r="V64" s="32" t="s">
        <v>115</v>
      </c>
      <c r="W64" s="33" t="s">
        <v>116</v>
      </c>
      <c r="X64" s="34" t="s">
        <v>117</v>
      </c>
    </row>
    <row r="65" ht="72.0" customHeight="1">
      <c r="A65" s="30" t="s">
        <v>761</v>
      </c>
      <c r="B65" s="31" t="s">
        <v>10</v>
      </c>
      <c r="C65" s="31" t="s">
        <v>740</v>
      </c>
      <c r="D65" s="31">
        <v>3.0</v>
      </c>
      <c r="E65" s="31" t="s">
        <v>147</v>
      </c>
      <c r="F65" s="31" t="s">
        <v>762</v>
      </c>
      <c r="G65" s="31" t="s">
        <v>763</v>
      </c>
      <c r="H65" s="31" t="s">
        <v>764</v>
      </c>
      <c r="I65" s="31" t="s">
        <v>56</v>
      </c>
      <c r="J65" s="31" t="s">
        <v>765</v>
      </c>
      <c r="K65" s="31" t="s">
        <v>104</v>
      </c>
      <c r="L65" s="31" t="s">
        <v>275</v>
      </c>
      <c r="M65" s="31" t="s">
        <v>276</v>
      </c>
      <c r="N65" s="31" t="s">
        <v>766</v>
      </c>
      <c r="O65" s="31" t="s">
        <v>746</v>
      </c>
      <c r="P65" s="31" t="s">
        <v>767</v>
      </c>
      <c r="Q65" s="31" t="s">
        <v>110</v>
      </c>
      <c r="R65" s="31" t="s">
        <v>231</v>
      </c>
      <c r="S65" s="31" t="s">
        <v>759</v>
      </c>
      <c r="T65" s="31" t="s">
        <v>768</v>
      </c>
      <c r="U65" s="31" t="s">
        <v>401</v>
      </c>
      <c r="V65" s="32" t="s">
        <v>115</v>
      </c>
      <c r="W65" s="33" t="s">
        <v>402</v>
      </c>
      <c r="X65" s="34" t="s">
        <v>117</v>
      </c>
    </row>
    <row r="66" ht="72.0" customHeight="1">
      <c r="A66" s="30" t="s">
        <v>769</v>
      </c>
      <c r="B66" s="31" t="s">
        <v>10</v>
      </c>
      <c r="C66" s="31" t="s">
        <v>740</v>
      </c>
      <c r="D66" s="31">
        <v>4.0</v>
      </c>
      <c r="E66" s="31" t="s">
        <v>196</v>
      </c>
      <c r="F66" s="31" t="s">
        <v>770</v>
      </c>
      <c r="G66" s="31" t="s">
        <v>771</v>
      </c>
      <c r="H66" s="31" t="s">
        <v>772</v>
      </c>
      <c r="I66" s="31" t="s">
        <v>56</v>
      </c>
      <c r="J66" s="31" t="s">
        <v>487</v>
      </c>
      <c r="K66" s="31" t="s">
        <v>104</v>
      </c>
      <c r="L66" s="31" t="s">
        <v>773</v>
      </c>
      <c r="M66" s="31" t="s">
        <v>153</v>
      </c>
      <c r="N66" s="31" t="s">
        <v>774</v>
      </c>
      <c r="O66" s="31" t="s">
        <v>746</v>
      </c>
      <c r="P66" s="31" t="s">
        <v>775</v>
      </c>
      <c r="Q66" s="31" t="s">
        <v>110</v>
      </c>
      <c r="R66" s="31" t="s">
        <v>231</v>
      </c>
      <c r="S66" s="31" t="s">
        <v>776</v>
      </c>
      <c r="T66" s="31" t="s">
        <v>777</v>
      </c>
      <c r="U66" s="31" t="s">
        <v>114</v>
      </c>
      <c r="V66" s="32" t="s">
        <v>115</v>
      </c>
      <c r="W66" s="33" t="s">
        <v>116</v>
      </c>
      <c r="X66" s="34" t="s">
        <v>117</v>
      </c>
    </row>
    <row r="67" ht="72.0" customHeight="1">
      <c r="A67" s="30" t="s">
        <v>778</v>
      </c>
      <c r="B67" s="31" t="s">
        <v>10</v>
      </c>
      <c r="C67" s="31" t="s">
        <v>740</v>
      </c>
      <c r="D67" s="31">
        <v>5.0</v>
      </c>
      <c r="E67" s="31" t="s">
        <v>172</v>
      </c>
      <c r="F67" s="31" t="s">
        <v>779</v>
      </c>
      <c r="G67" s="31" t="s">
        <v>780</v>
      </c>
      <c r="H67" s="31" t="s">
        <v>781</v>
      </c>
      <c r="I67" s="31" t="s">
        <v>64</v>
      </c>
      <c r="J67" s="31" t="s">
        <v>264</v>
      </c>
      <c r="K67" s="31" t="s">
        <v>104</v>
      </c>
      <c r="L67" s="31" t="s">
        <v>782</v>
      </c>
      <c r="M67" s="31" t="s">
        <v>125</v>
      </c>
      <c r="N67" s="31" t="s">
        <v>783</v>
      </c>
      <c r="O67" s="31" t="s">
        <v>746</v>
      </c>
      <c r="P67" s="31" t="s">
        <v>784</v>
      </c>
      <c r="Q67" s="31" t="s">
        <v>110</v>
      </c>
      <c r="R67" s="31" t="s">
        <v>785</v>
      </c>
      <c r="S67" s="31" t="s">
        <v>786</v>
      </c>
      <c r="T67" s="31" t="s">
        <v>787</v>
      </c>
      <c r="U67" s="31" t="s">
        <v>114</v>
      </c>
      <c r="V67" s="32" t="s">
        <v>115</v>
      </c>
      <c r="W67" s="33" t="s">
        <v>116</v>
      </c>
      <c r="X67" s="34" t="s">
        <v>117</v>
      </c>
    </row>
    <row r="68" ht="72.0" customHeight="1">
      <c r="A68" s="30" t="s">
        <v>788</v>
      </c>
      <c r="B68" s="31" t="s">
        <v>10</v>
      </c>
      <c r="C68" s="31" t="s">
        <v>740</v>
      </c>
      <c r="D68" s="31">
        <v>6.0</v>
      </c>
      <c r="E68" s="31" t="s">
        <v>196</v>
      </c>
      <c r="F68" s="31" t="s">
        <v>789</v>
      </c>
      <c r="G68" s="31" t="s">
        <v>790</v>
      </c>
      <c r="H68" s="31" t="s">
        <v>791</v>
      </c>
      <c r="I68" s="31" t="s">
        <v>68</v>
      </c>
      <c r="J68" s="31" t="s">
        <v>792</v>
      </c>
      <c r="K68" s="31" t="s">
        <v>104</v>
      </c>
      <c r="L68" s="31" t="s">
        <v>793</v>
      </c>
      <c r="M68" s="31" t="s">
        <v>139</v>
      </c>
      <c r="N68" s="31" t="s">
        <v>794</v>
      </c>
      <c r="O68" s="31" t="s">
        <v>746</v>
      </c>
      <c r="P68" s="31" t="s">
        <v>795</v>
      </c>
      <c r="Q68" s="31" t="s">
        <v>110</v>
      </c>
      <c r="R68" s="31" t="s">
        <v>231</v>
      </c>
      <c r="S68" s="31" t="s">
        <v>796</v>
      </c>
      <c r="T68" s="31" t="s">
        <v>797</v>
      </c>
      <c r="U68" s="31" t="s">
        <v>114</v>
      </c>
      <c r="V68" s="32" t="s">
        <v>115</v>
      </c>
      <c r="W68" s="33" t="s">
        <v>116</v>
      </c>
      <c r="X68" s="34" t="s">
        <v>117</v>
      </c>
    </row>
    <row r="69" ht="72.0" customHeight="1">
      <c r="A69" s="30" t="s">
        <v>798</v>
      </c>
      <c r="B69" s="31" t="s">
        <v>10</v>
      </c>
      <c r="C69" s="31" t="s">
        <v>740</v>
      </c>
      <c r="D69" s="31">
        <v>7.0</v>
      </c>
      <c r="E69" s="31" t="s">
        <v>185</v>
      </c>
      <c r="F69" s="31" t="s">
        <v>799</v>
      </c>
      <c r="G69" s="31" t="s">
        <v>800</v>
      </c>
      <c r="H69" s="31" t="s">
        <v>801</v>
      </c>
      <c r="I69" s="31" t="s">
        <v>68</v>
      </c>
      <c r="J69" s="31" t="s">
        <v>176</v>
      </c>
      <c r="K69" s="31" t="s">
        <v>104</v>
      </c>
      <c r="L69" s="31" t="s">
        <v>802</v>
      </c>
      <c r="M69" s="31" t="s">
        <v>139</v>
      </c>
      <c r="N69" s="31" t="s">
        <v>803</v>
      </c>
      <c r="O69" s="31" t="s">
        <v>746</v>
      </c>
      <c r="P69" s="31" t="s">
        <v>804</v>
      </c>
      <c r="Q69" s="31" t="s">
        <v>110</v>
      </c>
      <c r="R69" s="31" t="s">
        <v>231</v>
      </c>
      <c r="S69" s="31" t="s">
        <v>759</v>
      </c>
      <c r="T69" s="31" t="s">
        <v>805</v>
      </c>
      <c r="U69" s="31" t="s">
        <v>114</v>
      </c>
      <c r="V69" s="32" t="s">
        <v>115</v>
      </c>
      <c r="W69" s="33" t="s">
        <v>116</v>
      </c>
      <c r="X69" s="34" t="s">
        <v>117</v>
      </c>
    </row>
    <row r="70" ht="72.0" customHeight="1">
      <c r="A70" s="30" t="s">
        <v>806</v>
      </c>
      <c r="B70" s="31" t="s">
        <v>10</v>
      </c>
      <c r="C70" s="31" t="s">
        <v>740</v>
      </c>
      <c r="D70" s="31">
        <v>8.0</v>
      </c>
      <c r="E70" s="31" t="s">
        <v>185</v>
      </c>
      <c r="F70" s="31" t="s">
        <v>807</v>
      </c>
      <c r="G70" s="31" t="s">
        <v>808</v>
      </c>
      <c r="H70" s="31" t="s">
        <v>809</v>
      </c>
      <c r="I70" s="31" t="s">
        <v>68</v>
      </c>
      <c r="J70" s="31" t="s">
        <v>341</v>
      </c>
      <c r="K70" s="31" t="s">
        <v>104</v>
      </c>
      <c r="L70" s="31" t="s">
        <v>810</v>
      </c>
      <c r="M70" s="31" t="s">
        <v>139</v>
      </c>
      <c r="N70" s="31" t="s">
        <v>811</v>
      </c>
      <c r="O70" s="31" t="s">
        <v>746</v>
      </c>
      <c r="P70" s="31" t="s">
        <v>812</v>
      </c>
      <c r="Q70" s="31" t="s">
        <v>110</v>
      </c>
      <c r="R70" s="31" t="s">
        <v>813</v>
      </c>
      <c r="S70" s="31" t="s">
        <v>814</v>
      </c>
      <c r="T70" s="31" t="s">
        <v>815</v>
      </c>
      <c r="U70" s="31" t="s">
        <v>114</v>
      </c>
      <c r="V70" s="32" t="s">
        <v>115</v>
      </c>
      <c r="W70" s="33" t="s">
        <v>116</v>
      </c>
      <c r="X70" s="34" t="s">
        <v>117</v>
      </c>
    </row>
    <row r="71" ht="72.0" customHeight="1">
      <c r="A71" s="30" t="s">
        <v>816</v>
      </c>
      <c r="B71" s="31" t="s">
        <v>10</v>
      </c>
      <c r="C71" s="31" t="s">
        <v>740</v>
      </c>
      <c r="D71" s="31">
        <v>9.0</v>
      </c>
      <c r="E71" s="31" t="s">
        <v>728</v>
      </c>
      <c r="F71" s="31" t="s">
        <v>817</v>
      </c>
      <c r="G71" s="31" t="s">
        <v>818</v>
      </c>
      <c r="H71" s="31" t="s">
        <v>819</v>
      </c>
      <c r="I71" s="31" t="s">
        <v>64</v>
      </c>
      <c r="J71" s="31" t="s">
        <v>123</v>
      </c>
      <c r="K71" s="31" t="s">
        <v>104</v>
      </c>
      <c r="L71" s="31" t="s">
        <v>820</v>
      </c>
      <c r="M71" s="31" t="s">
        <v>139</v>
      </c>
      <c r="N71" s="31" t="s">
        <v>821</v>
      </c>
      <c r="O71" s="31" t="s">
        <v>746</v>
      </c>
      <c r="P71" s="31" t="s">
        <v>822</v>
      </c>
      <c r="Q71" s="31" t="s">
        <v>110</v>
      </c>
      <c r="R71" s="31" t="s">
        <v>823</v>
      </c>
      <c r="S71" s="31" t="s">
        <v>824</v>
      </c>
      <c r="T71" s="31" t="s">
        <v>825</v>
      </c>
      <c r="U71" s="31" t="s">
        <v>114</v>
      </c>
      <c r="V71" s="32" t="s">
        <v>115</v>
      </c>
      <c r="W71" s="33" t="s">
        <v>116</v>
      </c>
      <c r="X71" s="34" t="s">
        <v>117</v>
      </c>
    </row>
    <row r="72" ht="72.0" customHeight="1">
      <c r="A72" s="35" t="s">
        <v>826</v>
      </c>
      <c r="B72" s="36" t="s">
        <v>10</v>
      </c>
      <c r="C72" s="36" t="s">
        <v>740</v>
      </c>
      <c r="D72" s="36">
        <v>10.0</v>
      </c>
      <c r="E72" s="36" t="s">
        <v>99</v>
      </c>
      <c r="F72" s="36" t="s">
        <v>827</v>
      </c>
      <c r="G72" s="36" t="s">
        <v>828</v>
      </c>
      <c r="H72" s="36" t="s">
        <v>829</v>
      </c>
      <c r="I72" s="36" t="s">
        <v>70</v>
      </c>
      <c r="J72" s="36" t="s">
        <v>321</v>
      </c>
      <c r="K72" s="36" t="s">
        <v>104</v>
      </c>
      <c r="L72" s="36" t="s">
        <v>830</v>
      </c>
      <c r="M72" s="36" t="s">
        <v>139</v>
      </c>
      <c r="N72" s="36" t="s">
        <v>831</v>
      </c>
      <c r="O72" s="36" t="s">
        <v>746</v>
      </c>
      <c r="P72" s="36" t="s">
        <v>832</v>
      </c>
      <c r="Q72" s="36" t="s">
        <v>110</v>
      </c>
      <c r="R72" s="36" t="s">
        <v>833</v>
      </c>
      <c r="S72" s="36" t="s">
        <v>834</v>
      </c>
      <c r="T72" s="36" t="s">
        <v>835</v>
      </c>
      <c r="U72" s="36" t="s">
        <v>114</v>
      </c>
      <c r="V72" s="37" t="s">
        <v>115</v>
      </c>
      <c r="W72" s="38" t="s">
        <v>116</v>
      </c>
      <c r="X72" s="39" t="s">
        <v>117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X1"/>
    <mergeCell ref="A2:X2"/>
  </mergeCells>
  <conditionalFormatting sqref="U5:U72">
    <cfRule type="expression" dxfId="4" priority="1">
      <formula>ISNUMBER(SEARCH("Locked",U5))</formula>
    </cfRule>
  </conditionalFormatting>
  <conditionalFormatting sqref="U5:U72">
    <cfRule type="containsText" dxfId="5" priority="2" operator="containsText" text="Action required">
      <formula>NOT(ISERROR(SEARCH(("Action required"),(U5))))</formula>
    </cfRule>
  </conditionalFormatting>
  <conditionalFormatting sqref="U5:U72">
    <cfRule type="containsText" dxfId="6" priority="3" operator="containsText" text="Preview-ready">
      <formula>NOT(ISERROR(SEARCH(("Preview-ready"),(U5))))</formula>
    </cfRule>
  </conditionalFormatting>
  <conditionalFormatting sqref="U5:U72">
    <cfRule type="containsText" dxfId="7" priority="4" operator="containsText" text="Locked reference">
      <formula>NOT(ISERROR(SEARCH(("Locked reference"),(U5))))</formula>
    </cfRule>
  </conditionalFormatting>
  <conditionalFormatting sqref="U5:U72">
    <cfRule type="containsText" dxfId="8" priority="5" operator="containsText" text="Pass">
      <formula>NOT(ISERROR(SEARCH(("Pass"),(U5))))</formula>
    </cfRule>
  </conditionalFormatting>
  <conditionalFormatting sqref="U5:U72">
    <cfRule type="containsText" dxfId="9" priority="6" operator="containsText" text="Missing">
      <formula>NOT(ISERROR(SEARCH(("Missing"),(U5))))</formula>
    </cfRule>
  </conditionalFormatting>
  <conditionalFormatting sqref="R5:R72">
    <cfRule type="expression" dxfId="10" priority="7">
      <formula>ISNUMBER(SEARCH("High",R5))</formula>
    </cfRule>
  </conditionalFormatting>
  <dataValidations>
    <dataValidation type="list" allowBlank="1" sqref="U5:U72">
      <formula1>"Planned,Prototype idea,Prototype adaptable,Designed,Reference prototype lineage,Prototype adaptable,Locked reference prototype,Planned"</formula1>
    </dataValidation>
    <dataValidation type="list" allowBlank="1" sqref="K5:K72">
      <formula1>"Strong,Partial,Contextual"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20.0"/>
    <col customWidth="1" min="3" max="3" width="26.0"/>
    <col customWidth="1" min="4" max="4" width="18.0"/>
    <col customWidth="1" min="5" max="5" width="24.0"/>
    <col customWidth="1" min="6" max="6" width="32.0"/>
    <col customWidth="1" min="7" max="7" width="58.0"/>
    <col customWidth="1" min="8" max="8" width="20.0"/>
    <col customWidth="1" min="9" max="10" width="28.0"/>
    <col customWidth="1" min="11" max="11" width="42.0"/>
    <col customWidth="1" min="12" max="13" width="34.0"/>
    <col customWidth="1" min="14" max="26" width="8.63"/>
  </cols>
  <sheetData>
    <row r="1" ht="25.5" customHeight="1">
      <c r="A1" s="1" t="s">
        <v>836</v>
      </c>
    </row>
    <row r="2" ht="33.75" customHeight="1">
      <c r="A2" s="3" t="s">
        <v>837</v>
      </c>
    </row>
    <row r="4">
      <c r="A4" s="25" t="s">
        <v>838</v>
      </c>
      <c r="B4" s="26" t="s">
        <v>76</v>
      </c>
      <c r="C4" s="26" t="s">
        <v>4</v>
      </c>
      <c r="D4" s="26" t="s">
        <v>77</v>
      </c>
      <c r="E4" s="26" t="s">
        <v>839</v>
      </c>
      <c r="F4" s="26" t="s">
        <v>80</v>
      </c>
      <c r="G4" s="26" t="s">
        <v>840</v>
      </c>
      <c r="H4" s="26" t="s">
        <v>51</v>
      </c>
      <c r="I4" s="26" t="s">
        <v>841</v>
      </c>
      <c r="J4" s="26" t="s">
        <v>842</v>
      </c>
      <c r="K4" s="26" t="s">
        <v>843</v>
      </c>
      <c r="L4" s="26" t="s">
        <v>844</v>
      </c>
      <c r="M4" s="27" t="s">
        <v>845</v>
      </c>
      <c r="N4" s="28" t="s">
        <v>93</v>
      </c>
      <c r="O4" s="29" t="s">
        <v>846</v>
      </c>
    </row>
    <row r="5" ht="54.0" customHeight="1">
      <c r="A5" s="30" t="s">
        <v>847</v>
      </c>
      <c r="B5" s="31" t="s">
        <v>97</v>
      </c>
      <c r="C5" s="31" t="s">
        <v>10</v>
      </c>
      <c r="D5" s="31" t="s">
        <v>98</v>
      </c>
      <c r="E5" s="31" t="s">
        <v>99</v>
      </c>
      <c r="F5" s="31" t="s">
        <v>100</v>
      </c>
      <c r="G5" s="31" t="s">
        <v>848</v>
      </c>
      <c r="H5" s="31" t="s">
        <v>56</v>
      </c>
      <c r="I5" s="31" t="s">
        <v>103</v>
      </c>
      <c r="J5" s="31" t="s">
        <v>110</v>
      </c>
      <c r="K5" s="31" t="s">
        <v>849</v>
      </c>
      <c r="L5" s="31" t="s">
        <v>112</v>
      </c>
      <c r="M5" s="32" t="s">
        <v>113</v>
      </c>
      <c r="N5" s="33" t="s">
        <v>850</v>
      </c>
      <c r="O5" s="34" t="s">
        <v>851</v>
      </c>
    </row>
    <row r="6" ht="54.0" customHeight="1">
      <c r="A6" s="30" t="s">
        <v>852</v>
      </c>
      <c r="B6" s="31" t="s">
        <v>97</v>
      </c>
      <c r="C6" s="31" t="s">
        <v>10</v>
      </c>
      <c r="D6" s="31" t="s">
        <v>98</v>
      </c>
      <c r="E6" s="31" t="s">
        <v>99</v>
      </c>
      <c r="F6" s="31" t="s">
        <v>100</v>
      </c>
      <c r="G6" s="31" t="s">
        <v>853</v>
      </c>
      <c r="H6" s="31" t="s">
        <v>56</v>
      </c>
      <c r="I6" s="31" t="s">
        <v>103</v>
      </c>
      <c r="J6" s="31" t="s">
        <v>110</v>
      </c>
      <c r="K6" s="31" t="s">
        <v>849</v>
      </c>
      <c r="L6" s="31" t="s">
        <v>112</v>
      </c>
      <c r="M6" s="32" t="s">
        <v>113</v>
      </c>
      <c r="N6" s="33" t="s">
        <v>850</v>
      </c>
      <c r="O6" s="34" t="s">
        <v>851</v>
      </c>
    </row>
    <row r="7" ht="54.0" customHeight="1">
      <c r="A7" s="30" t="s">
        <v>854</v>
      </c>
      <c r="B7" s="31" t="s">
        <v>97</v>
      </c>
      <c r="C7" s="31" t="s">
        <v>10</v>
      </c>
      <c r="D7" s="31" t="s">
        <v>98</v>
      </c>
      <c r="E7" s="31" t="s">
        <v>99</v>
      </c>
      <c r="F7" s="31" t="s">
        <v>100</v>
      </c>
      <c r="G7" s="31" t="s">
        <v>855</v>
      </c>
      <c r="H7" s="31" t="s">
        <v>56</v>
      </c>
      <c r="I7" s="31" t="s">
        <v>103</v>
      </c>
      <c r="J7" s="31" t="s">
        <v>110</v>
      </c>
      <c r="K7" s="31" t="s">
        <v>849</v>
      </c>
      <c r="L7" s="31" t="s">
        <v>112</v>
      </c>
      <c r="M7" s="32" t="s">
        <v>113</v>
      </c>
      <c r="N7" s="33" t="s">
        <v>850</v>
      </c>
      <c r="O7" s="34" t="s">
        <v>851</v>
      </c>
    </row>
    <row r="8" ht="54.0" customHeight="1">
      <c r="A8" s="30" t="s">
        <v>856</v>
      </c>
      <c r="B8" s="31" t="s">
        <v>97</v>
      </c>
      <c r="C8" s="31" t="s">
        <v>10</v>
      </c>
      <c r="D8" s="31" t="s">
        <v>98</v>
      </c>
      <c r="E8" s="31" t="s">
        <v>99</v>
      </c>
      <c r="F8" s="31" t="s">
        <v>100</v>
      </c>
      <c r="G8" s="31" t="s">
        <v>857</v>
      </c>
      <c r="H8" s="31" t="s">
        <v>56</v>
      </c>
      <c r="I8" s="31" t="s">
        <v>103</v>
      </c>
      <c r="J8" s="31" t="s">
        <v>110</v>
      </c>
      <c r="K8" s="31" t="s">
        <v>849</v>
      </c>
      <c r="L8" s="31" t="s">
        <v>112</v>
      </c>
      <c r="M8" s="32" t="s">
        <v>113</v>
      </c>
      <c r="N8" s="33" t="s">
        <v>850</v>
      </c>
      <c r="O8" s="34" t="s">
        <v>851</v>
      </c>
    </row>
    <row r="9" ht="54.0" customHeight="1">
      <c r="A9" s="30" t="s">
        <v>858</v>
      </c>
      <c r="B9" s="31" t="s">
        <v>97</v>
      </c>
      <c r="C9" s="31" t="s">
        <v>10</v>
      </c>
      <c r="D9" s="31" t="s">
        <v>98</v>
      </c>
      <c r="E9" s="31" t="s">
        <v>99</v>
      </c>
      <c r="F9" s="31" t="s">
        <v>100</v>
      </c>
      <c r="G9" s="31" t="s">
        <v>859</v>
      </c>
      <c r="H9" s="31" t="s">
        <v>56</v>
      </c>
      <c r="I9" s="31" t="s">
        <v>103</v>
      </c>
      <c r="J9" s="31" t="s">
        <v>110</v>
      </c>
      <c r="K9" s="31" t="s">
        <v>849</v>
      </c>
      <c r="L9" s="31" t="s">
        <v>112</v>
      </c>
      <c r="M9" s="32" t="s">
        <v>113</v>
      </c>
      <c r="N9" s="33" t="s">
        <v>850</v>
      </c>
      <c r="O9" s="34" t="s">
        <v>851</v>
      </c>
    </row>
    <row r="10" ht="54.0" customHeight="1">
      <c r="A10" s="30" t="s">
        <v>860</v>
      </c>
      <c r="B10" s="31" t="s">
        <v>118</v>
      </c>
      <c r="C10" s="31" t="s">
        <v>10</v>
      </c>
      <c r="D10" s="31" t="s">
        <v>98</v>
      </c>
      <c r="E10" s="31" t="s">
        <v>119</v>
      </c>
      <c r="F10" s="31" t="s">
        <v>120</v>
      </c>
      <c r="G10" s="31" t="s">
        <v>861</v>
      </c>
      <c r="H10" s="31" t="s">
        <v>70</v>
      </c>
      <c r="I10" s="31" t="s">
        <v>123</v>
      </c>
      <c r="J10" s="31" t="s">
        <v>110</v>
      </c>
      <c r="K10" s="31" t="s">
        <v>849</v>
      </c>
      <c r="L10" s="31" t="s">
        <v>130</v>
      </c>
      <c r="M10" s="32" t="s">
        <v>131</v>
      </c>
      <c r="N10" s="33" t="s">
        <v>850</v>
      </c>
      <c r="O10" s="34" t="s">
        <v>851</v>
      </c>
    </row>
    <row r="11" ht="54.0" customHeight="1">
      <c r="A11" s="30" t="s">
        <v>862</v>
      </c>
      <c r="B11" s="31" t="s">
        <v>118</v>
      </c>
      <c r="C11" s="31" t="s">
        <v>10</v>
      </c>
      <c r="D11" s="31" t="s">
        <v>98</v>
      </c>
      <c r="E11" s="31" t="s">
        <v>119</v>
      </c>
      <c r="F11" s="31" t="s">
        <v>120</v>
      </c>
      <c r="G11" s="31" t="s">
        <v>863</v>
      </c>
      <c r="H11" s="31" t="s">
        <v>70</v>
      </c>
      <c r="I11" s="31" t="s">
        <v>123</v>
      </c>
      <c r="J11" s="31" t="s">
        <v>110</v>
      </c>
      <c r="K11" s="31" t="s">
        <v>849</v>
      </c>
      <c r="L11" s="31" t="s">
        <v>130</v>
      </c>
      <c r="M11" s="32" t="s">
        <v>131</v>
      </c>
      <c r="N11" s="33" t="s">
        <v>850</v>
      </c>
      <c r="O11" s="34" t="s">
        <v>851</v>
      </c>
    </row>
    <row r="12" ht="54.0" customHeight="1">
      <c r="A12" s="30" t="s">
        <v>864</v>
      </c>
      <c r="B12" s="31" t="s">
        <v>118</v>
      </c>
      <c r="C12" s="31" t="s">
        <v>10</v>
      </c>
      <c r="D12" s="31" t="s">
        <v>98</v>
      </c>
      <c r="E12" s="31" t="s">
        <v>119</v>
      </c>
      <c r="F12" s="31" t="s">
        <v>120</v>
      </c>
      <c r="G12" s="31" t="s">
        <v>865</v>
      </c>
      <c r="H12" s="31" t="s">
        <v>70</v>
      </c>
      <c r="I12" s="31" t="s">
        <v>123</v>
      </c>
      <c r="J12" s="31" t="s">
        <v>110</v>
      </c>
      <c r="K12" s="31" t="s">
        <v>849</v>
      </c>
      <c r="L12" s="31" t="s">
        <v>130</v>
      </c>
      <c r="M12" s="32" t="s">
        <v>131</v>
      </c>
      <c r="N12" s="33" t="s">
        <v>850</v>
      </c>
      <c r="O12" s="34" t="s">
        <v>851</v>
      </c>
    </row>
    <row r="13" ht="54.0" customHeight="1">
      <c r="A13" s="30" t="s">
        <v>866</v>
      </c>
      <c r="B13" s="31" t="s">
        <v>118</v>
      </c>
      <c r="C13" s="31" t="s">
        <v>10</v>
      </c>
      <c r="D13" s="31" t="s">
        <v>98</v>
      </c>
      <c r="E13" s="31" t="s">
        <v>119</v>
      </c>
      <c r="F13" s="31" t="s">
        <v>120</v>
      </c>
      <c r="G13" s="31" t="s">
        <v>867</v>
      </c>
      <c r="H13" s="31" t="s">
        <v>70</v>
      </c>
      <c r="I13" s="31" t="s">
        <v>123</v>
      </c>
      <c r="J13" s="31" t="s">
        <v>110</v>
      </c>
      <c r="K13" s="31" t="s">
        <v>849</v>
      </c>
      <c r="L13" s="31" t="s">
        <v>130</v>
      </c>
      <c r="M13" s="32" t="s">
        <v>131</v>
      </c>
      <c r="N13" s="33" t="s">
        <v>850</v>
      </c>
      <c r="O13" s="34" t="s">
        <v>851</v>
      </c>
    </row>
    <row r="14" ht="54.0" customHeight="1">
      <c r="A14" s="30" t="s">
        <v>868</v>
      </c>
      <c r="B14" s="31" t="s">
        <v>118</v>
      </c>
      <c r="C14" s="31" t="s">
        <v>10</v>
      </c>
      <c r="D14" s="31" t="s">
        <v>98</v>
      </c>
      <c r="E14" s="31" t="s">
        <v>119</v>
      </c>
      <c r="F14" s="31" t="s">
        <v>120</v>
      </c>
      <c r="G14" s="31" t="s">
        <v>869</v>
      </c>
      <c r="H14" s="31" t="s">
        <v>70</v>
      </c>
      <c r="I14" s="31" t="s">
        <v>123</v>
      </c>
      <c r="J14" s="31" t="s">
        <v>110</v>
      </c>
      <c r="K14" s="31" t="s">
        <v>849</v>
      </c>
      <c r="L14" s="31" t="s">
        <v>130</v>
      </c>
      <c r="M14" s="32" t="s">
        <v>131</v>
      </c>
      <c r="N14" s="33" t="s">
        <v>850</v>
      </c>
      <c r="O14" s="34" t="s">
        <v>851</v>
      </c>
    </row>
    <row r="15" ht="54.0" customHeight="1">
      <c r="A15" s="30" t="s">
        <v>870</v>
      </c>
      <c r="B15" s="31" t="s">
        <v>134</v>
      </c>
      <c r="C15" s="31" t="s">
        <v>10</v>
      </c>
      <c r="D15" s="31" t="s">
        <v>98</v>
      </c>
      <c r="E15" s="31" t="s">
        <v>119</v>
      </c>
      <c r="F15" s="31" t="s">
        <v>135</v>
      </c>
      <c r="G15" s="31" t="s">
        <v>871</v>
      </c>
      <c r="H15" s="31" t="s">
        <v>64</v>
      </c>
      <c r="I15" s="31" t="s">
        <v>103</v>
      </c>
      <c r="J15" s="31" t="s">
        <v>110</v>
      </c>
      <c r="K15" s="31" t="s">
        <v>849</v>
      </c>
      <c r="L15" s="31" t="s">
        <v>144</v>
      </c>
      <c r="M15" s="32" t="s">
        <v>145</v>
      </c>
      <c r="N15" s="33" t="s">
        <v>850</v>
      </c>
      <c r="O15" s="34" t="s">
        <v>851</v>
      </c>
    </row>
    <row r="16" ht="54.0" customHeight="1">
      <c r="A16" s="30" t="s">
        <v>872</v>
      </c>
      <c r="B16" s="31" t="s">
        <v>134</v>
      </c>
      <c r="C16" s="31" t="s">
        <v>10</v>
      </c>
      <c r="D16" s="31" t="s">
        <v>98</v>
      </c>
      <c r="E16" s="31" t="s">
        <v>119</v>
      </c>
      <c r="F16" s="31" t="s">
        <v>135</v>
      </c>
      <c r="G16" s="31" t="s">
        <v>873</v>
      </c>
      <c r="H16" s="31" t="s">
        <v>64</v>
      </c>
      <c r="I16" s="31" t="s">
        <v>103</v>
      </c>
      <c r="J16" s="31" t="s">
        <v>110</v>
      </c>
      <c r="K16" s="31" t="s">
        <v>849</v>
      </c>
      <c r="L16" s="31" t="s">
        <v>144</v>
      </c>
      <c r="M16" s="32" t="s">
        <v>145</v>
      </c>
      <c r="N16" s="33" t="s">
        <v>850</v>
      </c>
      <c r="O16" s="34" t="s">
        <v>851</v>
      </c>
    </row>
    <row r="17" ht="54.0" customHeight="1">
      <c r="A17" s="30" t="s">
        <v>874</v>
      </c>
      <c r="B17" s="31" t="s">
        <v>134</v>
      </c>
      <c r="C17" s="31" t="s">
        <v>10</v>
      </c>
      <c r="D17" s="31" t="s">
        <v>98</v>
      </c>
      <c r="E17" s="31" t="s">
        <v>119</v>
      </c>
      <c r="F17" s="31" t="s">
        <v>135</v>
      </c>
      <c r="G17" s="31" t="s">
        <v>875</v>
      </c>
      <c r="H17" s="31" t="s">
        <v>64</v>
      </c>
      <c r="I17" s="31" t="s">
        <v>103</v>
      </c>
      <c r="J17" s="31" t="s">
        <v>110</v>
      </c>
      <c r="K17" s="31" t="s">
        <v>849</v>
      </c>
      <c r="L17" s="31" t="s">
        <v>144</v>
      </c>
      <c r="M17" s="32" t="s">
        <v>145</v>
      </c>
      <c r="N17" s="33" t="s">
        <v>850</v>
      </c>
      <c r="O17" s="34" t="s">
        <v>851</v>
      </c>
    </row>
    <row r="18" ht="54.0" customHeight="1">
      <c r="A18" s="30" t="s">
        <v>876</v>
      </c>
      <c r="B18" s="31" t="s">
        <v>134</v>
      </c>
      <c r="C18" s="31" t="s">
        <v>10</v>
      </c>
      <c r="D18" s="31" t="s">
        <v>98</v>
      </c>
      <c r="E18" s="31" t="s">
        <v>119</v>
      </c>
      <c r="F18" s="31" t="s">
        <v>135</v>
      </c>
      <c r="G18" s="31" t="s">
        <v>877</v>
      </c>
      <c r="H18" s="31" t="s">
        <v>64</v>
      </c>
      <c r="I18" s="31" t="s">
        <v>103</v>
      </c>
      <c r="J18" s="31" t="s">
        <v>110</v>
      </c>
      <c r="K18" s="31" t="s">
        <v>849</v>
      </c>
      <c r="L18" s="31" t="s">
        <v>144</v>
      </c>
      <c r="M18" s="32" t="s">
        <v>145</v>
      </c>
      <c r="N18" s="33" t="s">
        <v>850</v>
      </c>
      <c r="O18" s="34" t="s">
        <v>851</v>
      </c>
    </row>
    <row r="19" ht="54.0" customHeight="1">
      <c r="A19" s="30" t="s">
        <v>878</v>
      </c>
      <c r="B19" s="31" t="s">
        <v>134</v>
      </c>
      <c r="C19" s="31" t="s">
        <v>10</v>
      </c>
      <c r="D19" s="31" t="s">
        <v>98</v>
      </c>
      <c r="E19" s="31" t="s">
        <v>119</v>
      </c>
      <c r="F19" s="31" t="s">
        <v>135</v>
      </c>
      <c r="G19" s="31" t="s">
        <v>879</v>
      </c>
      <c r="H19" s="31" t="s">
        <v>64</v>
      </c>
      <c r="I19" s="31" t="s">
        <v>103</v>
      </c>
      <c r="J19" s="31" t="s">
        <v>110</v>
      </c>
      <c r="K19" s="31" t="s">
        <v>849</v>
      </c>
      <c r="L19" s="31" t="s">
        <v>144</v>
      </c>
      <c r="M19" s="32" t="s">
        <v>145</v>
      </c>
      <c r="N19" s="33" t="s">
        <v>850</v>
      </c>
      <c r="O19" s="34" t="s">
        <v>851</v>
      </c>
    </row>
    <row r="20" ht="54.0" customHeight="1">
      <c r="A20" s="30" t="s">
        <v>880</v>
      </c>
      <c r="B20" s="31" t="s">
        <v>146</v>
      </c>
      <c r="C20" s="31" t="s">
        <v>10</v>
      </c>
      <c r="D20" s="31" t="s">
        <v>98</v>
      </c>
      <c r="E20" s="31" t="s">
        <v>147</v>
      </c>
      <c r="F20" s="31" t="s">
        <v>148</v>
      </c>
      <c r="G20" s="31" t="s">
        <v>881</v>
      </c>
      <c r="H20" s="31" t="s">
        <v>56</v>
      </c>
      <c r="I20" s="31" t="s">
        <v>151</v>
      </c>
      <c r="J20" s="31" t="s">
        <v>110</v>
      </c>
      <c r="K20" s="31" t="s">
        <v>849</v>
      </c>
      <c r="L20" s="31" t="s">
        <v>158</v>
      </c>
      <c r="M20" s="32" t="s">
        <v>159</v>
      </c>
      <c r="N20" s="33" t="s">
        <v>850</v>
      </c>
      <c r="O20" s="34" t="s">
        <v>851</v>
      </c>
    </row>
    <row r="21" ht="54.0" customHeight="1">
      <c r="A21" s="30" t="s">
        <v>882</v>
      </c>
      <c r="B21" s="31" t="s">
        <v>146</v>
      </c>
      <c r="C21" s="31" t="s">
        <v>10</v>
      </c>
      <c r="D21" s="31" t="s">
        <v>98</v>
      </c>
      <c r="E21" s="31" t="s">
        <v>147</v>
      </c>
      <c r="F21" s="31" t="s">
        <v>148</v>
      </c>
      <c r="G21" s="31" t="s">
        <v>883</v>
      </c>
      <c r="H21" s="31" t="s">
        <v>56</v>
      </c>
      <c r="I21" s="31" t="s">
        <v>151</v>
      </c>
      <c r="J21" s="31" t="s">
        <v>110</v>
      </c>
      <c r="K21" s="31" t="s">
        <v>849</v>
      </c>
      <c r="L21" s="31" t="s">
        <v>158</v>
      </c>
      <c r="M21" s="32" t="s">
        <v>159</v>
      </c>
      <c r="N21" s="33" t="s">
        <v>850</v>
      </c>
      <c r="O21" s="34" t="s">
        <v>851</v>
      </c>
    </row>
    <row r="22" ht="54.0" customHeight="1">
      <c r="A22" s="30" t="s">
        <v>884</v>
      </c>
      <c r="B22" s="31" t="s">
        <v>146</v>
      </c>
      <c r="C22" s="31" t="s">
        <v>10</v>
      </c>
      <c r="D22" s="31" t="s">
        <v>98</v>
      </c>
      <c r="E22" s="31" t="s">
        <v>147</v>
      </c>
      <c r="F22" s="31" t="s">
        <v>148</v>
      </c>
      <c r="G22" s="31" t="s">
        <v>885</v>
      </c>
      <c r="H22" s="31" t="s">
        <v>56</v>
      </c>
      <c r="I22" s="31" t="s">
        <v>151</v>
      </c>
      <c r="J22" s="31" t="s">
        <v>110</v>
      </c>
      <c r="K22" s="31" t="s">
        <v>849</v>
      </c>
      <c r="L22" s="31" t="s">
        <v>158</v>
      </c>
      <c r="M22" s="32" t="s">
        <v>159</v>
      </c>
      <c r="N22" s="33" t="s">
        <v>850</v>
      </c>
      <c r="O22" s="34" t="s">
        <v>851</v>
      </c>
    </row>
    <row r="23" ht="54.0" customHeight="1">
      <c r="A23" s="30" t="s">
        <v>886</v>
      </c>
      <c r="B23" s="31" t="s">
        <v>146</v>
      </c>
      <c r="C23" s="31" t="s">
        <v>10</v>
      </c>
      <c r="D23" s="31" t="s">
        <v>98</v>
      </c>
      <c r="E23" s="31" t="s">
        <v>147</v>
      </c>
      <c r="F23" s="31" t="s">
        <v>148</v>
      </c>
      <c r="G23" s="31" t="s">
        <v>887</v>
      </c>
      <c r="H23" s="31" t="s">
        <v>56</v>
      </c>
      <c r="I23" s="31" t="s">
        <v>151</v>
      </c>
      <c r="J23" s="31" t="s">
        <v>110</v>
      </c>
      <c r="K23" s="31" t="s">
        <v>849</v>
      </c>
      <c r="L23" s="31" t="s">
        <v>158</v>
      </c>
      <c r="M23" s="32" t="s">
        <v>159</v>
      </c>
      <c r="N23" s="33" t="s">
        <v>850</v>
      </c>
      <c r="O23" s="34" t="s">
        <v>851</v>
      </c>
    </row>
    <row r="24" ht="54.0" customHeight="1">
      <c r="A24" s="30" t="s">
        <v>888</v>
      </c>
      <c r="B24" s="31" t="s">
        <v>146</v>
      </c>
      <c r="C24" s="31" t="s">
        <v>10</v>
      </c>
      <c r="D24" s="31" t="s">
        <v>98</v>
      </c>
      <c r="E24" s="31" t="s">
        <v>147</v>
      </c>
      <c r="F24" s="31" t="s">
        <v>148</v>
      </c>
      <c r="G24" s="31" t="s">
        <v>889</v>
      </c>
      <c r="H24" s="31" t="s">
        <v>56</v>
      </c>
      <c r="I24" s="31" t="s">
        <v>151</v>
      </c>
      <c r="J24" s="31" t="s">
        <v>110</v>
      </c>
      <c r="K24" s="31" t="s">
        <v>849</v>
      </c>
      <c r="L24" s="31" t="s">
        <v>158</v>
      </c>
      <c r="M24" s="32" t="s">
        <v>159</v>
      </c>
      <c r="N24" s="33" t="s">
        <v>850</v>
      </c>
      <c r="O24" s="34" t="s">
        <v>851</v>
      </c>
    </row>
    <row r="25" ht="54.0" customHeight="1">
      <c r="A25" s="30" t="s">
        <v>890</v>
      </c>
      <c r="B25" s="31" t="s">
        <v>160</v>
      </c>
      <c r="C25" s="31" t="s">
        <v>10</v>
      </c>
      <c r="D25" s="31" t="s">
        <v>98</v>
      </c>
      <c r="E25" s="31" t="s">
        <v>161</v>
      </c>
      <c r="F25" s="31" t="s">
        <v>162</v>
      </c>
      <c r="G25" s="31" t="s">
        <v>891</v>
      </c>
      <c r="H25" s="31" t="s">
        <v>64</v>
      </c>
      <c r="I25" s="31" t="s">
        <v>123</v>
      </c>
      <c r="J25" s="31" t="s">
        <v>110</v>
      </c>
      <c r="K25" s="31" t="s">
        <v>849</v>
      </c>
      <c r="L25" s="31" t="s">
        <v>158</v>
      </c>
      <c r="M25" s="32" t="s">
        <v>170</v>
      </c>
      <c r="N25" s="33" t="s">
        <v>850</v>
      </c>
      <c r="O25" s="34" t="s">
        <v>851</v>
      </c>
    </row>
    <row r="26" ht="54.0" customHeight="1">
      <c r="A26" s="30" t="s">
        <v>892</v>
      </c>
      <c r="B26" s="31" t="s">
        <v>160</v>
      </c>
      <c r="C26" s="31" t="s">
        <v>10</v>
      </c>
      <c r="D26" s="31" t="s">
        <v>98</v>
      </c>
      <c r="E26" s="31" t="s">
        <v>161</v>
      </c>
      <c r="F26" s="31" t="s">
        <v>162</v>
      </c>
      <c r="G26" s="31" t="s">
        <v>893</v>
      </c>
      <c r="H26" s="31" t="s">
        <v>64</v>
      </c>
      <c r="I26" s="31" t="s">
        <v>123</v>
      </c>
      <c r="J26" s="31" t="s">
        <v>110</v>
      </c>
      <c r="K26" s="31" t="s">
        <v>849</v>
      </c>
      <c r="L26" s="31" t="s">
        <v>158</v>
      </c>
      <c r="M26" s="32" t="s">
        <v>170</v>
      </c>
      <c r="N26" s="33" t="s">
        <v>850</v>
      </c>
      <c r="O26" s="34" t="s">
        <v>851</v>
      </c>
    </row>
    <row r="27" ht="54.0" customHeight="1">
      <c r="A27" s="30" t="s">
        <v>894</v>
      </c>
      <c r="B27" s="31" t="s">
        <v>160</v>
      </c>
      <c r="C27" s="31" t="s">
        <v>10</v>
      </c>
      <c r="D27" s="31" t="s">
        <v>98</v>
      </c>
      <c r="E27" s="31" t="s">
        <v>161</v>
      </c>
      <c r="F27" s="31" t="s">
        <v>162</v>
      </c>
      <c r="G27" s="31" t="s">
        <v>895</v>
      </c>
      <c r="H27" s="31" t="s">
        <v>64</v>
      </c>
      <c r="I27" s="31" t="s">
        <v>123</v>
      </c>
      <c r="J27" s="31" t="s">
        <v>110</v>
      </c>
      <c r="K27" s="31" t="s">
        <v>849</v>
      </c>
      <c r="L27" s="31" t="s">
        <v>158</v>
      </c>
      <c r="M27" s="32" t="s">
        <v>170</v>
      </c>
      <c r="N27" s="33" t="s">
        <v>850</v>
      </c>
      <c r="O27" s="34" t="s">
        <v>851</v>
      </c>
    </row>
    <row r="28" ht="54.0" customHeight="1">
      <c r="A28" s="30" t="s">
        <v>896</v>
      </c>
      <c r="B28" s="31" t="s">
        <v>160</v>
      </c>
      <c r="C28" s="31" t="s">
        <v>10</v>
      </c>
      <c r="D28" s="31" t="s">
        <v>98</v>
      </c>
      <c r="E28" s="31" t="s">
        <v>161</v>
      </c>
      <c r="F28" s="31" t="s">
        <v>162</v>
      </c>
      <c r="G28" s="31" t="s">
        <v>897</v>
      </c>
      <c r="H28" s="31" t="s">
        <v>64</v>
      </c>
      <c r="I28" s="31" t="s">
        <v>123</v>
      </c>
      <c r="J28" s="31" t="s">
        <v>110</v>
      </c>
      <c r="K28" s="31" t="s">
        <v>849</v>
      </c>
      <c r="L28" s="31" t="s">
        <v>158</v>
      </c>
      <c r="M28" s="32" t="s">
        <v>170</v>
      </c>
      <c r="N28" s="33" t="s">
        <v>850</v>
      </c>
      <c r="O28" s="34" t="s">
        <v>851</v>
      </c>
    </row>
    <row r="29" ht="54.0" customHeight="1">
      <c r="A29" s="30" t="s">
        <v>898</v>
      </c>
      <c r="B29" s="31" t="s">
        <v>160</v>
      </c>
      <c r="C29" s="31" t="s">
        <v>10</v>
      </c>
      <c r="D29" s="31" t="s">
        <v>98</v>
      </c>
      <c r="E29" s="31" t="s">
        <v>161</v>
      </c>
      <c r="F29" s="31" t="s">
        <v>162</v>
      </c>
      <c r="G29" s="31" t="s">
        <v>899</v>
      </c>
      <c r="H29" s="31" t="s">
        <v>64</v>
      </c>
      <c r="I29" s="31" t="s">
        <v>123</v>
      </c>
      <c r="J29" s="31" t="s">
        <v>110</v>
      </c>
      <c r="K29" s="31" t="s">
        <v>849</v>
      </c>
      <c r="L29" s="31" t="s">
        <v>158</v>
      </c>
      <c r="M29" s="32" t="s">
        <v>170</v>
      </c>
      <c r="N29" s="33" t="s">
        <v>850</v>
      </c>
      <c r="O29" s="34" t="s">
        <v>851</v>
      </c>
    </row>
    <row r="30" ht="54.0" customHeight="1">
      <c r="A30" s="30" t="s">
        <v>900</v>
      </c>
      <c r="B30" s="31" t="s">
        <v>171</v>
      </c>
      <c r="C30" s="31" t="s">
        <v>10</v>
      </c>
      <c r="D30" s="31" t="s">
        <v>98</v>
      </c>
      <c r="E30" s="31" t="s">
        <v>172</v>
      </c>
      <c r="F30" s="31" t="s">
        <v>173</v>
      </c>
      <c r="G30" s="31" t="s">
        <v>901</v>
      </c>
      <c r="H30" s="31" t="s">
        <v>60</v>
      </c>
      <c r="I30" s="31" t="s">
        <v>176</v>
      </c>
      <c r="J30" s="31" t="s">
        <v>110</v>
      </c>
      <c r="K30" s="31" t="s">
        <v>849</v>
      </c>
      <c r="L30" s="31" t="s">
        <v>182</v>
      </c>
      <c r="M30" s="32" t="s">
        <v>183</v>
      </c>
      <c r="N30" s="33" t="s">
        <v>850</v>
      </c>
      <c r="O30" s="34" t="s">
        <v>851</v>
      </c>
    </row>
    <row r="31" ht="54.0" customHeight="1">
      <c r="A31" s="30" t="s">
        <v>902</v>
      </c>
      <c r="B31" s="31" t="s">
        <v>171</v>
      </c>
      <c r="C31" s="31" t="s">
        <v>10</v>
      </c>
      <c r="D31" s="31" t="s">
        <v>98</v>
      </c>
      <c r="E31" s="31" t="s">
        <v>172</v>
      </c>
      <c r="F31" s="31" t="s">
        <v>173</v>
      </c>
      <c r="G31" s="31" t="s">
        <v>903</v>
      </c>
      <c r="H31" s="31" t="s">
        <v>60</v>
      </c>
      <c r="I31" s="31" t="s">
        <v>176</v>
      </c>
      <c r="J31" s="31" t="s">
        <v>110</v>
      </c>
      <c r="K31" s="31" t="s">
        <v>849</v>
      </c>
      <c r="L31" s="31" t="s">
        <v>182</v>
      </c>
      <c r="M31" s="32" t="s">
        <v>183</v>
      </c>
      <c r="N31" s="33" t="s">
        <v>850</v>
      </c>
      <c r="O31" s="34" t="s">
        <v>851</v>
      </c>
    </row>
    <row r="32" ht="54.0" customHeight="1">
      <c r="A32" s="30" t="s">
        <v>904</v>
      </c>
      <c r="B32" s="31" t="s">
        <v>171</v>
      </c>
      <c r="C32" s="31" t="s">
        <v>10</v>
      </c>
      <c r="D32" s="31" t="s">
        <v>98</v>
      </c>
      <c r="E32" s="31" t="s">
        <v>172</v>
      </c>
      <c r="F32" s="31" t="s">
        <v>173</v>
      </c>
      <c r="G32" s="31" t="s">
        <v>905</v>
      </c>
      <c r="H32" s="31" t="s">
        <v>60</v>
      </c>
      <c r="I32" s="31" t="s">
        <v>176</v>
      </c>
      <c r="J32" s="31" t="s">
        <v>110</v>
      </c>
      <c r="K32" s="31" t="s">
        <v>849</v>
      </c>
      <c r="L32" s="31" t="s">
        <v>182</v>
      </c>
      <c r="M32" s="32" t="s">
        <v>183</v>
      </c>
      <c r="N32" s="33" t="s">
        <v>850</v>
      </c>
      <c r="O32" s="34" t="s">
        <v>851</v>
      </c>
    </row>
    <row r="33" ht="54.0" customHeight="1">
      <c r="A33" s="30" t="s">
        <v>906</v>
      </c>
      <c r="B33" s="31" t="s">
        <v>171</v>
      </c>
      <c r="C33" s="31" t="s">
        <v>10</v>
      </c>
      <c r="D33" s="31" t="s">
        <v>98</v>
      </c>
      <c r="E33" s="31" t="s">
        <v>172</v>
      </c>
      <c r="F33" s="31" t="s">
        <v>173</v>
      </c>
      <c r="G33" s="31" t="s">
        <v>907</v>
      </c>
      <c r="H33" s="31" t="s">
        <v>60</v>
      </c>
      <c r="I33" s="31" t="s">
        <v>176</v>
      </c>
      <c r="J33" s="31" t="s">
        <v>110</v>
      </c>
      <c r="K33" s="31" t="s">
        <v>849</v>
      </c>
      <c r="L33" s="31" t="s">
        <v>182</v>
      </c>
      <c r="M33" s="32" t="s">
        <v>183</v>
      </c>
      <c r="N33" s="33" t="s">
        <v>850</v>
      </c>
      <c r="O33" s="34" t="s">
        <v>851</v>
      </c>
    </row>
    <row r="34" ht="54.0" customHeight="1">
      <c r="A34" s="30" t="s">
        <v>908</v>
      </c>
      <c r="B34" s="31" t="s">
        <v>171</v>
      </c>
      <c r="C34" s="31" t="s">
        <v>10</v>
      </c>
      <c r="D34" s="31" t="s">
        <v>98</v>
      </c>
      <c r="E34" s="31" t="s">
        <v>172</v>
      </c>
      <c r="F34" s="31" t="s">
        <v>173</v>
      </c>
      <c r="G34" s="31" t="s">
        <v>909</v>
      </c>
      <c r="H34" s="31" t="s">
        <v>60</v>
      </c>
      <c r="I34" s="31" t="s">
        <v>176</v>
      </c>
      <c r="J34" s="31" t="s">
        <v>110</v>
      </c>
      <c r="K34" s="31" t="s">
        <v>849</v>
      </c>
      <c r="L34" s="31" t="s">
        <v>182</v>
      </c>
      <c r="M34" s="32" t="s">
        <v>183</v>
      </c>
      <c r="N34" s="33" t="s">
        <v>850</v>
      </c>
      <c r="O34" s="34" t="s">
        <v>851</v>
      </c>
    </row>
    <row r="35" ht="54.0" customHeight="1">
      <c r="A35" s="30" t="s">
        <v>910</v>
      </c>
      <c r="B35" s="31" t="s">
        <v>184</v>
      </c>
      <c r="C35" s="31" t="s">
        <v>10</v>
      </c>
      <c r="D35" s="31" t="s">
        <v>98</v>
      </c>
      <c r="E35" s="31" t="s">
        <v>185</v>
      </c>
      <c r="F35" s="31" t="s">
        <v>186</v>
      </c>
      <c r="G35" s="31" t="s">
        <v>911</v>
      </c>
      <c r="H35" s="31" t="s">
        <v>68</v>
      </c>
      <c r="I35" s="31" t="s">
        <v>176</v>
      </c>
      <c r="J35" s="31" t="s">
        <v>110</v>
      </c>
      <c r="K35" s="31" t="s">
        <v>849</v>
      </c>
      <c r="L35" s="31" t="s">
        <v>182</v>
      </c>
      <c r="M35" s="32" t="s">
        <v>194</v>
      </c>
      <c r="N35" s="33" t="s">
        <v>850</v>
      </c>
      <c r="O35" s="34" t="s">
        <v>851</v>
      </c>
    </row>
    <row r="36" ht="54.0" customHeight="1">
      <c r="A36" s="30" t="s">
        <v>912</v>
      </c>
      <c r="B36" s="31" t="s">
        <v>184</v>
      </c>
      <c r="C36" s="31" t="s">
        <v>10</v>
      </c>
      <c r="D36" s="31" t="s">
        <v>98</v>
      </c>
      <c r="E36" s="31" t="s">
        <v>185</v>
      </c>
      <c r="F36" s="31" t="s">
        <v>186</v>
      </c>
      <c r="G36" s="31" t="s">
        <v>913</v>
      </c>
      <c r="H36" s="31" t="s">
        <v>68</v>
      </c>
      <c r="I36" s="31" t="s">
        <v>176</v>
      </c>
      <c r="J36" s="31" t="s">
        <v>110</v>
      </c>
      <c r="K36" s="31" t="s">
        <v>849</v>
      </c>
      <c r="L36" s="31" t="s">
        <v>182</v>
      </c>
      <c r="M36" s="32" t="s">
        <v>194</v>
      </c>
      <c r="N36" s="33" t="s">
        <v>850</v>
      </c>
      <c r="O36" s="34" t="s">
        <v>851</v>
      </c>
    </row>
    <row r="37" ht="54.0" customHeight="1">
      <c r="A37" s="30" t="s">
        <v>914</v>
      </c>
      <c r="B37" s="31" t="s">
        <v>184</v>
      </c>
      <c r="C37" s="31" t="s">
        <v>10</v>
      </c>
      <c r="D37" s="31" t="s">
        <v>98</v>
      </c>
      <c r="E37" s="31" t="s">
        <v>185</v>
      </c>
      <c r="F37" s="31" t="s">
        <v>186</v>
      </c>
      <c r="G37" s="31" t="s">
        <v>915</v>
      </c>
      <c r="H37" s="31" t="s">
        <v>68</v>
      </c>
      <c r="I37" s="31" t="s">
        <v>176</v>
      </c>
      <c r="J37" s="31" t="s">
        <v>110</v>
      </c>
      <c r="K37" s="31" t="s">
        <v>849</v>
      </c>
      <c r="L37" s="31" t="s">
        <v>182</v>
      </c>
      <c r="M37" s="32" t="s">
        <v>194</v>
      </c>
      <c r="N37" s="33" t="s">
        <v>850</v>
      </c>
      <c r="O37" s="34" t="s">
        <v>851</v>
      </c>
    </row>
    <row r="38" ht="54.0" customHeight="1">
      <c r="A38" s="30" t="s">
        <v>916</v>
      </c>
      <c r="B38" s="31" t="s">
        <v>184</v>
      </c>
      <c r="C38" s="31" t="s">
        <v>10</v>
      </c>
      <c r="D38" s="31" t="s">
        <v>98</v>
      </c>
      <c r="E38" s="31" t="s">
        <v>185</v>
      </c>
      <c r="F38" s="31" t="s">
        <v>186</v>
      </c>
      <c r="G38" s="31" t="s">
        <v>917</v>
      </c>
      <c r="H38" s="31" t="s">
        <v>68</v>
      </c>
      <c r="I38" s="31" t="s">
        <v>176</v>
      </c>
      <c r="J38" s="31" t="s">
        <v>110</v>
      </c>
      <c r="K38" s="31" t="s">
        <v>849</v>
      </c>
      <c r="L38" s="31" t="s">
        <v>182</v>
      </c>
      <c r="M38" s="32" t="s">
        <v>194</v>
      </c>
      <c r="N38" s="33" t="s">
        <v>850</v>
      </c>
      <c r="O38" s="34" t="s">
        <v>851</v>
      </c>
    </row>
    <row r="39" ht="54.0" customHeight="1">
      <c r="A39" s="30" t="s">
        <v>918</v>
      </c>
      <c r="B39" s="31" t="s">
        <v>184</v>
      </c>
      <c r="C39" s="31" t="s">
        <v>10</v>
      </c>
      <c r="D39" s="31" t="s">
        <v>98</v>
      </c>
      <c r="E39" s="31" t="s">
        <v>185</v>
      </c>
      <c r="F39" s="31" t="s">
        <v>186</v>
      </c>
      <c r="G39" s="31" t="s">
        <v>919</v>
      </c>
      <c r="H39" s="31" t="s">
        <v>68</v>
      </c>
      <c r="I39" s="31" t="s">
        <v>176</v>
      </c>
      <c r="J39" s="31" t="s">
        <v>110</v>
      </c>
      <c r="K39" s="31" t="s">
        <v>849</v>
      </c>
      <c r="L39" s="31" t="s">
        <v>182</v>
      </c>
      <c r="M39" s="32" t="s">
        <v>194</v>
      </c>
      <c r="N39" s="33" t="s">
        <v>850</v>
      </c>
      <c r="O39" s="34" t="s">
        <v>851</v>
      </c>
    </row>
    <row r="40" ht="54.0" customHeight="1">
      <c r="A40" s="30" t="s">
        <v>920</v>
      </c>
      <c r="B40" s="31" t="s">
        <v>195</v>
      </c>
      <c r="C40" s="31" t="s">
        <v>10</v>
      </c>
      <c r="D40" s="31" t="s">
        <v>98</v>
      </c>
      <c r="E40" s="31" t="s">
        <v>196</v>
      </c>
      <c r="F40" s="31" t="s">
        <v>197</v>
      </c>
      <c r="G40" s="31" t="s">
        <v>921</v>
      </c>
      <c r="H40" s="31" t="s">
        <v>56</v>
      </c>
      <c r="I40" s="31" t="s">
        <v>200</v>
      </c>
      <c r="J40" s="31" t="s">
        <v>110</v>
      </c>
      <c r="K40" s="31" t="s">
        <v>849</v>
      </c>
      <c r="L40" s="31" t="s">
        <v>206</v>
      </c>
      <c r="M40" s="32" t="s">
        <v>207</v>
      </c>
      <c r="N40" s="33" t="s">
        <v>850</v>
      </c>
      <c r="O40" s="34" t="s">
        <v>851</v>
      </c>
    </row>
    <row r="41" ht="54.0" customHeight="1">
      <c r="A41" s="30" t="s">
        <v>922</v>
      </c>
      <c r="B41" s="31" t="s">
        <v>195</v>
      </c>
      <c r="C41" s="31" t="s">
        <v>10</v>
      </c>
      <c r="D41" s="31" t="s">
        <v>98</v>
      </c>
      <c r="E41" s="31" t="s">
        <v>196</v>
      </c>
      <c r="F41" s="31" t="s">
        <v>197</v>
      </c>
      <c r="G41" s="31" t="s">
        <v>923</v>
      </c>
      <c r="H41" s="31" t="s">
        <v>56</v>
      </c>
      <c r="I41" s="31" t="s">
        <v>200</v>
      </c>
      <c r="J41" s="31" t="s">
        <v>110</v>
      </c>
      <c r="K41" s="31" t="s">
        <v>849</v>
      </c>
      <c r="L41" s="31" t="s">
        <v>206</v>
      </c>
      <c r="M41" s="32" t="s">
        <v>207</v>
      </c>
      <c r="N41" s="33" t="s">
        <v>850</v>
      </c>
      <c r="O41" s="34" t="s">
        <v>851</v>
      </c>
    </row>
    <row r="42" ht="54.0" customHeight="1">
      <c r="A42" s="30" t="s">
        <v>924</v>
      </c>
      <c r="B42" s="31" t="s">
        <v>195</v>
      </c>
      <c r="C42" s="31" t="s">
        <v>10</v>
      </c>
      <c r="D42" s="31" t="s">
        <v>98</v>
      </c>
      <c r="E42" s="31" t="s">
        <v>196</v>
      </c>
      <c r="F42" s="31" t="s">
        <v>197</v>
      </c>
      <c r="G42" s="31" t="s">
        <v>867</v>
      </c>
      <c r="H42" s="31" t="s">
        <v>56</v>
      </c>
      <c r="I42" s="31" t="s">
        <v>200</v>
      </c>
      <c r="J42" s="31" t="s">
        <v>110</v>
      </c>
      <c r="K42" s="31" t="s">
        <v>849</v>
      </c>
      <c r="L42" s="31" t="s">
        <v>206</v>
      </c>
      <c r="M42" s="32" t="s">
        <v>207</v>
      </c>
      <c r="N42" s="33" t="s">
        <v>850</v>
      </c>
      <c r="O42" s="34" t="s">
        <v>851</v>
      </c>
    </row>
    <row r="43" ht="54.0" customHeight="1">
      <c r="A43" s="30" t="s">
        <v>925</v>
      </c>
      <c r="B43" s="31" t="s">
        <v>195</v>
      </c>
      <c r="C43" s="31" t="s">
        <v>10</v>
      </c>
      <c r="D43" s="31" t="s">
        <v>98</v>
      </c>
      <c r="E43" s="31" t="s">
        <v>196</v>
      </c>
      <c r="F43" s="31" t="s">
        <v>197</v>
      </c>
      <c r="G43" s="31" t="s">
        <v>926</v>
      </c>
      <c r="H43" s="31" t="s">
        <v>56</v>
      </c>
      <c r="I43" s="31" t="s">
        <v>200</v>
      </c>
      <c r="J43" s="31" t="s">
        <v>110</v>
      </c>
      <c r="K43" s="31" t="s">
        <v>849</v>
      </c>
      <c r="L43" s="31" t="s">
        <v>206</v>
      </c>
      <c r="M43" s="32" t="s">
        <v>207</v>
      </c>
      <c r="N43" s="33" t="s">
        <v>850</v>
      </c>
      <c r="O43" s="34" t="s">
        <v>851</v>
      </c>
    </row>
    <row r="44" ht="54.0" customHeight="1">
      <c r="A44" s="30" t="s">
        <v>927</v>
      </c>
      <c r="B44" s="31" t="s">
        <v>195</v>
      </c>
      <c r="C44" s="31" t="s">
        <v>10</v>
      </c>
      <c r="D44" s="31" t="s">
        <v>98</v>
      </c>
      <c r="E44" s="31" t="s">
        <v>196</v>
      </c>
      <c r="F44" s="31" t="s">
        <v>197</v>
      </c>
      <c r="G44" s="31" t="s">
        <v>928</v>
      </c>
      <c r="H44" s="31" t="s">
        <v>56</v>
      </c>
      <c r="I44" s="31" t="s">
        <v>200</v>
      </c>
      <c r="J44" s="31" t="s">
        <v>110</v>
      </c>
      <c r="K44" s="31" t="s">
        <v>849</v>
      </c>
      <c r="L44" s="31" t="s">
        <v>206</v>
      </c>
      <c r="M44" s="32" t="s">
        <v>207</v>
      </c>
      <c r="N44" s="33" t="s">
        <v>850</v>
      </c>
      <c r="O44" s="34" t="s">
        <v>851</v>
      </c>
    </row>
    <row r="45" ht="54.0" customHeight="1">
      <c r="A45" s="30" t="s">
        <v>929</v>
      </c>
      <c r="B45" s="31" t="s">
        <v>195</v>
      </c>
      <c r="C45" s="31" t="s">
        <v>10</v>
      </c>
      <c r="D45" s="31" t="s">
        <v>98</v>
      </c>
      <c r="E45" s="31" t="s">
        <v>196</v>
      </c>
      <c r="F45" s="31" t="s">
        <v>197</v>
      </c>
      <c r="G45" s="31" t="s">
        <v>930</v>
      </c>
      <c r="H45" s="31" t="s">
        <v>56</v>
      </c>
      <c r="I45" s="31" t="s">
        <v>200</v>
      </c>
      <c r="J45" s="31" t="s">
        <v>110</v>
      </c>
      <c r="K45" s="31" t="s">
        <v>849</v>
      </c>
      <c r="L45" s="31" t="s">
        <v>206</v>
      </c>
      <c r="M45" s="32" t="s">
        <v>207</v>
      </c>
      <c r="N45" s="33" t="s">
        <v>850</v>
      </c>
      <c r="O45" s="34" t="s">
        <v>851</v>
      </c>
    </row>
    <row r="46" ht="54.0" customHeight="1">
      <c r="A46" s="30" t="s">
        <v>931</v>
      </c>
      <c r="B46" s="31" t="s">
        <v>208</v>
      </c>
      <c r="C46" s="31" t="s">
        <v>10</v>
      </c>
      <c r="D46" s="31" t="s">
        <v>209</v>
      </c>
      <c r="E46" s="31" t="s">
        <v>119</v>
      </c>
      <c r="F46" s="31" t="s">
        <v>210</v>
      </c>
      <c r="G46" s="31" t="s">
        <v>932</v>
      </c>
      <c r="H46" s="31" t="s">
        <v>56</v>
      </c>
      <c r="I46" s="31" t="s">
        <v>213</v>
      </c>
      <c r="J46" s="31" t="s">
        <v>110</v>
      </c>
      <c r="K46" s="31" t="s">
        <v>849</v>
      </c>
      <c r="L46" s="31" t="s">
        <v>219</v>
      </c>
      <c r="M46" s="32" t="s">
        <v>220</v>
      </c>
      <c r="N46" s="33" t="s">
        <v>850</v>
      </c>
      <c r="O46" s="34" t="s">
        <v>851</v>
      </c>
    </row>
    <row r="47" ht="54.0" customHeight="1">
      <c r="A47" s="30" t="s">
        <v>933</v>
      </c>
      <c r="B47" s="31" t="s">
        <v>208</v>
      </c>
      <c r="C47" s="31" t="s">
        <v>10</v>
      </c>
      <c r="D47" s="31" t="s">
        <v>209</v>
      </c>
      <c r="E47" s="31" t="s">
        <v>119</v>
      </c>
      <c r="F47" s="31" t="s">
        <v>210</v>
      </c>
      <c r="G47" s="31" t="s">
        <v>934</v>
      </c>
      <c r="H47" s="31" t="s">
        <v>56</v>
      </c>
      <c r="I47" s="31" t="s">
        <v>213</v>
      </c>
      <c r="J47" s="31" t="s">
        <v>110</v>
      </c>
      <c r="K47" s="31" t="s">
        <v>849</v>
      </c>
      <c r="L47" s="31" t="s">
        <v>219</v>
      </c>
      <c r="M47" s="32" t="s">
        <v>220</v>
      </c>
      <c r="N47" s="33" t="s">
        <v>850</v>
      </c>
      <c r="O47" s="34" t="s">
        <v>851</v>
      </c>
    </row>
    <row r="48" ht="54.0" customHeight="1">
      <c r="A48" s="30" t="s">
        <v>935</v>
      </c>
      <c r="B48" s="31" t="s">
        <v>208</v>
      </c>
      <c r="C48" s="31" t="s">
        <v>10</v>
      </c>
      <c r="D48" s="31" t="s">
        <v>209</v>
      </c>
      <c r="E48" s="31" t="s">
        <v>119</v>
      </c>
      <c r="F48" s="31" t="s">
        <v>210</v>
      </c>
      <c r="G48" s="31" t="s">
        <v>936</v>
      </c>
      <c r="H48" s="31" t="s">
        <v>56</v>
      </c>
      <c r="I48" s="31" t="s">
        <v>213</v>
      </c>
      <c r="J48" s="31" t="s">
        <v>110</v>
      </c>
      <c r="K48" s="31" t="s">
        <v>849</v>
      </c>
      <c r="L48" s="31" t="s">
        <v>219</v>
      </c>
      <c r="M48" s="32" t="s">
        <v>220</v>
      </c>
      <c r="N48" s="33" t="s">
        <v>850</v>
      </c>
      <c r="O48" s="34" t="s">
        <v>851</v>
      </c>
    </row>
    <row r="49" ht="54.0" customHeight="1">
      <c r="A49" s="30" t="s">
        <v>937</v>
      </c>
      <c r="B49" s="31" t="s">
        <v>208</v>
      </c>
      <c r="C49" s="31" t="s">
        <v>10</v>
      </c>
      <c r="D49" s="31" t="s">
        <v>209</v>
      </c>
      <c r="E49" s="31" t="s">
        <v>119</v>
      </c>
      <c r="F49" s="31" t="s">
        <v>210</v>
      </c>
      <c r="G49" s="31" t="s">
        <v>938</v>
      </c>
      <c r="H49" s="31" t="s">
        <v>56</v>
      </c>
      <c r="I49" s="31" t="s">
        <v>213</v>
      </c>
      <c r="J49" s="31" t="s">
        <v>110</v>
      </c>
      <c r="K49" s="31" t="s">
        <v>849</v>
      </c>
      <c r="L49" s="31" t="s">
        <v>219</v>
      </c>
      <c r="M49" s="32" t="s">
        <v>220</v>
      </c>
      <c r="N49" s="33" t="s">
        <v>850</v>
      </c>
      <c r="O49" s="34" t="s">
        <v>851</v>
      </c>
    </row>
    <row r="50" ht="54.0" customHeight="1">
      <c r="A50" s="30" t="s">
        <v>939</v>
      </c>
      <c r="B50" s="31" t="s">
        <v>208</v>
      </c>
      <c r="C50" s="31" t="s">
        <v>10</v>
      </c>
      <c r="D50" s="31" t="s">
        <v>209</v>
      </c>
      <c r="E50" s="31" t="s">
        <v>119</v>
      </c>
      <c r="F50" s="31" t="s">
        <v>210</v>
      </c>
      <c r="G50" s="31" t="s">
        <v>940</v>
      </c>
      <c r="H50" s="31" t="s">
        <v>56</v>
      </c>
      <c r="I50" s="31" t="s">
        <v>213</v>
      </c>
      <c r="J50" s="31" t="s">
        <v>110</v>
      </c>
      <c r="K50" s="31" t="s">
        <v>849</v>
      </c>
      <c r="L50" s="31" t="s">
        <v>219</v>
      </c>
      <c r="M50" s="32" t="s">
        <v>220</v>
      </c>
      <c r="N50" s="33" t="s">
        <v>850</v>
      </c>
      <c r="O50" s="34" t="s">
        <v>851</v>
      </c>
    </row>
    <row r="51" ht="54.0" customHeight="1">
      <c r="A51" s="30" t="s">
        <v>941</v>
      </c>
      <c r="B51" s="31" t="s">
        <v>222</v>
      </c>
      <c r="C51" s="31" t="s">
        <v>10</v>
      </c>
      <c r="D51" s="31" t="s">
        <v>209</v>
      </c>
      <c r="E51" s="31" t="s">
        <v>119</v>
      </c>
      <c r="F51" s="31" t="s">
        <v>223</v>
      </c>
      <c r="G51" s="31" t="s">
        <v>942</v>
      </c>
      <c r="H51" s="31" t="s">
        <v>68</v>
      </c>
      <c r="I51" s="31" t="s">
        <v>226</v>
      </c>
      <c r="J51" s="31" t="s">
        <v>110</v>
      </c>
      <c r="K51" s="31" t="s">
        <v>849</v>
      </c>
      <c r="L51" s="31" t="s">
        <v>144</v>
      </c>
      <c r="M51" s="32" t="s">
        <v>232</v>
      </c>
      <c r="N51" s="33" t="s">
        <v>850</v>
      </c>
      <c r="O51" s="34" t="s">
        <v>851</v>
      </c>
    </row>
    <row r="52" ht="54.0" customHeight="1">
      <c r="A52" s="30" t="s">
        <v>943</v>
      </c>
      <c r="B52" s="31" t="s">
        <v>222</v>
      </c>
      <c r="C52" s="31" t="s">
        <v>10</v>
      </c>
      <c r="D52" s="31" t="s">
        <v>209</v>
      </c>
      <c r="E52" s="31" t="s">
        <v>119</v>
      </c>
      <c r="F52" s="31" t="s">
        <v>223</v>
      </c>
      <c r="G52" s="31" t="s">
        <v>875</v>
      </c>
      <c r="H52" s="31" t="s">
        <v>68</v>
      </c>
      <c r="I52" s="31" t="s">
        <v>226</v>
      </c>
      <c r="J52" s="31" t="s">
        <v>110</v>
      </c>
      <c r="K52" s="31" t="s">
        <v>849</v>
      </c>
      <c r="L52" s="31" t="s">
        <v>144</v>
      </c>
      <c r="M52" s="32" t="s">
        <v>232</v>
      </c>
      <c r="N52" s="33" t="s">
        <v>850</v>
      </c>
      <c r="O52" s="34" t="s">
        <v>851</v>
      </c>
    </row>
    <row r="53" ht="54.0" customHeight="1">
      <c r="A53" s="30" t="s">
        <v>944</v>
      </c>
      <c r="B53" s="31" t="s">
        <v>222</v>
      </c>
      <c r="C53" s="31" t="s">
        <v>10</v>
      </c>
      <c r="D53" s="31" t="s">
        <v>209</v>
      </c>
      <c r="E53" s="31" t="s">
        <v>119</v>
      </c>
      <c r="F53" s="31" t="s">
        <v>223</v>
      </c>
      <c r="G53" s="31" t="s">
        <v>867</v>
      </c>
      <c r="H53" s="31" t="s">
        <v>68</v>
      </c>
      <c r="I53" s="31" t="s">
        <v>226</v>
      </c>
      <c r="J53" s="31" t="s">
        <v>110</v>
      </c>
      <c r="K53" s="31" t="s">
        <v>849</v>
      </c>
      <c r="L53" s="31" t="s">
        <v>144</v>
      </c>
      <c r="M53" s="32" t="s">
        <v>232</v>
      </c>
      <c r="N53" s="33" t="s">
        <v>850</v>
      </c>
      <c r="O53" s="34" t="s">
        <v>851</v>
      </c>
    </row>
    <row r="54" ht="54.0" customHeight="1">
      <c r="A54" s="30" t="s">
        <v>945</v>
      </c>
      <c r="B54" s="31" t="s">
        <v>222</v>
      </c>
      <c r="C54" s="31" t="s">
        <v>10</v>
      </c>
      <c r="D54" s="31" t="s">
        <v>209</v>
      </c>
      <c r="E54" s="31" t="s">
        <v>119</v>
      </c>
      <c r="F54" s="31" t="s">
        <v>223</v>
      </c>
      <c r="G54" s="31" t="s">
        <v>873</v>
      </c>
      <c r="H54" s="31" t="s">
        <v>68</v>
      </c>
      <c r="I54" s="31" t="s">
        <v>226</v>
      </c>
      <c r="J54" s="31" t="s">
        <v>110</v>
      </c>
      <c r="K54" s="31" t="s">
        <v>849</v>
      </c>
      <c r="L54" s="31" t="s">
        <v>144</v>
      </c>
      <c r="M54" s="32" t="s">
        <v>232</v>
      </c>
      <c r="N54" s="33" t="s">
        <v>850</v>
      </c>
      <c r="O54" s="34" t="s">
        <v>851</v>
      </c>
    </row>
    <row r="55" ht="54.0" customHeight="1">
      <c r="A55" s="30" t="s">
        <v>946</v>
      </c>
      <c r="B55" s="31" t="s">
        <v>222</v>
      </c>
      <c r="C55" s="31" t="s">
        <v>10</v>
      </c>
      <c r="D55" s="31" t="s">
        <v>209</v>
      </c>
      <c r="E55" s="31" t="s">
        <v>119</v>
      </c>
      <c r="F55" s="31" t="s">
        <v>223</v>
      </c>
      <c r="G55" s="31" t="s">
        <v>947</v>
      </c>
      <c r="H55" s="31" t="s">
        <v>68</v>
      </c>
      <c r="I55" s="31" t="s">
        <v>226</v>
      </c>
      <c r="J55" s="31" t="s">
        <v>110</v>
      </c>
      <c r="K55" s="31" t="s">
        <v>849</v>
      </c>
      <c r="L55" s="31" t="s">
        <v>144</v>
      </c>
      <c r="M55" s="32" t="s">
        <v>232</v>
      </c>
      <c r="N55" s="33" t="s">
        <v>850</v>
      </c>
      <c r="O55" s="34" t="s">
        <v>851</v>
      </c>
    </row>
    <row r="56" ht="54.0" customHeight="1">
      <c r="A56" s="30" t="s">
        <v>948</v>
      </c>
      <c r="B56" s="31" t="s">
        <v>222</v>
      </c>
      <c r="C56" s="31" t="s">
        <v>10</v>
      </c>
      <c r="D56" s="31" t="s">
        <v>209</v>
      </c>
      <c r="E56" s="31" t="s">
        <v>119</v>
      </c>
      <c r="F56" s="31" t="s">
        <v>223</v>
      </c>
      <c r="G56" s="31" t="s">
        <v>869</v>
      </c>
      <c r="H56" s="31" t="s">
        <v>68</v>
      </c>
      <c r="I56" s="31" t="s">
        <v>226</v>
      </c>
      <c r="J56" s="31" t="s">
        <v>110</v>
      </c>
      <c r="K56" s="31" t="s">
        <v>849</v>
      </c>
      <c r="L56" s="31" t="s">
        <v>144</v>
      </c>
      <c r="M56" s="32" t="s">
        <v>232</v>
      </c>
      <c r="N56" s="33" t="s">
        <v>850</v>
      </c>
      <c r="O56" s="34" t="s">
        <v>851</v>
      </c>
    </row>
    <row r="57" ht="54.0" customHeight="1">
      <c r="A57" s="30" t="s">
        <v>949</v>
      </c>
      <c r="B57" s="31" t="s">
        <v>233</v>
      </c>
      <c r="C57" s="31" t="s">
        <v>10</v>
      </c>
      <c r="D57" s="31" t="s">
        <v>209</v>
      </c>
      <c r="E57" s="31" t="s">
        <v>161</v>
      </c>
      <c r="F57" s="31" t="s">
        <v>234</v>
      </c>
      <c r="G57" s="31" t="s">
        <v>950</v>
      </c>
      <c r="H57" s="31" t="s">
        <v>64</v>
      </c>
      <c r="I57" s="31" t="s">
        <v>123</v>
      </c>
      <c r="J57" s="31" t="s">
        <v>110</v>
      </c>
      <c r="K57" s="31" t="s">
        <v>849</v>
      </c>
      <c r="L57" s="31" t="s">
        <v>158</v>
      </c>
      <c r="M57" s="32" t="s">
        <v>240</v>
      </c>
      <c r="N57" s="33" t="s">
        <v>850</v>
      </c>
      <c r="O57" s="34" t="s">
        <v>851</v>
      </c>
    </row>
    <row r="58" ht="54.0" customHeight="1">
      <c r="A58" s="30" t="s">
        <v>951</v>
      </c>
      <c r="B58" s="31" t="s">
        <v>233</v>
      </c>
      <c r="C58" s="31" t="s">
        <v>10</v>
      </c>
      <c r="D58" s="31" t="s">
        <v>209</v>
      </c>
      <c r="E58" s="31" t="s">
        <v>161</v>
      </c>
      <c r="F58" s="31" t="s">
        <v>234</v>
      </c>
      <c r="G58" s="31" t="s">
        <v>952</v>
      </c>
      <c r="H58" s="31" t="s">
        <v>64</v>
      </c>
      <c r="I58" s="31" t="s">
        <v>123</v>
      </c>
      <c r="J58" s="31" t="s">
        <v>110</v>
      </c>
      <c r="K58" s="31" t="s">
        <v>849</v>
      </c>
      <c r="L58" s="31" t="s">
        <v>158</v>
      </c>
      <c r="M58" s="32" t="s">
        <v>240</v>
      </c>
      <c r="N58" s="33" t="s">
        <v>850</v>
      </c>
      <c r="O58" s="34" t="s">
        <v>851</v>
      </c>
    </row>
    <row r="59" ht="54.0" customHeight="1">
      <c r="A59" s="30" t="s">
        <v>953</v>
      </c>
      <c r="B59" s="31" t="s">
        <v>233</v>
      </c>
      <c r="C59" s="31" t="s">
        <v>10</v>
      </c>
      <c r="D59" s="31" t="s">
        <v>209</v>
      </c>
      <c r="E59" s="31" t="s">
        <v>161</v>
      </c>
      <c r="F59" s="31" t="s">
        <v>234</v>
      </c>
      <c r="G59" s="31" t="s">
        <v>954</v>
      </c>
      <c r="H59" s="31" t="s">
        <v>64</v>
      </c>
      <c r="I59" s="31" t="s">
        <v>123</v>
      </c>
      <c r="J59" s="31" t="s">
        <v>110</v>
      </c>
      <c r="K59" s="31" t="s">
        <v>849</v>
      </c>
      <c r="L59" s="31" t="s">
        <v>158</v>
      </c>
      <c r="M59" s="32" t="s">
        <v>240</v>
      </c>
      <c r="N59" s="33" t="s">
        <v>850</v>
      </c>
      <c r="O59" s="34" t="s">
        <v>851</v>
      </c>
    </row>
    <row r="60" ht="54.0" customHeight="1">
      <c r="A60" s="30" t="s">
        <v>955</v>
      </c>
      <c r="B60" s="31" t="s">
        <v>233</v>
      </c>
      <c r="C60" s="31" t="s">
        <v>10</v>
      </c>
      <c r="D60" s="31" t="s">
        <v>209</v>
      </c>
      <c r="E60" s="31" t="s">
        <v>161</v>
      </c>
      <c r="F60" s="31" t="s">
        <v>234</v>
      </c>
      <c r="G60" s="31" t="s">
        <v>956</v>
      </c>
      <c r="H60" s="31" t="s">
        <v>64</v>
      </c>
      <c r="I60" s="31" t="s">
        <v>123</v>
      </c>
      <c r="J60" s="31" t="s">
        <v>110</v>
      </c>
      <c r="K60" s="31" t="s">
        <v>849</v>
      </c>
      <c r="L60" s="31" t="s">
        <v>158</v>
      </c>
      <c r="M60" s="32" t="s">
        <v>240</v>
      </c>
      <c r="N60" s="33" t="s">
        <v>850</v>
      </c>
      <c r="O60" s="34" t="s">
        <v>851</v>
      </c>
    </row>
    <row r="61" ht="54.0" customHeight="1">
      <c r="A61" s="30" t="s">
        <v>957</v>
      </c>
      <c r="B61" s="31" t="s">
        <v>233</v>
      </c>
      <c r="C61" s="31" t="s">
        <v>10</v>
      </c>
      <c r="D61" s="31" t="s">
        <v>209</v>
      </c>
      <c r="E61" s="31" t="s">
        <v>161</v>
      </c>
      <c r="F61" s="31" t="s">
        <v>234</v>
      </c>
      <c r="G61" s="31" t="s">
        <v>958</v>
      </c>
      <c r="H61" s="31" t="s">
        <v>64</v>
      </c>
      <c r="I61" s="31" t="s">
        <v>123</v>
      </c>
      <c r="J61" s="31" t="s">
        <v>110</v>
      </c>
      <c r="K61" s="31" t="s">
        <v>849</v>
      </c>
      <c r="L61" s="31" t="s">
        <v>158</v>
      </c>
      <c r="M61" s="32" t="s">
        <v>240</v>
      </c>
      <c r="N61" s="33" t="s">
        <v>850</v>
      </c>
      <c r="O61" s="34" t="s">
        <v>851</v>
      </c>
    </row>
    <row r="62" ht="54.0" customHeight="1">
      <c r="A62" s="30" t="s">
        <v>959</v>
      </c>
      <c r="B62" s="31" t="s">
        <v>233</v>
      </c>
      <c r="C62" s="31" t="s">
        <v>10</v>
      </c>
      <c r="D62" s="31" t="s">
        <v>209</v>
      </c>
      <c r="E62" s="31" t="s">
        <v>161</v>
      </c>
      <c r="F62" s="31" t="s">
        <v>234</v>
      </c>
      <c r="G62" s="31" t="s">
        <v>960</v>
      </c>
      <c r="H62" s="31" t="s">
        <v>64</v>
      </c>
      <c r="I62" s="31" t="s">
        <v>123</v>
      </c>
      <c r="J62" s="31" t="s">
        <v>110</v>
      </c>
      <c r="K62" s="31" t="s">
        <v>849</v>
      </c>
      <c r="L62" s="31" t="s">
        <v>158</v>
      </c>
      <c r="M62" s="32" t="s">
        <v>240</v>
      </c>
      <c r="N62" s="33" t="s">
        <v>850</v>
      </c>
      <c r="O62" s="34" t="s">
        <v>851</v>
      </c>
    </row>
    <row r="63" ht="54.0" customHeight="1">
      <c r="A63" s="30" t="s">
        <v>961</v>
      </c>
      <c r="B63" s="31" t="s">
        <v>241</v>
      </c>
      <c r="C63" s="31" t="s">
        <v>10</v>
      </c>
      <c r="D63" s="31" t="s">
        <v>209</v>
      </c>
      <c r="E63" s="31" t="s">
        <v>147</v>
      </c>
      <c r="F63" s="31" t="s">
        <v>242</v>
      </c>
      <c r="G63" s="31" t="s">
        <v>962</v>
      </c>
      <c r="H63" s="31" t="s">
        <v>56</v>
      </c>
      <c r="I63" s="31" t="s">
        <v>151</v>
      </c>
      <c r="J63" s="31" t="s">
        <v>110</v>
      </c>
      <c r="K63" s="31" t="s">
        <v>849</v>
      </c>
      <c r="L63" s="31" t="s">
        <v>248</v>
      </c>
      <c r="M63" s="32" t="s">
        <v>249</v>
      </c>
      <c r="N63" s="33" t="s">
        <v>850</v>
      </c>
      <c r="O63" s="34" t="s">
        <v>851</v>
      </c>
    </row>
    <row r="64" ht="54.0" customHeight="1">
      <c r="A64" s="30" t="s">
        <v>963</v>
      </c>
      <c r="B64" s="31" t="s">
        <v>241</v>
      </c>
      <c r="C64" s="31" t="s">
        <v>10</v>
      </c>
      <c r="D64" s="31" t="s">
        <v>209</v>
      </c>
      <c r="E64" s="31" t="s">
        <v>147</v>
      </c>
      <c r="F64" s="31" t="s">
        <v>242</v>
      </c>
      <c r="G64" s="31" t="s">
        <v>964</v>
      </c>
      <c r="H64" s="31" t="s">
        <v>56</v>
      </c>
      <c r="I64" s="31" t="s">
        <v>151</v>
      </c>
      <c r="J64" s="31" t="s">
        <v>110</v>
      </c>
      <c r="K64" s="31" t="s">
        <v>849</v>
      </c>
      <c r="L64" s="31" t="s">
        <v>248</v>
      </c>
      <c r="M64" s="32" t="s">
        <v>249</v>
      </c>
      <c r="N64" s="33" t="s">
        <v>850</v>
      </c>
      <c r="O64" s="34" t="s">
        <v>851</v>
      </c>
    </row>
    <row r="65" ht="54.0" customHeight="1">
      <c r="A65" s="30" t="s">
        <v>965</v>
      </c>
      <c r="B65" s="31" t="s">
        <v>241</v>
      </c>
      <c r="C65" s="31" t="s">
        <v>10</v>
      </c>
      <c r="D65" s="31" t="s">
        <v>209</v>
      </c>
      <c r="E65" s="31" t="s">
        <v>147</v>
      </c>
      <c r="F65" s="31" t="s">
        <v>242</v>
      </c>
      <c r="G65" s="31" t="s">
        <v>966</v>
      </c>
      <c r="H65" s="31" t="s">
        <v>56</v>
      </c>
      <c r="I65" s="31" t="s">
        <v>151</v>
      </c>
      <c r="J65" s="31" t="s">
        <v>110</v>
      </c>
      <c r="K65" s="31" t="s">
        <v>849</v>
      </c>
      <c r="L65" s="31" t="s">
        <v>248</v>
      </c>
      <c r="M65" s="32" t="s">
        <v>249</v>
      </c>
      <c r="N65" s="33" t="s">
        <v>850</v>
      </c>
      <c r="O65" s="34" t="s">
        <v>851</v>
      </c>
    </row>
    <row r="66" ht="54.0" customHeight="1">
      <c r="A66" s="30" t="s">
        <v>967</v>
      </c>
      <c r="B66" s="31" t="s">
        <v>241</v>
      </c>
      <c r="C66" s="31" t="s">
        <v>10</v>
      </c>
      <c r="D66" s="31" t="s">
        <v>209</v>
      </c>
      <c r="E66" s="31" t="s">
        <v>147</v>
      </c>
      <c r="F66" s="31" t="s">
        <v>242</v>
      </c>
      <c r="G66" s="31" t="s">
        <v>883</v>
      </c>
      <c r="H66" s="31" t="s">
        <v>56</v>
      </c>
      <c r="I66" s="31" t="s">
        <v>151</v>
      </c>
      <c r="J66" s="31" t="s">
        <v>110</v>
      </c>
      <c r="K66" s="31" t="s">
        <v>849</v>
      </c>
      <c r="L66" s="31" t="s">
        <v>248</v>
      </c>
      <c r="M66" s="32" t="s">
        <v>249</v>
      </c>
      <c r="N66" s="33" t="s">
        <v>850</v>
      </c>
      <c r="O66" s="34" t="s">
        <v>851</v>
      </c>
    </row>
    <row r="67" ht="54.0" customHeight="1">
      <c r="A67" s="30" t="s">
        <v>968</v>
      </c>
      <c r="B67" s="31" t="s">
        <v>241</v>
      </c>
      <c r="C67" s="31" t="s">
        <v>10</v>
      </c>
      <c r="D67" s="31" t="s">
        <v>209</v>
      </c>
      <c r="E67" s="31" t="s">
        <v>147</v>
      </c>
      <c r="F67" s="31" t="s">
        <v>242</v>
      </c>
      <c r="G67" s="31" t="s">
        <v>969</v>
      </c>
      <c r="H67" s="31" t="s">
        <v>56</v>
      </c>
      <c r="I67" s="31" t="s">
        <v>151</v>
      </c>
      <c r="J67" s="31" t="s">
        <v>110</v>
      </c>
      <c r="K67" s="31" t="s">
        <v>849</v>
      </c>
      <c r="L67" s="31" t="s">
        <v>248</v>
      </c>
      <c r="M67" s="32" t="s">
        <v>249</v>
      </c>
      <c r="N67" s="33" t="s">
        <v>850</v>
      </c>
      <c r="O67" s="34" t="s">
        <v>851</v>
      </c>
    </row>
    <row r="68" ht="54.0" customHeight="1">
      <c r="A68" s="30" t="s">
        <v>970</v>
      </c>
      <c r="B68" s="31" t="s">
        <v>241</v>
      </c>
      <c r="C68" s="31" t="s">
        <v>10</v>
      </c>
      <c r="D68" s="31" t="s">
        <v>209</v>
      </c>
      <c r="E68" s="31" t="s">
        <v>147</v>
      </c>
      <c r="F68" s="31" t="s">
        <v>242</v>
      </c>
      <c r="G68" s="31" t="s">
        <v>971</v>
      </c>
      <c r="H68" s="31" t="s">
        <v>56</v>
      </c>
      <c r="I68" s="31" t="s">
        <v>151</v>
      </c>
      <c r="J68" s="31" t="s">
        <v>110</v>
      </c>
      <c r="K68" s="31" t="s">
        <v>849</v>
      </c>
      <c r="L68" s="31" t="s">
        <v>248</v>
      </c>
      <c r="M68" s="32" t="s">
        <v>249</v>
      </c>
      <c r="N68" s="33" t="s">
        <v>850</v>
      </c>
      <c r="O68" s="34" t="s">
        <v>851</v>
      </c>
    </row>
    <row r="69" ht="54.0" customHeight="1">
      <c r="A69" s="30" t="s">
        <v>972</v>
      </c>
      <c r="B69" s="31" t="s">
        <v>250</v>
      </c>
      <c r="C69" s="31" t="s">
        <v>10</v>
      </c>
      <c r="D69" s="31" t="s">
        <v>209</v>
      </c>
      <c r="E69" s="31" t="s">
        <v>172</v>
      </c>
      <c r="F69" s="31" t="s">
        <v>251</v>
      </c>
      <c r="G69" s="31" t="s">
        <v>973</v>
      </c>
      <c r="H69" s="31" t="s">
        <v>68</v>
      </c>
      <c r="I69" s="31" t="s">
        <v>254</v>
      </c>
      <c r="J69" s="31" t="s">
        <v>110</v>
      </c>
      <c r="K69" s="31" t="s">
        <v>849</v>
      </c>
      <c r="L69" s="31" t="s">
        <v>158</v>
      </c>
      <c r="M69" s="32" t="s">
        <v>259</v>
      </c>
      <c r="N69" s="33" t="s">
        <v>850</v>
      </c>
      <c r="O69" s="34" t="s">
        <v>851</v>
      </c>
    </row>
    <row r="70" ht="54.0" customHeight="1">
      <c r="A70" s="30" t="s">
        <v>974</v>
      </c>
      <c r="B70" s="31" t="s">
        <v>250</v>
      </c>
      <c r="C70" s="31" t="s">
        <v>10</v>
      </c>
      <c r="D70" s="31" t="s">
        <v>209</v>
      </c>
      <c r="E70" s="31" t="s">
        <v>172</v>
      </c>
      <c r="F70" s="31" t="s">
        <v>251</v>
      </c>
      <c r="G70" s="31" t="s">
        <v>975</v>
      </c>
      <c r="H70" s="31" t="s">
        <v>68</v>
      </c>
      <c r="I70" s="31" t="s">
        <v>254</v>
      </c>
      <c r="J70" s="31" t="s">
        <v>110</v>
      </c>
      <c r="K70" s="31" t="s">
        <v>849</v>
      </c>
      <c r="L70" s="31" t="s">
        <v>158</v>
      </c>
      <c r="M70" s="32" t="s">
        <v>259</v>
      </c>
      <c r="N70" s="33" t="s">
        <v>850</v>
      </c>
      <c r="O70" s="34" t="s">
        <v>851</v>
      </c>
    </row>
    <row r="71" ht="54.0" customHeight="1">
      <c r="A71" s="30" t="s">
        <v>976</v>
      </c>
      <c r="B71" s="31" t="s">
        <v>250</v>
      </c>
      <c r="C71" s="31" t="s">
        <v>10</v>
      </c>
      <c r="D71" s="31" t="s">
        <v>209</v>
      </c>
      <c r="E71" s="31" t="s">
        <v>172</v>
      </c>
      <c r="F71" s="31" t="s">
        <v>251</v>
      </c>
      <c r="G71" s="31" t="s">
        <v>977</v>
      </c>
      <c r="H71" s="31" t="s">
        <v>68</v>
      </c>
      <c r="I71" s="31" t="s">
        <v>254</v>
      </c>
      <c r="J71" s="31" t="s">
        <v>110</v>
      </c>
      <c r="K71" s="31" t="s">
        <v>849</v>
      </c>
      <c r="L71" s="31" t="s">
        <v>158</v>
      </c>
      <c r="M71" s="32" t="s">
        <v>259</v>
      </c>
      <c r="N71" s="33" t="s">
        <v>850</v>
      </c>
      <c r="O71" s="34" t="s">
        <v>851</v>
      </c>
    </row>
    <row r="72" ht="54.0" customHeight="1">
      <c r="A72" s="30" t="s">
        <v>978</v>
      </c>
      <c r="B72" s="31" t="s">
        <v>250</v>
      </c>
      <c r="C72" s="31" t="s">
        <v>10</v>
      </c>
      <c r="D72" s="31" t="s">
        <v>209</v>
      </c>
      <c r="E72" s="31" t="s">
        <v>172</v>
      </c>
      <c r="F72" s="31" t="s">
        <v>251</v>
      </c>
      <c r="G72" s="31" t="s">
        <v>979</v>
      </c>
      <c r="H72" s="31" t="s">
        <v>68</v>
      </c>
      <c r="I72" s="31" t="s">
        <v>254</v>
      </c>
      <c r="J72" s="31" t="s">
        <v>110</v>
      </c>
      <c r="K72" s="31" t="s">
        <v>849</v>
      </c>
      <c r="L72" s="31" t="s">
        <v>158</v>
      </c>
      <c r="M72" s="32" t="s">
        <v>259</v>
      </c>
      <c r="N72" s="33" t="s">
        <v>850</v>
      </c>
      <c r="O72" s="34" t="s">
        <v>851</v>
      </c>
    </row>
    <row r="73" ht="54.0" customHeight="1">
      <c r="A73" s="30" t="s">
        <v>980</v>
      </c>
      <c r="B73" s="31" t="s">
        <v>250</v>
      </c>
      <c r="C73" s="31" t="s">
        <v>10</v>
      </c>
      <c r="D73" s="31" t="s">
        <v>209</v>
      </c>
      <c r="E73" s="31" t="s">
        <v>172</v>
      </c>
      <c r="F73" s="31" t="s">
        <v>251</v>
      </c>
      <c r="G73" s="31" t="s">
        <v>981</v>
      </c>
      <c r="H73" s="31" t="s">
        <v>68</v>
      </c>
      <c r="I73" s="31" t="s">
        <v>254</v>
      </c>
      <c r="J73" s="31" t="s">
        <v>110</v>
      </c>
      <c r="K73" s="31" t="s">
        <v>849</v>
      </c>
      <c r="L73" s="31" t="s">
        <v>158</v>
      </c>
      <c r="M73" s="32" t="s">
        <v>259</v>
      </c>
      <c r="N73" s="33" t="s">
        <v>850</v>
      </c>
      <c r="O73" s="34" t="s">
        <v>851</v>
      </c>
    </row>
    <row r="74" ht="54.0" customHeight="1">
      <c r="A74" s="30" t="s">
        <v>982</v>
      </c>
      <c r="B74" s="31" t="s">
        <v>260</v>
      </c>
      <c r="C74" s="31" t="s">
        <v>10</v>
      </c>
      <c r="D74" s="31" t="s">
        <v>209</v>
      </c>
      <c r="E74" s="31" t="s">
        <v>172</v>
      </c>
      <c r="F74" s="31" t="s">
        <v>261</v>
      </c>
      <c r="G74" s="31" t="s">
        <v>983</v>
      </c>
      <c r="H74" s="31" t="s">
        <v>64</v>
      </c>
      <c r="I74" s="31" t="s">
        <v>264</v>
      </c>
      <c r="J74" s="31" t="s">
        <v>110</v>
      </c>
      <c r="K74" s="31" t="s">
        <v>849</v>
      </c>
      <c r="L74" s="31" t="s">
        <v>268</v>
      </c>
      <c r="M74" s="32" t="s">
        <v>269</v>
      </c>
      <c r="N74" s="33" t="s">
        <v>850</v>
      </c>
      <c r="O74" s="34" t="s">
        <v>851</v>
      </c>
    </row>
    <row r="75" ht="54.0" customHeight="1">
      <c r="A75" s="30" t="s">
        <v>984</v>
      </c>
      <c r="B75" s="31" t="s">
        <v>260</v>
      </c>
      <c r="C75" s="31" t="s">
        <v>10</v>
      </c>
      <c r="D75" s="31" t="s">
        <v>209</v>
      </c>
      <c r="E75" s="31" t="s">
        <v>172</v>
      </c>
      <c r="F75" s="31" t="s">
        <v>261</v>
      </c>
      <c r="G75" s="31" t="s">
        <v>985</v>
      </c>
      <c r="H75" s="31" t="s">
        <v>64</v>
      </c>
      <c r="I75" s="31" t="s">
        <v>264</v>
      </c>
      <c r="J75" s="31" t="s">
        <v>110</v>
      </c>
      <c r="K75" s="31" t="s">
        <v>849</v>
      </c>
      <c r="L75" s="31" t="s">
        <v>268</v>
      </c>
      <c r="M75" s="32" t="s">
        <v>269</v>
      </c>
      <c r="N75" s="33" t="s">
        <v>850</v>
      </c>
      <c r="O75" s="34" t="s">
        <v>851</v>
      </c>
    </row>
    <row r="76" ht="54.0" customHeight="1">
      <c r="A76" s="30" t="s">
        <v>986</v>
      </c>
      <c r="B76" s="31" t="s">
        <v>260</v>
      </c>
      <c r="C76" s="31" t="s">
        <v>10</v>
      </c>
      <c r="D76" s="31" t="s">
        <v>209</v>
      </c>
      <c r="E76" s="31" t="s">
        <v>172</v>
      </c>
      <c r="F76" s="31" t="s">
        <v>261</v>
      </c>
      <c r="G76" s="31" t="s">
        <v>987</v>
      </c>
      <c r="H76" s="31" t="s">
        <v>64</v>
      </c>
      <c r="I76" s="31" t="s">
        <v>264</v>
      </c>
      <c r="J76" s="31" t="s">
        <v>110</v>
      </c>
      <c r="K76" s="31" t="s">
        <v>849</v>
      </c>
      <c r="L76" s="31" t="s">
        <v>268</v>
      </c>
      <c r="M76" s="32" t="s">
        <v>269</v>
      </c>
      <c r="N76" s="33" t="s">
        <v>850</v>
      </c>
      <c r="O76" s="34" t="s">
        <v>851</v>
      </c>
    </row>
    <row r="77" ht="54.0" customHeight="1">
      <c r="A77" s="30" t="s">
        <v>988</v>
      </c>
      <c r="B77" s="31" t="s">
        <v>260</v>
      </c>
      <c r="C77" s="31" t="s">
        <v>10</v>
      </c>
      <c r="D77" s="31" t="s">
        <v>209</v>
      </c>
      <c r="E77" s="31" t="s">
        <v>172</v>
      </c>
      <c r="F77" s="31" t="s">
        <v>261</v>
      </c>
      <c r="G77" s="31" t="s">
        <v>989</v>
      </c>
      <c r="H77" s="31" t="s">
        <v>64</v>
      </c>
      <c r="I77" s="31" t="s">
        <v>264</v>
      </c>
      <c r="J77" s="31" t="s">
        <v>110</v>
      </c>
      <c r="K77" s="31" t="s">
        <v>849</v>
      </c>
      <c r="L77" s="31" t="s">
        <v>268</v>
      </c>
      <c r="M77" s="32" t="s">
        <v>269</v>
      </c>
      <c r="N77" s="33" t="s">
        <v>850</v>
      </c>
      <c r="O77" s="34" t="s">
        <v>851</v>
      </c>
    </row>
    <row r="78" ht="54.0" customHeight="1">
      <c r="A78" s="30" t="s">
        <v>990</v>
      </c>
      <c r="B78" s="31" t="s">
        <v>260</v>
      </c>
      <c r="C78" s="31" t="s">
        <v>10</v>
      </c>
      <c r="D78" s="31" t="s">
        <v>209</v>
      </c>
      <c r="E78" s="31" t="s">
        <v>172</v>
      </c>
      <c r="F78" s="31" t="s">
        <v>261</v>
      </c>
      <c r="G78" s="31" t="s">
        <v>991</v>
      </c>
      <c r="H78" s="31" t="s">
        <v>64</v>
      </c>
      <c r="I78" s="31" t="s">
        <v>264</v>
      </c>
      <c r="J78" s="31" t="s">
        <v>110</v>
      </c>
      <c r="K78" s="31" t="s">
        <v>849</v>
      </c>
      <c r="L78" s="31" t="s">
        <v>268</v>
      </c>
      <c r="M78" s="32" t="s">
        <v>269</v>
      </c>
      <c r="N78" s="33" t="s">
        <v>850</v>
      </c>
      <c r="O78" s="34" t="s">
        <v>851</v>
      </c>
    </row>
    <row r="79" ht="54.0" customHeight="1">
      <c r="A79" s="30" t="s">
        <v>992</v>
      </c>
      <c r="B79" s="31" t="s">
        <v>270</v>
      </c>
      <c r="C79" s="31" t="s">
        <v>10</v>
      </c>
      <c r="D79" s="31" t="s">
        <v>209</v>
      </c>
      <c r="E79" s="31" t="s">
        <v>147</v>
      </c>
      <c r="F79" s="31" t="s">
        <v>271</v>
      </c>
      <c r="G79" s="31" t="s">
        <v>993</v>
      </c>
      <c r="H79" s="31" t="s">
        <v>56</v>
      </c>
      <c r="I79" s="31" t="s">
        <v>274</v>
      </c>
      <c r="J79" s="31" t="s">
        <v>110</v>
      </c>
      <c r="K79" s="31" t="s">
        <v>849</v>
      </c>
      <c r="L79" s="31" t="s">
        <v>281</v>
      </c>
      <c r="M79" s="32" t="s">
        <v>282</v>
      </c>
      <c r="N79" s="33" t="s">
        <v>850</v>
      </c>
      <c r="O79" s="34" t="s">
        <v>851</v>
      </c>
    </row>
    <row r="80" ht="54.0" customHeight="1">
      <c r="A80" s="30" t="s">
        <v>994</v>
      </c>
      <c r="B80" s="31" t="s">
        <v>270</v>
      </c>
      <c r="C80" s="31" t="s">
        <v>10</v>
      </c>
      <c r="D80" s="31" t="s">
        <v>209</v>
      </c>
      <c r="E80" s="31" t="s">
        <v>147</v>
      </c>
      <c r="F80" s="31" t="s">
        <v>271</v>
      </c>
      <c r="G80" s="31" t="s">
        <v>995</v>
      </c>
      <c r="H80" s="31" t="s">
        <v>56</v>
      </c>
      <c r="I80" s="31" t="s">
        <v>274</v>
      </c>
      <c r="J80" s="31" t="s">
        <v>110</v>
      </c>
      <c r="K80" s="31" t="s">
        <v>849</v>
      </c>
      <c r="L80" s="31" t="s">
        <v>281</v>
      </c>
      <c r="M80" s="32" t="s">
        <v>282</v>
      </c>
      <c r="N80" s="33" t="s">
        <v>850</v>
      </c>
      <c r="O80" s="34" t="s">
        <v>851</v>
      </c>
    </row>
    <row r="81" ht="54.0" customHeight="1">
      <c r="A81" s="30" t="s">
        <v>996</v>
      </c>
      <c r="B81" s="31" t="s">
        <v>270</v>
      </c>
      <c r="C81" s="31" t="s">
        <v>10</v>
      </c>
      <c r="D81" s="31" t="s">
        <v>209</v>
      </c>
      <c r="E81" s="31" t="s">
        <v>147</v>
      </c>
      <c r="F81" s="31" t="s">
        <v>271</v>
      </c>
      <c r="G81" s="31" t="s">
        <v>997</v>
      </c>
      <c r="H81" s="31" t="s">
        <v>56</v>
      </c>
      <c r="I81" s="31" t="s">
        <v>274</v>
      </c>
      <c r="J81" s="31" t="s">
        <v>110</v>
      </c>
      <c r="K81" s="31" t="s">
        <v>849</v>
      </c>
      <c r="L81" s="31" t="s">
        <v>281</v>
      </c>
      <c r="M81" s="32" t="s">
        <v>282</v>
      </c>
      <c r="N81" s="33" t="s">
        <v>850</v>
      </c>
      <c r="O81" s="34" t="s">
        <v>851</v>
      </c>
    </row>
    <row r="82" ht="54.0" customHeight="1">
      <c r="A82" s="30" t="s">
        <v>998</v>
      </c>
      <c r="B82" s="31" t="s">
        <v>270</v>
      </c>
      <c r="C82" s="31" t="s">
        <v>10</v>
      </c>
      <c r="D82" s="31" t="s">
        <v>209</v>
      </c>
      <c r="E82" s="31" t="s">
        <v>147</v>
      </c>
      <c r="F82" s="31" t="s">
        <v>271</v>
      </c>
      <c r="G82" s="31" t="s">
        <v>999</v>
      </c>
      <c r="H82" s="31" t="s">
        <v>56</v>
      </c>
      <c r="I82" s="31" t="s">
        <v>274</v>
      </c>
      <c r="J82" s="31" t="s">
        <v>110</v>
      </c>
      <c r="K82" s="31" t="s">
        <v>849</v>
      </c>
      <c r="L82" s="31" t="s">
        <v>281</v>
      </c>
      <c r="M82" s="32" t="s">
        <v>282</v>
      </c>
      <c r="N82" s="33" t="s">
        <v>850</v>
      </c>
      <c r="O82" s="34" t="s">
        <v>851</v>
      </c>
    </row>
    <row r="83" ht="54.0" customHeight="1">
      <c r="A83" s="30" t="s">
        <v>1000</v>
      </c>
      <c r="B83" s="31" t="s">
        <v>270</v>
      </c>
      <c r="C83" s="31" t="s">
        <v>10</v>
      </c>
      <c r="D83" s="31" t="s">
        <v>209</v>
      </c>
      <c r="E83" s="31" t="s">
        <v>147</v>
      </c>
      <c r="F83" s="31" t="s">
        <v>271</v>
      </c>
      <c r="G83" s="31" t="s">
        <v>1001</v>
      </c>
      <c r="H83" s="31" t="s">
        <v>56</v>
      </c>
      <c r="I83" s="31" t="s">
        <v>274</v>
      </c>
      <c r="J83" s="31" t="s">
        <v>110</v>
      </c>
      <c r="K83" s="31" t="s">
        <v>849</v>
      </c>
      <c r="L83" s="31" t="s">
        <v>281</v>
      </c>
      <c r="M83" s="32" t="s">
        <v>282</v>
      </c>
      <c r="N83" s="33" t="s">
        <v>850</v>
      </c>
      <c r="O83" s="34" t="s">
        <v>851</v>
      </c>
    </row>
    <row r="84" ht="54.0" customHeight="1">
      <c r="A84" s="30" t="s">
        <v>1002</v>
      </c>
      <c r="B84" s="31" t="s">
        <v>270</v>
      </c>
      <c r="C84" s="31" t="s">
        <v>10</v>
      </c>
      <c r="D84" s="31" t="s">
        <v>209</v>
      </c>
      <c r="E84" s="31" t="s">
        <v>147</v>
      </c>
      <c r="F84" s="31" t="s">
        <v>271</v>
      </c>
      <c r="G84" s="31" t="s">
        <v>1003</v>
      </c>
      <c r="H84" s="31" t="s">
        <v>56</v>
      </c>
      <c r="I84" s="31" t="s">
        <v>274</v>
      </c>
      <c r="J84" s="31" t="s">
        <v>110</v>
      </c>
      <c r="K84" s="31" t="s">
        <v>849</v>
      </c>
      <c r="L84" s="31" t="s">
        <v>281</v>
      </c>
      <c r="M84" s="32" t="s">
        <v>282</v>
      </c>
      <c r="N84" s="33" t="s">
        <v>850</v>
      </c>
      <c r="O84" s="34" t="s">
        <v>851</v>
      </c>
    </row>
    <row r="85" ht="54.0" customHeight="1">
      <c r="A85" s="30" t="s">
        <v>1004</v>
      </c>
      <c r="B85" s="31" t="s">
        <v>283</v>
      </c>
      <c r="C85" s="31" t="s">
        <v>10</v>
      </c>
      <c r="D85" s="31" t="s">
        <v>209</v>
      </c>
      <c r="E85" s="31" t="s">
        <v>284</v>
      </c>
      <c r="F85" s="31" t="s">
        <v>285</v>
      </c>
      <c r="G85" s="31" t="s">
        <v>1005</v>
      </c>
      <c r="H85" s="31" t="s">
        <v>60</v>
      </c>
      <c r="I85" s="31" t="s">
        <v>176</v>
      </c>
      <c r="J85" s="31" t="s">
        <v>110</v>
      </c>
      <c r="K85" s="31" t="s">
        <v>849</v>
      </c>
      <c r="L85" s="31" t="s">
        <v>293</v>
      </c>
      <c r="M85" s="32" t="s">
        <v>294</v>
      </c>
      <c r="N85" s="33" t="s">
        <v>850</v>
      </c>
      <c r="O85" s="34" t="s">
        <v>851</v>
      </c>
    </row>
    <row r="86" ht="54.0" customHeight="1">
      <c r="A86" s="30" t="s">
        <v>1006</v>
      </c>
      <c r="B86" s="31" t="s">
        <v>283</v>
      </c>
      <c r="C86" s="31" t="s">
        <v>10</v>
      </c>
      <c r="D86" s="31" t="s">
        <v>209</v>
      </c>
      <c r="E86" s="31" t="s">
        <v>284</v>
      </c>
      <c r="F86" s="31" t="s">
        <v>285</v>
      </c>
      <c r="G86" s="31" t="s">
        <v>1007</v>
      </c>
      <c r="H86" s="31" t="s">
        <v>60</v>
      </c>
      <c r="I86" s="31" t="s">
        <v>176</v>
      </c>
      <c r="J86" s="31" t="s">
        <v>110</v>
      </c>
      <c r="K86" s="31" t="s">
        <v>849</v>
      </c>
      <c r="L86" s="31" t="s">
        <v>293</v>
      </c>
      <c r="M86" s="32" t="s">
        <v>294</v>
      </c>
      <c r="N86" s="33" t="s">
        <v>850</v>
      </c>
      <c r="O86" s="34" t="s">
        <v>851</v>
      </c>
    </row>
    <row r="87" ht="54.0" customHeight="1">
      <c r="A87" s="30" t="s">
        <v>1008</v>
      </c>
      <c r="B87" s="31" t="s">
        <v>283</v>
      </c>
      <c r="C87" s="31" t="s">
        <v>10</v>
      </c>
      <c r="D87" s="31" t="s">
        <v>209</v>
      </c>
      <c r="E87" s="31" t="s">
        <v>284</v>
      </c>
      <c r="F87" s="31" t="s">
        <v>285</v>
      </c>
      <c r="G87" s="31" t="s">
        <v>1009</v>
      </c>
      <c r="H87" s="31" t="s">
        <v>60</v>
      </c>
      <c r="I87" s="31" t="s">
        <v>176</v>
      </c>
      <c r="J87" s="31" t="s">
        <v>110</v>
      </c>
      <c r="K87" s="31" t="s">
        <v>849</v>
      </c>
      <c r="L87" s="31" t="s">
        <v>293</v>
      </c>
      <c r="M87" s="32" t="s">
        <v>294</v>
      </c>
      <c r="N87" s="33" t="s">
        <v>850</v>
      </c>
      <c r="O87" s="34" t="s">
        <v>851</v>
      </c>
    </row>
    <row r="88" ht="54.0" customHeight="1">
      <c r="A88" s="30" t="s">
        <v>1010</v>
      </c>
      <c r="B88" s="31" t="s">
        <v>283</v>
      </c>
      <c r="C88" s="31" t="s">
        <v>10</v>
      </c>
      <c r="D88" s="31" t="s">
        <v>209</v>
      </c>
      <c r="E88" s="31" t="s">
        <v>284</v>
      </c>
      <c r="F88" s="31" t="s">
        <v>285</v>
      </c>
      <c r="G88" s="31" t="s">
        <v>1011</v>
      </c>
      <c r="H88" s="31" t="s">
        <v>60</v>
      </c>
      <c r="I88" s="31" t="s">
        <v>176</v>
      </c>
      <c r="J88" s="31" t="s">
        <v>110</v>
      </c>
      <c r="K88" s="31" t="s">
        <v>849</v>
      </c>
      <c r="L88" s="31" t="s">
        <v>293</v>
      </c>
      <c r="M88" s="32" t="s">
        <v>294</v>
      </c>
      <c r="N88" s="33" t="s">
        <v>850</v>
      </c>
      <c r="O88" s="34" t="s">
        <v>851</v>
      </c>
    </row>
    <row r="89" ht="54.0" customHeight="1">
      <c r="A89" s="30" t="s">
        <v>1012</v>
      </c>
      <c r="B89" s="31" t="s">
        <v>283</v>
      </c>
      <c r="C89" s="31" t="s">
        <v>10</v>
      </c>
      <c r="D89" s="31" t="s">
        <v>209</v>
      </c>
      <c r="E89" s="31" t="s">
        <v>284</v>
      </c>
      <c r="F89" s="31" t="s">
        <v>285</v>
      </c>
      <c r="G89" s="31" t="s">
        <v>1013</v>
      </c>
      <c r="H89" s="31" t="s">
        <v>60</v>
      </c>
      <c r="I89" s="31" t="s">
        <v>176</v>
      </c>
      <c r="J89" s="31" t="s">
        <v>110</v>
      </c>
      <c r="K89" s="31" t="s">
        <v>849</v>
      </c>
      <c r="L89" s="31" t="s">
        <v>293</v>
      </c>
      <c r="M89" s="32" t="s">
        <v>294</v>
      </c>
      <c r="N89" s="33" t="s">
        <v>850</v>
      </c>
      <c r="O89" s="34" t="s">
        <v>851</v>
      </c>
    </row>
    <row r="90" ht="54.0" customHeight="1">
      <c r="A90" s="30" t="s">
        <v>1014</v>
      </c>
      <c r="B90" s="31" t="s">
        <v>283</v>
      </c>
      <c r="C90" s="31" t="s">
        <v>10</v>
      </c>
      <c r="D90" s="31" t="s">
        <v>209</v>
      </c>
      <c r="E90" s="31" t="s">
        <v>284</v>
      </c>
      <c r="F90" s="31" t="s">
        <v>285</v>
      </c>
      <c r="G90" s="31" t="s">
        <v>1015</v>
      </c>
      <c r="H90" s="31" t="s">
        <v>60</v>
      </c>
      <c r="I90" s="31" t="s">
        <v>176</v>
      </c>
      <c r="J90" s="31" t="s">
        <v>110</v>
      </c>
      <c r="K90" s="31" t="s">
        <v>849</v>
      </c>
      <c r="L90" s="31" t="s">
        <v>293</v>
      </c>
      <c r="M90" s="32" t="s">
        <v>294</v>
      </c>
      <c r="N90" s="33" t="s">
        <v>850</v>
      </c>
      <c r="O90" s="34" t="s">
        <v>851</v>
      </c>
    </row>
    <row r="91" ht="54.0" customHeight="1">
      <c r="A91" s="30" t="s">
        <v>1016</v>
      </c>
      <c r="B91" s="31" t="s">
        <v>295</v>
      </c>
      <c r="C91" s="31" t="s">
        <v>10</v>
      </c>
      <c r="D91" s="31" t="s">
        <v>209</v>
      </c>
      <c r="E91" s="31" t="s">
        <v>185</v>
      </c>
      <c r="F91" s="31" t="s">
        <v>296</v>
      </c>
      <c r="G91" s="31" t="s">
        <v>1017</v>
      </c>
      <c r="H91" s="31" t="s">
        <v>56</v>
      </c>
      <c r="I91" s="31" t="s">
        <v>299</v>
      </c>
      <c r="J91" s="31" t="s">
        <v>110</v>
      </c>
      <c r="K91" s="31" t="s">
        <v>849</v>
      </c>
      <c r="L91" s="31" t="s">
        <v>303</v>
      </c>
      <c r="M91" s="32" t="s">
        <v>304</v>
      </c>
      <c r="N91" s="33" t="s">
        <v>850</v>
      </c>
      <c r="O91" s="34" t="s">
        <v>851</v>
      </c>
    </row>
    <row r="92" ht="54.0" customHeight="1">
      <c r="A92" s="30" t="s">
        <v>1018</v>
      </c>
      <c r="B92" s="31" t="s">
        <v>295</v>
      </c>
      <c r="C92" s="31" t="s">
        <v>10</v>
      </c>
      <c r="D92" s="31" t="s">
        <v>209</v>
      </c>
      <c r="E92" s="31" t="s">
        <v>185</v>
      </c>
      <c r="F92" s="31" t="s">
        <v>296</v>
      </c>
      <c r="G92" s="31" t="s">
        <v>1019</v>
      </c>
      <c r="H92" s="31" t="s">
        <v>56</v>
      </c>
      <c r="I92" s="31" t="s">
        <v>299</v>
      </c>
      <c r="J92" s="31" t="s">
        <v>110</v>
      </c>
      <c r="K92" s="31" t="s">
        <v>849</v>
      </c>
      <c r="L92" s="31" t="s">
        <v>303</v>
      </c>
      <c r="M92" s="32" t="s">
        <v>304</v>
      </c>
      <c r="N92" s="33" t="s">
        <v>850</v>
      </c>
      <c r="O92" s="34" t="s">
        <v>851</v>
      </c>
    </row>
    <row r="93" ht="54.0" customHeight="1">
      <c r="A93" s="30" t="s">
        <v>1020</v>
      </c>
      <c r="B93" s="31" t="s">
        <v>295</v>
      </c>
      <c r="C93" s="31" t="s">
        <v>10</v>
      </c>
      <c r="D93" s="31" t="s">
        <v>209</v>
      </c>
      <c r="E93" s="31" t="s">
        <v>185</v>
      </c>
      <c r="F93" s="31" t="s">
        <v>296</v>
      </c>
      <c r="G93" s="31" t="s">
        <v>1021</v>
      </c>
      <c r="H93" s="31" t="s">
        <v>56</v>
      </c>
      <c r="I93" s="31" t="s">
        <v>299</v>
      </c>
      <c r="J93" s="31" t="s">
        <v>110</v>
      </c>
      <c r="K93" s="31" t="s">
        <v>849</v>
      </c>
      <c r="L93" s="31" t="s">
        <v>303</v>
      </c>
      <c r="M93" s="32" t="s">
        <v>304</v>
      </c>
      <c r="N93" s="33" t="s">
        <v>850</v>
      </c>
      <c r="O93" s="34" t="s">
        <v>851</v>
      </c>
    </row>
    <row r="94" ht="54.0" customHeight="1">
      <c r="A94" s="30" t="s">
        <v>1022</v>
      </c>
      <c r="B94" s="31" t="s">
        <v>295</v>
      </c>
      <c r="C94" s="31" t="s">
        <v>10</v>
      </c>
      <c r="D94" s="31" t="s">
        <v>209</v>
      </c>
      <c r="E94" s="31" t="s">
        <v>185</v>
      </c>
      <c r="F94" s="31" t="s">
        <v>296</v>
      </c>
      <c r="G94" s="31" t="s">
        <v>1023</v>
      </c>
      <c r="H94" s="31" t="s">
        <v>56</v>
      </c>
      <c r="I94" s="31" t="s">
        <v>299</v>
      </c>
      <c r="J94" s="31" t="s">
        <v>110</v>
      </c>
      <c r="K94" s="31" t="s">
        <v>849</v>
      </c>
      <c r="L94" s="31" t="s">
        <v>303</v>
      </c>
      <c r="M94" s="32" t="s">
        <v>304</v>
      </c>
      <c r="N94" s="33" t="s">
        <v>850</v>
      </c>
      <c r="O94" s="34" t="s">
        <v>851</v>
      </c>
    </row>
    <row r="95" ht="54.0" customHeight="1">
      <c r="A95" s="30" t="s">
        <v>1024</v>
      </c>
      <c r="B95" s="31" t="s">
        <v>295</v>
      </c>
      <c r="C95" s="31" t="s">
        <v>10</v>
      </c>
      <c r="D95" s="31" t="s">
        <v>209</v>
      </c>
      <c r="E95" s="31" t="s">
        <v>185</v>
      </c>
      <c r="F95" s="31" t="s">
        <v>296</v>
      </c>
      <c r="G95" s="31" t="s">
        <v>1025</v>
      </c>
      <c r="H95" s="31" t="s">
        <v>56</v>
      </c>
      <c r="I95" s="31" t="s">
        <v>299</v>
      </c>
      <c r="J95" s="31" t="s">
        <v>110</v>
      </c>
      <c r="K95" s="31" t="s">
        <v>849</v>
      </c>
      <c r="L95" s="31" t="s">
        <v>303</v>
      </c>
      <c r="M95" s="32" t="s">
        <v>304</v>
      </c>
      <c r="N95" s="33" t="s">
        <v>850</v>
      </c>
      <c r="O95" s="34" t="s">
        <v>851</v>
      </c>
    </row>
    <row r="96" ht="54.0" customHeight="1">
      <c r="A96" s="30" t="s">
        <v>1026</v>
      </c>
      <c r="B96" s="31" t="s">
        <v>305</v>
      </c>
      <c r="C96" s="31" t="s">
        <v>10</v>
      </c>
      <c r="D96" s="31" t="s">
        <v>209</v>
      </c>
      <c r="E96" s="31" t="s">
        <v>185</v>
      </c>
      <c r="F96" s="31" t="s">
        <v>306</v>
      </c>
      <c r="G96" s="31" t="s">
        <v>1027</v>
      </c>
      <c r="H96" s="31" t="s">
        <v>68</v>
      </c>
      <c r="I96" s="31" t="s">
        <v>309</v>
      </c>
      <c r="J96" s="31" t="s">
        <v>110</v>
      </c>
      <c r="K96" s="31" t="s">
        <v>849</v>
      </c>
      <c r="L96" s="31" t="s">
        <v>314</v>
      </c>
      <c r="M96" s="32" t="s">
        <v>315</v>
      </c>
      <c r="N96" s="33" t="s">
        <v>850</v>
      </c>
      <c r="O96" s="34" t="s">
        <v>851</v>
      </c>
    </row>
    <row r="97" ht="54.0" customHeight="1">
      <c r="A97" s="30" t="s">
        <v>1028</v>
      </c>
      <c r="B97" s="31" t="s">
        <v>305</v>
      </c>
      <c r="C97" s="31" t="s">
        <v>10</v>
      </c>
      <c r="D97" s="31" t="s">
        <v>209</v>
      </c>
      <c r="E97" s="31" t="s">
        <v>185</v>
      </c>
      <c r="F97" s="31" t="s">
        <v>306</v>
      </c>
      <c r="G97" s="31" t="s">
        <v>1029</v>
      </c>
      <c r="H97" s="31" t="s">
        <v>68</v>
      </c>
      <c r="I97" s="31" t="s">
        <v>309</v>
      </c>
      <c r="J97" s="31" t="s">
        <v>110</v>
      </c>
      <c r="K97" s="31" t="s">
        <v>849</v>
      </c>
      <c r="L97" s="31" t="s">
        <v>314</v>
      </c>
      <c r="M97" s="32" t="s">
        <v>315</v>
      </c>
      <c r="N97" s="33" t="s">
        <v>850</v>
      </c>
      <c r="O97" s="34" t="s">
        <v>851</v>
      </c>
    </row>
    <row r="98" ht="54.0" customHeight="1">
      <c r="A98" s="30" t="s">
        <v>1030</v>
      </c>
      <c r="B98" s="31" t="s">
        <v>305</v>
      </c>
      <c r="C98" s="31" t="s">
        <v>10</v>
      </c>
      <c r="D98" s="31" t="s">
        <v>209</v>
      </c>
      <c r="E98" s="31" t="s">
        <v>185</v>
      </c>
      <c r="F98" s="31" t="s">
        <v>306</v>
      </c>
      <c r="G98" s="31" t="s">
        <v>1031</v>
      </c>
      <c r="H98" s="31" t="s">
        <v>68</v>
      </c>
      <c r="I98" s="31" t="s">
        <v>309</v>
      </c>
      <c r="J98" s="31" t="s">
        <v>110</v>
      </c>
      <c r="K98" s="31" t="s">
        <v>849</v>
      </c>
      <c r="L98" s="31" t="s">
        <v>314</v>
      </c>
      <c r="M98" s="32" t="s">
        <v>315</v>
      </c>
      <c r="N98" s="33" t="s">
        <v>850</v>
      </c>
      <c r="O98" s="34" t="s">
        <v>851</v>
      </c>
    </row>
    <row r="99" ht="54.0" customHeight="1">
      <c r="A99" s="30" t="s">
        <v>1032</v>
      </c>
      <c r="B99" s="31" t="s">
        <v>305</v>
      </c>
      <c r="C99" s="31" t="s">
        <v>10</v>
      </c>
      <c r="D99" s="31" t="s">
        <v>209</v>
      </c>
      <c r="E99" s="31" t="s">
        <v>185</v>
      </c>
      <c r="F99" s="31" t="s">
        <v>306</v>
      </c>
      <c r="G99" s="31" t="s">
        <v>1033</v>
      </c>
      <c r="H99" s="31" t="s">
        <v>68</v>
      </c>
      <c r="I99" s="31" t="s">
        <v>309</v>
      </c>
      <c r="J99" s="31" t="s">
        <v>110</v>
      </c>
      <c r="K99" s="31" t="s">
        <v>849</v>
      </c>
      <c r="L99" s="31" t="s">
        <v>314</v>
      </c>
      <c r="M99" s="32" t="s">
        <v>315</v>
      </c>
      <c r="N99" s="33" t="s">
        <v>850</v>
      </c>
      <c r="O99" s="34" t="s">
        <v>851</v>
      </c>
    </row>
    <row r="100" ht="54.0" customHeight="1">
      <c r="A100" s="30" t="s">
        <v>1034</v>
      </c>
      <c r="B100" s="31" t="s">
        <v>305</v>
      </c>
      <c r="C100" s="31" t="s">
        <v>10</v>
      </c>
      <c r="D100" s="31" t="s">
        <v>209</v>
      </c>
      <c r="E100" s="31" t="s">
        <v>185</v>
      </c>
      <c r="F100" s="31" t="s">
        <v>306</v>
      </c>
      <c r="G100" s="31" t="s">
        <v>1035</v>
      </c>
      <c r="H100" s="31" t="s">
        <v>68</v>
      </c>
      <c r="I100" s="31" t="s">
        <v>309</v>
      </c>
      <c r="J100" s="31" t="s">
        <v>110</v>
      </c>
      <c r="K100" s="31" t="s">
        <v>849</v>
      </c>
      <c r="L100" s="31" t="s">
        <v>314</v>
      </c>
      <c r="M100" s="32" t="s">
        <v>315</v>
      </c>
      <c r="N100" s="33" t="s">
        <v>850</v>
      </c>
      <c r="O100" s="34" t="s">
        <v>851</v>
      </c>
    </row>
    <row r="101" ht="54.0" customHeight="1">
      <c r="A101" s="30" t="s">
        <v>1036</v>
      </c>
      <c r="B101" s="31" t="s">
        <v>305</v>
      </c>
      <c r="C101" s="31" t="s">
        <v>10</v>
      </c>
      <c r="D101" s="31" t="s">
        <v>209</v>
      </c>
      <c r="E101" s="31" t="s">
        <v>185</v>
      </c>
      <c r="F101" s="31" t="s">
        <v>306</v>
      </c>
      <c r="G101" s="31" t="s">
        <v>1037</v>
      </c>
      <c r="H101" s="31" t="s">
        <v>68</v>
      </c>
      <c r="I101" s="31" t="s">
        <v>309</v>
      </c>
      <c r="J101" s="31" t="s">
        <v>110</v>
      </c>
      <c r="K101" s="31" t="s">
        <v>849</v>
      </c>
      <c r="L101" s="31" t="s">
        <v>314</v>
      </c>
      <c r="M101" s="32" t="s">
        <v>315</v>
      </c>
      <c r="N101" s="33" t="s">
        <v>850</v>
      </c>
      <c r="O101" s="34" t="s">
        <v>851</v>
      </c>
    </row>
    <row r="102" ht="54.0" customHeight="1">
      <c r="A102" s="30" t="s">
        <v>1038</v>
      </c>
      <c r="B102" s="31" t="s">
        <v>316</v>
      </c>
      <c r="C102" s="31" t="s">
        <v>10</v>
      </c>
      <c r="D102" s="31" t="s">
        <v>317</v>
      </c>
      <c r="E102" s="31" t="s">
        <v>119</v>
      </c>
      <c r="F102" s="31" t="s">
        <v>318</v>
      </c>
      <c r="G102" s="31" t="s">
        <v>1039</v>
      </c>
      <c r="H102" s="31" t="s">
        <v>60</v>
      </c>
      <c r="I102" s="31" t="s">
        <v>321</v>
      </c>
      <c r="J102" s="31" t="s">
        <v>110</v>
      </c>
      <c r="K102" s="31" t="s">
        <v>849</v>
      </c>
      <c r="L102" s="31" t="s">
        <v>281</v>
      </c>
      <c r="M102" s="32" t="s">
        <v>326</v>
      </c>
      <c r="N102" s="33" t="s">
        <v>850</v>
      </c>
      <c r="O102" s="34" t="s">
        <v>851</v>
      </c>
    </row>
    <row r="103" ht="54.0" customHeight="1">
      <c r="A103" s="30" t="s">
        <v>1040</v>
      </c>
      <c r="B103" s="31" t="s">
        <v>316</v>
      </c>
      <c r="C103" s="31" t="s">
        <v>10</v>
      </c>
      <c r="D103" s="31" t="s">
        <v>317</v>
      </c>
      <c r="E103" s="31" t="s">
        <v>119</v>
      </c>
      <c r="F103" s="31" t="s">
        <v>318</v>
      </c>
      <c r="G103" s="31" t="s">
        <v>1041</v>
      </c>
      <c r="H103" s="31" t="s">
        <v>60</v>
      </c>
      <c r="I103" s="31" t="s">
        <v>321</v>
      </c>
      <c r="J103" s="31" t="s">
        <v>110</v>
      </c>
      <c r="K103" s="31" t="s">
        <v>849</v>
      </c>
      <c r="L103" s="31" t="s">
        <v>281</v>
      </c>
      <c r="M103" s="32" t="s">
        <v>326</v>
      </c>
      <c r="N103" s="33" t="s">
        <v>850</v>
      </c>
      <c r="O103" s="34" t="s">
        <v>851</v>
      </c>
    </row>
    <row r="104" ht="54.0" customHeight="1">
      <c r="A104" s="30" t="s">
        <v>1042</v>
      </c>
      <c r="B104" s="31" t="s">
        <v>316</v>
      </c>
      <c r="C104" s="31" t="s">
        <v>10</v>
      </c>
      <c r="D104" s="31" t="s">
        <v>317</v>
      </c>
      <c r="E104" s="31" t="s">
        <v>119</v>
      </c>
      <c r="F104" s="31" t="s">
        <v>318</v>
      </c>
      <c r="G104" s="31" t="s">
        <v>1043</v>
      </c>
      <c r="H104" s="31" t="s">
        <v>60</v>
      </c>
      <c r="I104" s="31" t="s">
        <v>321</v>
      </c>
      <c r="J104" s="31" t="s">
        <v>110</v>
      </c>
      <c r="K104" s="31" t="s">
        <v>849</v>
      </c>
      <c r="L104" s="31" t="s">
        <v>281</v>
      </c>
      <c r="M104" s="32" t="s">
        <v>326</v>
      </c>
      <c r="N104" s="33" t="s">
        <v>850</v>
      </c>
      <c r="O104" s="34" t="s">
        <v>851</v>
      </c>
    </row>
    <row r="105" ht="54.0" customHeight="1">
      <c r="A105" s="30" t="s">
        <v>1044</v>
      </c>
      <c r="B105" s="31" t="s">
        <v>316</v>
      </c>
      <c r="C105" s="31" t="s">
        <v>10</v>
      </c>
      <c r="D105" s="31" t="s">
        <v>317</v>
      </c>
      <c r="E105" s="31" t="s">
        <v>119</v>
      </c>
      <c r="F105" s="31" t="s">
        <v>318</v>
      </c>
      <c r="G105" s="31" t="s">
        <v>867</v>
      </c>
      <c r="H105" s="31" t="s">
        <v>60</v>
      </c>
      <c r="I105" s="31" t="s">
        <v>321</v>
      </c>
      <c r="J105" s="31" t="s">
        <v>110</v>
      </c>
      <c r="K105" s="31" t="s">
        <v>849</v>
      </c>
      <c r="L105" s="31" t="s">
        <v>281</v>
      </c>
      <c r="M105" s="32" t="s">
        <v>326</v>
      </c>
      <c r="N105" s="33" t="s">
        <v>850</v>
      </c>
      <c r="O105" s="34" t="s">
        <v>851</v>
      </c>
    </row>
    <row r="106" ht="54.0" customHeight="1">
      <c r="A106" s="30" t="s">
        <v>1045</v>
      </c>
      <c r="B106" s="31" t="s">
        <v>316</v>
      </c>
      <c r="C106" s="31" t="s">
        <v>10</v>
      </c>
      <c r="D106" s="31" t="s">
        <v>317</v>
      </c>
      <c r="E106" s="31" t="s">
        <v>119</v>
      </c>
      <c r="F106" s="31" t="s">
        <v>318</v>
      </c>
      <c r="G106" s="31" t="s">
        <v>1046</v>
      </c>
      <c r="H106" s="31" t="s">
        <v>60</v>
      </c>
      <c r="I106" s="31" t="s">
        <v>321</v>
      </c>
      <c r="J106" s="31" t="s">
        <v>110</v>
      </c>
      <c r="K106" s="31" t="s">
        <v>849</v>
      </c>
      <c r="L106" s="31" t="s">
        <v>281</v>
      </c>
      <c r="M106" s="32" t="s">
        <v>326</v>
      </c>
      <c r="N106" s="33" t="s">
        <v>850</v>
      </c>
      <c r="O106" s="34" t="s">
        <v>851</v>
      </c>
    </row>
    <row r="107" ht="54.0" customHeight="1">
      <c r="A107" s="30" t="s">
        <v>1047</v>
      </c>
      <c r="B107" s="31" t="s">
        <v>327</v>
      </c>
      <c r="C107" s="31" t="s">
        <v>10</v>
      </c>
      <c r="D107" s="31" t="s">
        <v>317</v>
      </c>
      <c r="E107" s="31" t="s">
        <v>161</v>
      </c>
      <c r="F107" s="31" t="s">
        <v>328</v>
      </c>
      <c r="G107" s="31" t="s">
        <v>1048</v>
      </c>
      <c r="H107" s="31" t="s">
        <v>56</v>
      </c>
      <c r="I107" s="31" t="s">
        <v>299</v>
      </c>
      <c r="J107" s="31" t="s">
        <v>110</v>
      </c>
      <c r="K107" s="31" t="s">
        <v>849</v>
      </c>
      <c r="L107" s="31" t="s">
        <v>335</v>
      </c>
      <c r="M107" s="32" t="s">
        <v>336</v>
      </c>
      <c r="N107" s="33" t="s">
        <v>850</v>
      </c>
      <c r="O107" s="34" t="s">
        <v>851</v>
      </c>
    </row>
    <row r="108" ht="54.0" customHeight="1">
      <c r="A108" s="30" t="s">
        <v>1049</v>
      </c>
      <c r="B108" s="31" t="s">
        <v>327</v>
      </c>
      <c r="C108" s="31" t="s">
        <v>10</v>
      </c>
      <c r="D108" s="31" t="s">
        <v>317</v>
      </c>
      <c r="E108" s="31" t="s">
        <v>161</v>
      </c>
      <c r="F108" s="31" t="s">
        <v>328</v>
      </c>
      <c r="G108" s="31" t="s">
        <v>1050</v>
      </c>
      <c r="H108" s="31" t="s">
        <v>56</v>
      </c>
      <c r="I108" s="31" t="s">
        <v>299</v>
      </c>
      <c r="J108" s="31" t="s">
        <v>110</v>
      </c>
      <c r="K108" s="31" t="s">
        <v>849</v>
      </c>
      <c r="L108" s="31" t="s">
        <v>335</v>
      </c>
      <c r="M108" s="32" t="s">
        <v>336</v>
      </c>
      <c r="N108" s="33" t="s">
        <v>850</v>
      </c>
      <c r="O108" s="34" t="s">
        <v>851</v>
      </c>
    </row>
    <row r="109" ht="54.0" customHeight="1">
      <c r="A109" s="30" t="s">
        <v>1051</v>
      </c>
      <c r="B109" s="31" t="s">
        <v>327</v>
      </c>
      <c r="C109" s="31" t="s">
        <v>10</v>
      </c>
      <c r="D109" s="31" t="s">
        <v>317</v>
      </c>
      <c r="E109" s="31" t="s">
        <v>161</v>
      </c>
      <c r="F109" s="31" t="s">
        <v>328</v>
      </c>
      <c r="G109" s="31" t="s">
        <v>1052</v>
      </c>
      <c r="H109" s="31" t="s">
        <v>56</v>
      </c>
      <c r="I109" s="31" t="s">
        <v>299</v>
      </c>
      <c r="J109" s="31" t="s">
        <v>110</v>
      </c>
      <c r="K109" s="31" t="s">
        <v>849</v>
      </c>
      <c r="L109" s="31" t="s">
        <v>335</v>
      </c>
      <c r="M109" s="32" t="s">
        <v>336</v>
      </c>
      <c r="N109" s="33" t="s">
        <v>850</v>
      </c>
      <c r="O109" s="34" t="s">
        <v>851</v>
      </c>
    </row>
    <row r="110" ht="54.0" customHeight="1">
      <c r="A110" s="30" t="s">
        <v>1053</v>
      </c>
      <c r="B110" s="31" t="s">
        <v>327</v>
      </c>
      <c r="C110" s="31" t="s">
        <v>10</v>
      </c>
      <c r="D110" s="31" t="s">
        <v>317</v>
      </c>
      <c r="E110" s="31" t="s">
        <v>161</v>
      </c>
      <c r="F110" s="31" t="s">
        <v>328</v>
      </c>
      <c r="G110" s="31" t="s">
        <v>1054</v>
      </c>
      <c r="H110" s="31" t="s">
        <v>56</v>
      </c>
      <c r="I110" s="31" t="s">
        <v>299</v>
      </c>
      <c r="J110" s="31" t="s">
        <v>110</v>
      </c>
      <c r="K110" s="31" t="s">
        <v>849</v>
      </c>
      <c r="L110" s="31" t="s">
        <v>335</v>
      </c>
      <c r="M110" s="32" t="s">
        <v>336</v>
      </c>
      <c r="N110" s="33" t="s">
        <v>850</v>
      </c>
      <c r="O110" s="34" t="s">
        <v>851</v>
      </c>
    </row>
    <row r="111" ht="54.0" customHeight="1">
      <c r="A111" s="30" t="s">
        <v>1055</v>
      </c>
      <c r="B111" s="31" t="s">
        <v>327</v>
      </c>
      <c r="C111" s="31" t="s">
        <v>10</v>
      </c>
      <c r="D111" s="31" t="s">
        <v>317</v>
      </c>
      <c r="E111" s="31" t="s">
        <v>161</v>
      </c>
      <c r="F111" s="31" t="s">
        <v>328</v>
      </c>
      <c r="G111" s="31" t="s">
        <v>1056</v>
      </c>
      <c r="H111" s="31" t="s">
        <v>56</v>
      </c>
      <c r="I111" s="31" t="s">
        <v>299</v>
      </c>
      <c r="J111" s="31" t="s">
        <v>110</v>
      </c>
      <c r="K111" s="31" t="s">
        <v>849</v>
      </c>
      <c r="L111" s="31" t="s">
        <v>335</v>
      </c>
      <c r="M111" s="32" t="s">
        <v>336</v>
      </c>
      <c r="N111" s="33" t="s">
        <v>850</v>
      </c>
      <c r="O111" s="34" t="s">
        <v>851</v>
      </c>
    </row>
    <row r="112" ht="54.0" customHeight="1">
      <c r="A112" s="30" t="s">
        <v>1057</v>
      </c>
      <c r="B112" s="31" t="s">
        <v>327</v>
      </c>
      <c r="C112" s="31" t="s">
        <v>10</v>
      </c>
      <c r="D112" s="31" t="s">
        <v>317</v>
      </c>
      <c r="E112" s="31" t="s">
        <v>161</v>
      </c>
      <c r="F112" s="31" t="s">
        <v>328</v>
      </c>
      <c r="G112" s="31" t="s">
        <v>1058</v>
      </c>
      <c r="H112" s="31" t="s">
        <v>56</v>
      </c>
      <c r="I112" s="31" t="s">
        <v>299</v>
      </c>
      <c r="J112" s="31" t="s">
        <v>110</v>
      </c>
      <c r="K112" s="31" t="s">
        <v>849</v>
      </c>
      <c r="L112" s="31" t="s">
        <v>335</v>
      </c>
      <c r="M112" s="32" t="s">
        <v>336</v>
      </c>
      <c r="N112" s="33" t="s">
        <v>850</v>
      </c>
      <c r="O112" s="34" t="s">
        <v>851</v>
      </c>
    </row>
    <row r="113" ht="54.0" customHeight="1">
      <c r="A113" s="30" t="s">
        <v>1059</v>
      </c>
      <c r="B113" s="31" t="s">
        <v>337</v>
      </c>
      <c r="C113" s="31" t="s">
        <v>10</v>
      </c>
      <c r="D113" s="31" t="s">
        <v>317</v>
      </c>
      <c r="E113" s="31" t="s">
        <v>161</v>
      </c>
      <c r="F113" s="31" t="s">
        <v>338</v>
      </c>
      <c r="G113" s="31" t="s">
        <v>1060</v>
      </c>
      <c r="H113" s="31" t="s">
        <v>68</v>
      </c>
      <c r="I113" s="31" t="s">
        <v>341</v>
      </c>
      <c r="J113" s="31" t="s">
        <v>110</v>
      </c>
      <c r="K113" s="31" t="s">
        <v>849</v>
      </c>
      <c r="L113" s="31" t="s">
        <v>347</v>
      </c>
      <c r="M113" s="32" t="s">
        <v>348</v>
      </c>
      <c r="N113" s="33" t="s">
        <v>850</v>
      </c>
      <c r="O113" s="34" t="s">
        <v>851</v>
      </c>
    </row>
    <row r="114" ht="54.0" customHeight="1">
      <c r="A114" s="30" t="s">
        <v>1061</v>
      </c>
      <c r="B114" s="31" t="s">
        <v>337</v>
      </c>
      <c r="C114" s="31" t="s">
        <v>10</v>
      </c>
      <c r="D114" s="31" t="s">
        <v>317</v>
      </c>
      <c r="E114" s="31" t="s">
        <v>161</v>
      </c>
      <c r="F114" s="31" t="s">
        <v>338</v>
      </c>
      <c r="G114" s="31" t="s">
        <v>873</v>
      </c>
      <c r="H114" s="31" t="s">
        <v>68</v>
      </c>
      <c r="I114" s="31" t="s">
        <v>341</v>
      </c>
      <c r="J114" s="31" t="s">
        <v>110</v>
      </c>
      <c r="K114" s="31" t="s">
        <v>849</v>
      </c>
      <c r="L114" s="31" t="s">
        <v>347</v>
      </c>
      <c r="M114" s="32" t="s">
        <v>348</v>
      </c>
      <c r="N114" s="33" t="s">
        <v>850</v>
      </c>
      <c r="O114" s="34" t="s">
        <v>851</v>
      </c>
    </row>
    <row r="115" ht="54.0" customHeight="1">
      <c r="A115" s="30" t="s">
        <v>1062</v>
      </c>
      <c r="B115" s="31" t="s">
        <v>337</v>
      </c>
      <c r="C115" s="31" t="s">
        <v>10</v>
      </c>
      <c r="D115" s="31" t="s">
        <v>317</v>
      </c>
      <c r="E115" s="31" t="s">
        <v>161</v>
      </c>
      <c r="F115" s="31" t="s">
        <v>338</v>
      </c>
      <c r="G115" s="31" t="s">
        <v>1063</v>
      </c>
      <c r="H115" s="31" t="s">
        <v>68</v>
      </c>
      <c r="I115" s="31" t="s">
        <v>341</v>
      </c>
      <c r="J115" s="31" t="s">
        <v>110</v>
      </c>
      <c r="K115" s="31" t="s">
        <v>849</v>
      </c>
      <c r="L115" s="31" t="s">
        <v>347</v>
      </c>
      <c r="M115" s="32" t="s">
        <v>348</v>
      </c>
      <c r="N115" s="33" t="s">
        <v>850</v>
      </c>
      <c r="O115" s="34" t="s">
        <v>851</v>
      </c>
    </row>
    <row r="116" ht="54.0" customHeight="1">
      <c r="A116" s="30" t="s">
        <v>1064</v>
      </c>
      <c r="B116" s="31" t="s">
        <v>337</v>
      </c>
      <c r="C116" s="31" t="s">
        <v>10</v>
      </c>
      <c r="D116" s="31" t="s">
        <v>317</v>
      </c>
      <c r="E116" s="31" t="s">
        <v>161</v>
      </c>
      <c r="F116" s="31" t="s">
        <v>338</v>
      </c>
      <c r="G116" s="31" t="s">
        <v>1065</v>
      </c>
      <c r="H116" s="31" t="s">
        <v>68</v>
      </c>
      <c r="I116" s="31" t="s">
        <v>341</v>
      </c>
      <c r="J116" s="31" t="s">
        <v>110</v>
      </c>
      <c r="K116" s="31" t="s">
        <v>849</v>
      </c>
      <c r="L116" s="31" t="s">
        <v>347</v>
      </c>
      <c r="M116" s="32" t="s">
        <v>348</v>
      </c>
      <c r="N116" s="33" t="s">
        <v>850</v>
      </c>
      <c r="O116" s="34" t="s">
        <v>851</v>
      </c>
    </row>
    <row r="117" ht="54.0" customHeight="1">
      <c r="A117" s="30" t="s">
        <v>1066</v>
      </c>
      <c r="B117" s="31" t="s">
        <v>337</v>
      </c>
      <c r="C117" s="31" t="s">
        <v>10</v>
      </c>
      <c r="D117" s="31" t="s">
        <v>317</v>
      </c>
      <c r="E117" s="31" t="s">
        <v>161</v>
      </c>
      <c r="F117" s="31" t="s">
        <v>338</v>
      </c>
      <c r="G117" s="31" t="s">
        <v>1067</v>
      </c>
      <c r="H117" s="31" t="s">
        <v>68</v>
      </c>
      <c r="I117" s="31" t="s">
        <v>341</v>
      </c>
      <c r="J117" s="31" t="s">
        <v>110</v>
      </c>
      <c r="K117" s="31" t="s">
        <v>849</v>
      </c>
      <c r="L117" s="31" t="s">
        <v>347</v>
      </c>
      <c r="M117" s="32" t="s">
        <v>348</v>
      </c>
      <c r="N117" s="33" t="s">
        <v>850</v>
      </c>
      <c r="O117" s="34" t="s">
        <v>851</v>
      </c>
    </row>
    <row r="118" ht="54.0" customHeight="1">
      <c r="A118" s="30" t="s">
        <v>1068</v>
      </c>
      <c r="B118" s="31" t="s">
        <v>349</v>
      </c>
      <c r="C118" s="31" t="s">
        <v>10</v>
      </c>
      <c r="D118" s="31" t="s">
        <v>317</v>
      </c>
      <c r="E118" s="31" t="s">
        <v>284</v>
      </c>
      <c r="F118" s="31" t="s">
        <v>350</v>
      </c>
      <c r="G118" s="31" t="s">
        <v>1069</v>
      </c>
      <c r="H118" s="31" t="s">
        <v>60</v>
      </c>
      <c r="I118" s="31" t="s">
        <v>353</v>
      </c>
      <c r="J118" s="31" t="s">
        <v>110</v>
      </c>
      <c r="K118" s="31" t="s">
        <v>849</v>
      </c>
      <c r="L118" s="31" t="s">
        <v>359</v>
      </c>
      <c r="M118" s="32" t="s">
        <v>360</v>
      </c>
      <c r="N118" s="33" t="s">
        <v>850</v>
      </c>
      <c r="O118" s="34" t="s">
        <v>851</v>
      </c>
    </row>
    <row r="119" ht="54.0" customHeight="1">
      <c r="A119" s="30" t="s">
        <v>1070</v>
      </c>
      <c r="B119" s="31" t="s">
        <v>349</v>
      </c>
      <c r="C119" s="31" t="s">
        <v>10</v>
      </c>
      <c r="D119" s="31" t="s">
        <v>317</v>
      </c>
      <c r="E119" s="31" t="s">
        <v>284</v>
      </c>
      <c r="F119" s="31" t="s">
        <v>350</v>
      </c>
      <c r="G119" s="31" t="s">
        <v>1071</v>
      </c>
      <c r="H119" s="31" t="s">
        <v>60</v>
      </c>
      <c r="I119" s="31" t="s">
        <v>353</v>
      </c>
      <c r="J119" s="31" t="s">
        <v>110</v>
      </c>
      <c r="K119" s="31" t="s">
        <v>849</v>
      </c>
      <c r="L119" s="31" t="s">
        <v>359</v>
      </c>
      <c r="M119" s="32" t="s">
        <v>360</v>
      </c>
      <c r="N119" s="33" t="s">
        <v>850</v>
      </c>
      <c r="O119" s="34" t="s">
        <v>851</v>
      </c>
    </row>
    <row r="120" ht="54.0" customHeight="1">
      <c r="A120" s="30" t="s">
        <v>1072</v>
      </c>
      <c r="B120" s="31" t="s">
        <v>349</v>
      </c>
      <c r="C120" s="31" t="s">
        <v>10</v>
      </c>
      <c r="D120" s="31" t="s">
        <v>317</v>
      </c>
      <c r="E120" s="31" t="s">
        <v>284</v>
      </c>
      <c r="F120" s="31" t="s">
        <v>350</v>
      </c>
      <c r="G120" s="31" t="s">
        <v>1073</v>
      </c>
      <c r="H120" s="31" t="s">
        <v>60</v>
      </c>
      <c r="I120" s="31" t="s">
        <v>353</v>
      </c>
      <c r="J120" s="31" t="s">
        <v>110</v>
      </c>
      <c r="K120" s="31" t="s">
        <v>849</v>
      </c>
      <c r="L120" s="31" t="s">
        <v>359</v>
      </c>
      <c r="M120" s="32" t="s">
        <v>360</v>
      </c>
      <c r="N120" s="33" t="s">
        <v>850</v>
      </c>
      <c r="O120" s="34" t="s">
        <v>851</v>
      </c>
    </row>
    <row r="121" ht="54.0" customHeight="1">
      <c r="A121" s="30" t="s">
        <v>1074</v>
      </c>
      <c r="B121" s="31" t="s">
        <v>349</v>
      </c>
      <c r="C121" s="31" t="s">
        <v>10</v>
      </c>
      <c r="D121" s="31" t="s">
        <v>317</v>
      </c>
      <c r="E121" s="31" t="s">
        <v>284</v>
      </c>
      <c r="F121" s="31" t="s">
        <v>350</v>
      </c>
      <c r="G121" s="31" t="s">
        <v>1075</v>
      </c>
      <c r="H121" s="31" t="s">
        <v>60</v>
      </c>
      <c r="I121" s="31" t="s">
        <v>353</v>
      </c>
      <c r="J121" s="31" t="s">
        <v>110</v>
      </c>
      <c r="K121" s="31" t="s">
        <v>849</v>
      </c>
      <c r="L121" s="31" t="s">
        <v>359</v>
      </c>
      <c r="M121" s="32" t="s">
        <v>360</v>
      </c>
      <c r="N121" s="33" t="s">
        <v>850</v>
      </c>
      <c r="O121" s="34" t="s">
        <v>851</v>
      </c>
    </row>
    <row r="122" ht="54.0" customHeight="1">
      <c r="A122" s="30" t="s">
        <v>1076</v>
      </c>
      <c r="B122" s="31" t="s">
        <v>349</v>
      </c>
      <c r="C122" s="31" t="s">
        <v>10</v>
      </c>
      <c r="D122" s="31" t="s">
        <v>317</v>
      </c>
      <c r="E122" s="31" t="s">
        <v>284</v>
      </c>
      <c r="F122" s="31" t="s">
        <v>350</v>
      </c>
      <c r="G122" s="31" t="s">
        <v>1077</v>
      </c>
      <c r="H122" s="31" t="s">
        <v>60</v>
      </c>
      <c r="I122" s="31" t="s">
        <v>353</v>
      </c>
      <c r="J122" s="31" t="s">
        <v>110</v>
      </c>
      <c r="K122" s="31" t="s">
        <v>849</v>
      </c>
      <c r="L122" s="31" t="s">
        <v>359</v>
      </c>
      <c r="M122" s="32" t="s">
        <v>360</v>
      </c>
      <c r="N122" s="33" t="s">
        <v>850</v>
      </c>
      <c r="O122" s="34" t="s">
        <v>851</v>
      </c>
    </row>
    <row r="123" ht="54.0" customHeight="1">
      <c r="A123" s="30" t="s">
        <v>1078</v>
      </c>
      <c r="B123" s="31" t="s">
        <v>349</v>
      </c>
      <c r="C123" s="31" t="s">
        <v>10</v>
      </c>
      <c r="D123" s="31" t="s">
        <v>317</v>
      </c>
      <c r="E123" s="31" t="s">
        <v>284</v>
      </c>
      <c r="F123" s="31" t="s">
        <v>350</v>
      </c>
      <c r="G123" s="31" t="s">
        <v>1079</v>
      </c>
      <c r="H123" s="31" t="s">
        <v>60</v>
      </c>
      <c r="I123" s="31" t="s">
        <v>353</v>
      </c>
      <c r="J123" s="31" t="s">
        <v>110</v>
      </c>
      <c r="K123" s="31" t="s">
        <v>849</v>
      </c>
      <c r="L123" s="31" t="s">
        <v>359</v>
      </c>
      <c r="M123" s="32" t="s">
        <v>360</v>
      </c>
      <c r="N123" s="33" t="s">
        <v>850</v>
      </c>
      <c r="O123" s="34" t="s">
        <v>851</v>
      </c>
    </row>
    <row r="124" ht="54.0" customHeight="1">
      <c r="A124" s="30" t="s">
        <v>1080</v>
      </c>
      <c r="B124" s="31" t="s">
        <v>361</v>
      </c>
      <c r="C124" s="31" t="s">
        <v>10</v>
      </c>
      <c r="D124" s="31" t="s">
        <v>317</v>
      </c>
      <c r="E124" s="31" t="s">
        <v>161</v>
      </c>
      <c r="F124" s="31" t="s">
        <v>362</v>
      </c>
      <c r="G124" s="31" t="s">
        <v>1081</v>
      </c>
      <c r="H124" s="31" t="s">
        <v>64</v>
      </c>
      <c r="I124" s="31" t="s">
        <v>123</v>
      </c>
      <c r="J124" s="31" t="s">
        <v>110</v>
      </c>
      <c r="K124" s="31" t="s">
        <v>849</v>
      </c>
      <c r="L124" s="31" t="s">
        <v>368</v>
      </c>
      <c r="M124" s="32" t="s">
        <v>369</v>
      </c>
      <c r="N124" s="33" t="s">
        <v>850</v>
      </c>
      <c r="O124" s="34" t="s">
        <v>851</v>
      </c>
    </row>
    <row r="125" ht="54.0" customHeight="1">
      <c r="A125" s="30" t="s">
        <v>1082</v>
      </c>
      <c r="B125" s="31" t="s">
        <v>361</v>
      </c>
      <c r="C125" s="31" t="s">
        <v>10</v>
      </c>
      <c r="D125" s="31" t="s">
        <v>317</v>
      </c>
      <c r="E125" s="31" t="s">
        <v>161</v>
      </c>
      <c r="F125" s="31" t="s">
        <v>362</v>
      </c>
      <c r="G125" s="31" t="s">
        <v>1083</v>
      </c>
      <c r="H125" s="31" t="s">
        <v>64</v>
      </c>
      <c r="I125" s="31" t="s">
        <v>123</v>
      </c>
      <c r="J125" s="31" t="s">
        <v>110</v>
      </c>
      <c r="K125" s="31" t="s">
        <v>849</v>
      </c>
      <c r="L125" s="31" t="s">
        <v>368</v>
      </c>
      <c r="M125" s="32" t="s">
        <v>369</v>
      </c>
      <c r="N125" s="33" t="s">
        <v>850</v>
      </c>
      <c r="O125" s="34" t="s">
        <v>851</v>
      </c>
    </row>
    <row r="126" ht="54.0" customHeight="1">
      <c r="A126" s="30" t="s">
        <v>1084</v>
      </c>
      <c r="B126" s="31" t="s">
        <v>361</v>
      </c>
      <c r="C126" s="31" t="s">
        <v>10</v>
      </c>
      <c r="D126" s="31" t="s">
        <v>317</v>
      </c>
      <c r="E126" s="31" t="s">
        <v>161</v>
      </c>
      <c r="F126" s="31" t="s">
        <v>362</v>
      </c>
      <c r="G126" s="31" t="s">
        <v>1085</v>
      </c>
      <c r="H126" s="31" t="s">
        <v>64</v>
      </c>
      <c r="I126" s="31" t="s">
        <v>123</v>
      </c>
      <c r="J126" s="31" t="s">
        <v>110</v>
      </c>
      <c r="K126" s="31" t="s">
        <v>849</v>
      </c>
      <c r="L126" s="31" t="s">
        <v>368</v>
      </c>
      <c r="M126" s="32" t="s">
        <v>369</v>
      </c>
      <c r="N126" s="33" t="s">
        <v>850</v>
      </c>
      <c r="O126" s="34" t="s">
        <v>851</v>
      </c>
    </row>
    <row r="127" ht="54.0" customHeight="1">
      <c r="A127" s="30" t="s">
        <v>1086</v>
      </c>
      <c r="B127" s="31" t="s">
        <v>361</v>
      </c>
      <c r="C127" s="31" t="s">
        <v>10</v>
      </c>
      <c r="D127" s="31" t="s">
        <v>317</v>
      </c>
      <c r="E127" s="31" t="s">
        <v>161</v>
      </c>
      <c r="F127" s="31" t="s">
        <v>362</v>
      </c>
      <c r="G127" s="31" t="s">
        <v>1087</v>
      </c>
      <c r="H127" s="31" t="s">
        <v>64</v>
      </c>
      <c r="I127" s="31" t="s">
        <v>123</v>
      </c>
      <c r="J127" s="31" t="s">
        <v>110</v>
      </c>
      <c r="K127" s="31" t="s">
        <v>849</v>
      </c>
      <c r="L127" s="31" t="s">
        <v>368</v>
      </c>
      <c r="M127" s="32" t="s">
        <v>369</v>
      </c>
      <c r="N127" s="33" t="s">
        <v>850</v>
      </c>
      <c r="O127" s="34" t="s">
        <v>851</v>
      </c>
    </row>
    <row r="128" ht="54.0" customHeight="1">
      <c r="A128" s="30" t="s">
        <v>1088</v>
      </c>
      <c r="B128" s="31" t="s">
        <v>361</v>
      </c>
      <c r="C128" s="31" t="s">
        <v>10</v>
      </c>
      <c r="D128" s="31" t="s">
        <v>317</v>
      </c>
      <c r="E128" s="31" t="s">
        <v>161</v>
      </c>
      <c r="F128" s="31" t="s">
        <v>362</v>
      </c>
      <c r="G128" s="31" t="s">
        <v>1089</v>
      </c>
      <c r="H128" s="31" t="s">
        <v>64</v>
      </c>
      <c r="I128" s="31" t="s">
        <v>123</v>
      </c>
      <c r="J128" s="31" t="s">
        <v>110</v>
      </c>
      <c r="K128" s="31" t="s">
        <v>849</v>
      </c>
      <c r="L128" s="31" t="s">
        <v>368</v>
      </c>
      <c r="M128" s="32" t="s">
        <v>369</v>
      </c>
      <c r="N128" s="33" t="s">
        <v>850</v>
      </c>
      <c r="O128" s="34" t="s">
        <v>851</v>
      </c>
    </row>
    <row r="129" ht="54.0" customHeight="1">
      <c r="A129" s="30" t="s">
        <v>1090</v>
      </c>
      <c r="B129" s="31" t="s">
        <v>370</v>
      </c>
      <c r="C129" s="31" t="s">
        <v>10</v>
      </c>
      <c r="D129" s="31" t="s">
        <v>317</v>
      </c>
      <c r="E129" s="31" t="s">
        <v>172</v>
      </c>
      <c r="F129" s="31" t="s">
        <v>371</v>
      </c>
      <c r="G129" s="31" t="s">
        <v>1091</v>
      </c>
      <c r="H129" s="31" t="s">
        <v>68</v>
      </c>
      <c r="I129" s="31" t="s">
        <v>254</v>
      </c>
      <c r="J129" s="31" t="s">
        <v>110</v>
      </c>
      <c r="K129" s="31" t="s">
        <v>849</v>
      </c>
      <c r="L129" s="31" t="s">
        <v>378</v>
      </c>
      <c r="M129" s="32" t="s">
        <v>379</v>
      </c>
      <c r="N129" s="33" t="s">
        <v>850</v>
      </c>
      <c r="O129" s="34" t="s">
        <v>851</v>
      </c>
    </row>
    <row r="130" ht="54.0" customHeight="1">
      <c r="A130" s="30" t="s">
        <v>1092</v>
      </c>
      <c r="B130" s="31" t="s">
        <v>370</v>
      </c>
      <c r="C130" s="31" t="s">
        <v>10</v>
      </c>
      <c r="D130" s="31" t="s">
        <v>317</v>
      </c>
      <c r="E130" s="31" t="s">
        <v>172</v>
      </c>
      <c r="F130" s="31" t="s">
        <v>371</v>
      </c>
      <c r="G130" s="31" t="s">
        <v>1093</v>
      </c>
      <c r="H130" s="31" t="s">
        <v>68</v>
      </c>
      <c r="I130" s="31" t="s">
        <v>254</v>
      </c>
      <c r="J130" s="31" t="s">
        <v>110</v>
      </c>
      <c r="K130" s="31" t="s">
        <v>849</v>
      </c>
      <c r="L130" s="31" t="s">
        <v>378</v>
      </c>
      <c r="M130" s="32" t="s">
        <v>379</v>
      </c>
      <c r="N130" s="33" t="s">
        <v>850</v>
      </c>
      <c r="O130" s="34" t="s">
        <v>851</v>
      </c>
    </row>
    <row r="131" ht="54.0" customHeight="1">
      <c r="A131" s="30" t="s">
        <v>1094</v>
      </c>
      <c r="B131" s="31" t="s">
        <v>370</v>
      </c>
      <c r="C131" s="31" t="s">
        <v>10</v>
      </c>
      <c r="D131" s="31" t="s">
        <v>317</v>
      </c>
      <c r="E131" s="31" t="s">
        <v>172</v>
      </c>
      <c r="F131" s="31" t="s">
        <v>371</v>
      </c>
      <c r="G131" s="31" t="s">
        <v>1095</v>
      </c>
      <c r="H131" s="31" t="s">
        <v>68</v>
      </c>
      <c r="I131" s="31" t="s">
        <v>254</v>
      </c>
      <c r="J131" s="31" t="s">
        <v>110</v>
      </c>
      <c r="K131" s="31" t="s">
        <v>849</v>
      </c>
      <c r="L131" s="31" t="s">
        <v>378</v>
      </c>
      <c r="M131" s="32" t="s">
        <v>379</v>
      </c>
      <c r="N131" s="33" t="s">
        <v>850</v>
      </c>
      <c r="O131" s="34" t="s">
        <v>851</v>
      </c>
    </row>
    <row r="132" ht="54.0" customHeight="1">
      <c r="A132" s="30" t="s">
        <v>1096</v>
      </c>
      <c r="B132" s="31" t="s">
        <v>370</v>
      </c>
      <c r="C132" s="31" t="s">
        <v>10</v>
      </c>
      <c r="D132" s="31" t="s">
        <v>317</v>
      </c>
      <c r="E132" s="31" t="s">
        <v>172</v>
      </c>
      <c r="F132" s="31" t="s">
        <v>371</v>
      </c>
      <c r="G132" s="31" t="s">
        <v>1097</v>
      </c>
      <c r="H132" s="31" t="s">
        <v>68</v>
      </c>
      <c r="I132" s="31" t="s">
        <v>254</v>
      </c>
      <c r="J132" s="31" t="s">
        <v>110</v>
      </c>
      <c r="K132" s="31" t="s">
        <v>849</v>
      </c>
      <c r="L132" s="31" t="s">
        <v>378</v>
      </c>
      <c r="M132" s="32" t="s">
        <v>379</v>
      </c>
      <c r="N132" s="33" t="s">
        <v>850</v>
      </c>
      <c r="O132" s="34" t="s">
        <v>851</v>
      </c>
    </row>
    <row r="133" ht="54.0" customHeight="1">
      <c r="A133" s="30" t="s">
        <v>1098</v>
      </c>
      <c r="B133" s="31" t="s">
        <v>370</v>
      </c>
      <c r="C133" s="31" t="s">
        <v>10</v>
      </c>
      <c r="D133" s="31" t="s">
        <v>317</v>
      </c>
      <c r="E133" s="31" t="s">
        <v>172</v>
      </c>
      <c r="F133" s="31" t="s">
        <v>371</v>
      </c>
      <c r="G133" s="31" t="s">
        <v>1099</v>
      </c>
      <c r="H133" s="31" t="s">
        <v>68</v>
      </c>
      <c r="I133" s="31" t="s">
        <v>254</v>
      </c>
      <c r="J133" s="31" t="s">
        <v>110</v>
      </c>
      <c r="K133" s="31" t="s">
        <v>849</v>
      </c>
      <c r="L133" s="31" t="s">
        <v>378</v>
      </c>
      <c r="M133" s="32" t="s">
        <v>379</v>
      </c>
      <c r="N133" s="33" t="s">
        <v>850</v>
      </c>
      <c r="O133" s="34" t="s">
        <v>851</v>
      </c>
    </row>
    <row r="134" ht="54.0" customHeight="1">
      <c r="A134" s="30" t="s">
        <v>1100</v>
      </c>
      <c r="B134" s="31" t="s">
        <v>380</v>
      </c>
      <c r="C134" s="31" t="s">
        <v>10</v>
      </c>
      <c r="D134" s="31" t="s">
        <v>317</v>
      </c>
      <c r="E134" s="31" t="s">
        <v>172</v>
      </c>
      <c r="F134" s="31" t="s">
        <v>381</v>
      </c>
      <c r="G134" s="31" t="s">
        <v>1101</v>
      </c>
      <c r="H134" s="31" t="s">
        <v>64</v>
      </c>
      <c r="I134" s="31" t="s">
        <v>384</v>
      </c>
      <c r="J134" s="31" t="s">
        <v>110</v>
      </c>
      <c r="K134" s="31" t="s">
        <v>849</v>
      </c>
      <c r="L134" s="31" t="s">
        <v>388</v>
      </c>
      <c r="M134" s="32" t="s">
        <v>389</v>
      </c>
      <c r="N134" s="33" t="s">
        <v>850</v>
      </c>
      <c r="O134" s="34" t="s">
        <v>851</v>
      </c>
    </row>
    <row r="135" ht="54.0" customHeight="1">
      <c r="A135" s="30" t="s">
        <v>1102</v>
      </c>
      <c r="B135" s="31" t="s">
        <v>380</v>
      </c>
      <c r="C135" s="31" t="s">
        <v>10</v>
      </c>
      <c r="D135" s="31" t="s">
        <v>317</v>
      </c>
      <c r="E135" s="31" t="s">
        <v>172</v>
      </c>
      <c r="F135" s="31" t="s">
        <v>381</v>
      </c>
      <c r="G135" s="31" t="s">
        <v>1103</v>
      </c>
      <c r="H135" s="31" t="s">
        <v>64</v>
      </c>
      <c r="I135" s="31" t="s">
        <v>384</v>
      </c>
      <c r="J135" s="31" t="s">
        <v>110</v>
      </c>
      <c r="K135" s="31" t="s">
        <v>849</v>
      </c>
      <c r="L135" s="31" t="s">
        <v>388</v>
      </c>
      <c r="M135" s="32" t="s">
        <v>389</v>
      </c>
      <c r="N135" s="33" t="s">
        <v>850</v>
      </c>
      <c r="O135" s="34" t="s">
        <v>851</v>
      </c>
    </row>
    <row r="136" ht="54.0" customHeight="1">
      <c r="A136" s="30" t="s">
        <v>1104</v>
      </c>
      <c r="B136" s="31" t="s">
        <v>380</v>
      </c>
      <c r="C136" s="31" t="s">
        <v>10</v>
      </c>
      <c r="D136" s="31" t="s">
        <v>317</v>
      </c>
      <c r="E136" s="31" t="s">
        <v>172</v>
      </c>
      <c r="F136" s="31" t="s">
        <v>381</v>
      </c>
      <c r="G136" s="31" t="s">
        <v>1105</v>
      </c>
      <c r="H136" s="31" t="s">
        <v>64</v>
      </c>
      <c r="I136" s="31" t="s">
        <v>384</v>
      </c>
      <c r="J136" s="31" t="s">
        <v>110</v>
      </c>
      <c r="K136" s="31" t="s">
        <v>849</v>
      </c>
      <c r="L136" s="31" t="s">
        <v>388</v>
      </c>
      <c r="M136" s="32" t="s">
        <v>389</v>
      </c>
      <c r="N136" s="33" t="s">
        <v>850</v>
      </c>
      <c r="O136" s="34" t="s">
        <v>851</v>
      </c>
    </row>
    <row r="137" ht="54.0" customHeight="1">
      <c r="A137" s="30" t="s">
        <v>1106</v>
      </c>
      <c r="B137" s="31" t="s">
        <v>380</v>
      </c>
      <c r="C137" s="31" t="s">
        <v>10</v>
      </c>
      <c r="D137" s="31" t="s">
        <v>317</v>
      </c>
      <c r="E137" s="31" t="s">
        <v>172</v>
      </c>
      <c r="F137" s="31" t="s">
        <v>381</v>
      </c>
      <c r="G137" s="31" t="s">
        <v>1107</v>
      </c>
      <c r="H137" s="31" t="s">
        <v>64</v>
      </c>
      <c r="I137" s="31" t="s">
        <v>384</v>
      </c>
      <c r="J137" s="31" t="s">
        <v>110</v>
      </c>
      <c r="K137" s="31" t="s">
        <v>849</v>
      </c>
      <c r="L137" s="31" t="s">
        <v>388</v>
      </c>
      <c r="M137" s="32" t="s">
        <v>389</v>
      </c>
      <c r="N137" s="33" t="s">
        <v>850</v>
      </c>
      <c r="O137" s="34" t="s">
        <v>851</v>
      </c>
    </row>
    <row r="138" ht="54.0" customHeight="1">
      <c r="A138" s="30" t="s">
        <v>1108</v>
      </c>
      <c r="B138" s="31" t="s">
        <v>380</v>
      </c>
      <c r="C138" s="31" t="s">
        <v>10</v>
      </c>
      <c r="D138" s="31" t="s">
        <v>317</v>
      </c>
      <c r="E138" s="31" t="s">
        <v>172</v>
      </c>
      <c r="F138" s="31" t="s">
        <v>381</v>
      </c>
      <c r="G138" s="31" t="s">
        <v>1109</v>
      </c>
      <c r="H138" s="31" t="s">
        <v>64</v>
      </c>
      <c r="I138" s="31" t="s">
        <v>384</v>
      </c>
      <c r="J138" s="31" t="s">
        <v>110</v>
      </c>
      <c r="K138" s="31" t="s">
        <v>849</v>
      </c>
      <c r="L138" s="31" t="s">
        <v>388</v>
      </c>
      <c r="M138" s="32" t="s">
        <v>389</v>
      </c>
      <c r="N138" s="33" t="s">
        <v>850</v>
      </c>
      <c r="O138" s="34" t="s">
        <v>851</v>
      </c>
    </row>
    <row r="139" ht="54.0" customHeight="1">
      <c r="A139" s="30" t="s">
        <v>1110</v>
      </c>
      <c r="B139" s="31" t="s">
        <v>380</v>
      </c>
      <c r="C139" s="31" t="s">
        <v>10</v>
      </c>
      <c r="D139" s="31" t="s">
        <v>317</v>
      </c>
      <c r="E139" s="31" t="s">
        <v>172</v>
      </c>
      <c r="F139" s="31" t="s">
        <v>381</v>
      </c>
      <c r="G139" s="31" t="s">
        <v>1111</v>
      </c>
      <c r="H139" s="31" t="s">
        <v>64</v>
      </c>
      <c r="I139" s="31" t="s">
        <v>384</v>
      </c>
      <c r="J139" s="31" t="s">
        <v>110</v>
      </c>
      <c r="K139" s="31" t="s">
        <v>849</v>
      </c>
      <c r="L139" s="31" t="s">
        <v>388</v>
      </c>
      <c r="M139" s="32" t="s">
        <v>389</v>
      </c>
      <c r="N139" s="33" t="s">
        <v>850</v>
      </c>
      <c r="O139" s="34" t="s">
        <v>851</v>
      </c>
    </row>
    <row r="140" ht="54.0" customHeight="1">
      <c r="A140" s="30" t="s">
        <v>1112</v>
      </c>
      <c r="B140" s="31" t="s">
        <v>390</v>
      </c>
      <c r="C140" s="31" t="s">
        <v>10</v>
      </c>
      <c r="D140" s="31" t="s">
        <v>317</v>
      </c>
      <c r="E140" s="31" t="s">
        <v>147</v>
      </c>
      <c r="F140" s="31" t="s">
        <v>391</v>
      </c>
      <c r="G140" s="31" t="s">
        <v>1113</v>
      </c>
      <c r="H140" s="31" t="s">
        <v>56</v>
      </c>
      <c r="I140" s="31" t="s">
        <v>394</v>
      </c>
      <c r="J140" s="31" t="s">
        <v>110</v>
      </c>
      <c r="K140" s="31" t="s">
        <v>849</v>
      </c>
      <c r="L140" s="31" t="s">
        <v>399</v>
      </c>
      <c r="M140" s="32" t="s">
        <v>400</v>
      </c>
      <c r="N140" s="33" t="s">
        <v>850</v>
      </c>
      <c r="O140" s="34" t="s">
        <v>851</v>
      </c>
    </row>
    <row r="141" ht="54.0" customHeight="1">
      <c r="A141" s="30" t="s">
        <v>1114</v>
      </c>
      <c r="B141" s="31" t="s">
        <v>390</v>
      </c>
      <c r="C141" s="31" t="s">
        <v>10</v>
      </c>
      <c r="D141" s="31" t="s">
        <v>317</v>
      </c>
      <c r="E141" s="31" t="s">
        <v>147</v>
      </c>
      <c r="F141" s="31" t="s">
        <v>391</v>
      </c>
      <c r="G141" s="31" t="s">
        <v>1115</v>
      </c>
      <c r="H141" s="31" t="s">
        <v>56</v>
      </c>
      <c r="I141" s="31" t="s">
        <v>394</v>
      </c>
      <c r="J141" s="31" t="s">
        <v>110</v>
      </c>
      <c r="K141" s="31" t="s">
        <v>849</v>
      </c>
      <c r="L141" s="31" t="s">
        <v>399</v>
      </c>
      <c r="M141" s="32" t="s">
        <v>400</v>
      </c>
      <c r="N141" s="33" t="s">
        <v>850</v>
      </c>
      <c r="O141" s="34" t="s">
        <v>851</v>
      </c>
    </row>
    <row r="142" ht="54.0" customHeight="1">
      <c r="A142" s="30" t="s">
        <v>1116</v>
      </c>
      <c r="B142" s="31" t="s">
        <v>390</v>
      </c>
      <c r="C142" s="31" t="s">
        <v>10</v>
      </c>
      <c r="D142" s="31" t="s">
        <v>317</v>
      </c>
      <c r="E142" s="31" t="s">
        <v>147</v>
      </c>
      <c r="F142" s="31" t="s">
        <v>391</v>
      </c>
      <c r="G142" s="31" t="s">
        <v>1117</v>
      </c>
      <c r="H142" s="31" t="s">
        <v>56</v>
      </c>
      <c r="I142" s="31" t="s">
        <v>394</v>
      </c>
      <c r="J142" s="31" t="s">
        <v>110</v>
      </c>
      <c r="K142" s="31" t="s">
        <v>849</v>
      </c>
      <c r="L142" s="31" t="s">
        <v>399</v>
      </c>
      <c r="M142" s="32" t="s">
        <v>400</v>
      </c>
      <c r="N142" s="33" t="s">
        <v>850</v>
      </c>
      <c r="O142" s="34" t="s">
        <v>851</v>
      </c>
    </row>
    <row r="143" ht="54.0" customHeight="1">
      <c r="A143" s="30" t="s">
        <v>1118</v>
      </c>
      <c r="B143" s="31" t="s">
        <v>390</v>
      </c>
      <c r="C143" s="31" t="s">
        <v>10</v>
      </c>
      <c r="D143" s="31" t="s">
        <v>317</v>
      </c>
      <c r="E143" s="31" t="s">
        <v>147</v>
      </c>
      <c r="F143" s="31" t="s">
        <v>391</v>
      </c>
      <c r="G143" s="31" t="s">
        <v>1119</v>
      </c>
      <c r="H143" s="31" t="s">
        <v>56</v>
      </c>
      <c r="I143" s="31" t="s">
        <v>394</v>
      </c>
      <c r="J143" s="31" t="s">
        <v>110</v>
      </c>
      <c r="K143" s="31" t="s">
        <v>849</v>
      </c>
      <c r="L143" s="31" t="s">
        <v>399</v>
      </c>
      <c r="M143" s="32" t="s">
        <v>400</v>
      </c>
      <c r="N143" s="33" t="s">
        <v>850</v>
      </c>
      <c r="O143" s="34" t="s">
        <v>851</v>
      </c>
    </row>
    <row r="144" ht="54.0" customHeight="1">
      <c r="A144" s="30" t="s">
        <v>1120</v>
      </c>
      <c r="B144" s="31" t="s">
        <v>390</v>
      </c>
      <c r="C144" s="31" t="s">
        <v>10</v>
      </c>
      <c r="D144" s="31" t="s">
        <v>317</v>
      </c>
      <c r="E144" s="31" t="s">
        <v>147</v>
      </c>
      <c r="F144" s="31" t="s">
        <v>391</v>
      </c>
      <c r="G144" s="31" t="s">
        <v>1121</v>
      </c>
      <c r="H144" s="31" t="s">
        <v>56</v>
      </c>
      <c r="I144" s="31" t="s">
        <v>394</v>
      </c>
      <c r="J144" s="31" t="s">
        <v>110</v>
      </c>
      <c r="K144" s="31" t="s">
        <v>849</v>
      </c>
      <c r="L144" s="31" t="s">
        <v>399</v>
      </c>
      <c r="M144" s="32" t="s">
        <v>400</v>
      </c>
      <c r="N144" s="33" t="s">
        <v>850</v>
      </c>
      <c r="O144" s="34" t="s">
        <v>851</v>
      </c>
    </row>
    <row r="145" ht="54.0" customHeight="1">
      <c r="A145" s="30" t="s">
        <v>1122</v>
      </c>
      <c r="B145" s="31" t="s">
        <v>390</v>
      </c>
      <c r="C145" s="31" t="s">
        <v>10</v>
      </c>
      <c r="D145" s="31" t="s">
        <v>317</v>
      </c>
      <c r="E145" s="31" t="s">
        <v>147</v>
      </c>
      <c r="F145" s="31" t="s">
        <v>391</v>
      </c>
      <c r="G145" s="31" t="s">
        <v>1123</v>
      </c>
      <c r="H145" s="31" t="s">
        <v>56</v>
      </c>
      <c r="I145" s="31" t="s">
        <v>394</v>
      </c>
      <c r="J145" s="31" t="s">
        <v>110</v>
      </c>
      <c r="K145" s="31" t="s">
        <v>849</v>
      </c>
      <c r="L145" s="31" t="s">
        <v>399</v>
      </c>
      <c r="M145" s="32" t="s">
        <v>400</v>
      </c>
      <c r="N145" s="33" t="s">
        <v>850</v>
      </c>
      <c r="O145" s="34" t="s">
        <v>851</v>
      </c>
    </row>
    <row r="146" ht="54.0" customHeight="1">
      <c r="A146" s="30" t="s">
        <v>1124</v>
      </c>
      <c r="B146" s="31" t="s">
        <v>403</v>
      </c>
      <c r="C146" s="31" t="s">
        <v>10</v>
      </c>
      <c r="D146" s="31" t="s">
        <v>317</v>
      </c>
      <c r="E146" s="31" t="s">
        <v>185</v>
      </c>
      <c r="F146" s="31" t="s">
        <v>404</v>
      </c>
      <c r="G146" s="31" t="s">
        <v>1125</v>
      </c>
      <c r="H146" s="31" t="s">
        <v>68</v>
      </c>
      <c r="I146" s="31" t="s">
        <v>176</v>
      </c>
      <c r="J146" s="31" t="s">
        <v>110</v>
      </c>
      <c r="K146" s="31" t="s">
        <v>849</v>
      </c>
      <c r="L146" s="31" t="s">
        <v>412</v>
      </c>
      <c r="M146" s="32" t="s">
        <v>413</v>
      </c>
      <c r="N146" s="33" t="s">
        <v>850</v>
      </c>
      <c r="O146" s="34" t="s">
        <v>851</v>
      </c>
    </row>
    <row r="147" ht="54.0" customHeight="1">
      <c r="A147" s="30" t="s">
        <v>1126</v>
      </c>
      <c r="B147" s="31" t="s">
        <v>403</v>
      </c>
      <c r="C147" s="31" t="s">
        <v>10</v>
      </c>
      <c r="D147" s="31" t="s">
        <v>317</v>
      </c>
      <c r="E147" s="31" t="s">
        <v>185</v>
      </c>
      <c r="F147" s="31" t="s">
        <v>404</v>
      </c>
      <c r="G147" s="31" t="s">
        <v>1127</v>
      </c>
      <c r="H147" s="31" t="s">
        <v>68</v>
      </c>
      <c r="I147" s="31" t="s">
        <v>176</v>
      </c>
      <c r="J147" s="31" t="s">
        <v>110</v>
      </c>
      <c r="K147" s="31" t="s">
        <v>849</v>
      </c>
      <c r="L147" s="31" t="s">
        <v>412</v>
      </c>
      <c r="M147" s="32" t="s">
        <v>413</v>
      </c>
      <c r="N147" s="33" t="s">
        <v>850</v>
      </c>
      <c r="O147" s="34" t="s">
        <v>851</v>
      </c>
    </row>
    <row r="148" ht="54.0" customHeight="1">
      <c r="A148" s="30" t="s">
        <v>1128</v>
      </c>
      <c r="B148" s="31" t="s">
        <v>403</v>
      </c>
      <c r="C148" s="31" t="s">
        <v>10</v>
      </c>
      <c r="D148" s="31" t="s">
        <v>317</v>
      </c>
      <c r="E148" s="31" t="s">
        <v>185</v>
      </c>
      <c r="F148" s="31" t="s">
        <v>404</v>
      </c>
      <c r="G148" s="31" t="s">
        <v>1025</v>
      </c>
      <c r="H148" s="31" t="s">
        <v>68</v>
      </c>
      <c r="I148" s="31" t="s">
        <v>176</v>
      </c>
      <c r="J148" s="31" t="s">
        <v>110</v>
      </c>
      <c r="K148" s="31" t="s">
        <v>849</v>
      </c>
      <c r="L148" s="31" t="s">
        <v>412</v>
      </c>
      <c r="M148" s="32" t="s">
        <v>413</v>
      </c>
      <c r="N148" s="33" t="s">
        <v>850</v>
      </c>
      <c r="O148" s="34" t="s">
        <v>851</v>
      </c>
    </row>
    <row r="149" ht="54.0" customHeight="1">
      <c r="A149" s="30" t="s">
        <v>1129</v>
      </c>
      <c r="B149" s="31" t="s">
        <v>403</v>
      </c>
      <c r="C149" s="31" t="s">
        <v>10</v>
      </c>
      <c r="D149" s="31" t="s">
        <v>317</v>
      </c>
      <c r="E149" s="31" t="s">
        <v>185</v>
      </c>
      <c r="F149" s="31" t="s">
        <v>404</v>
      </c>
      <c r="G149" s="31" t="s">
        <v>1130</v>
      </c>
      <c r="H149" s="31" t="s">
        <v>68</v>
      </c>
      <c r="I149" s="31" t="s">
        <v>176</v>
      </c>
      <c r="J149" s="31" t="s">
        <v>110</v>
      </c>
      <c r="K149" s="31" t="s">
        <v>849</v>
      </c>
      <c r="L149" s="31" t="s">
        <v>412</v>
      </c>
      <c r="M149" s="32" t="s">
        <v>413</v>
      </c>
      <c r="N149" s="33" t="s">
        <v>850</v>
      </c>
      <c r="O149" s="34" t="s">
        <v>851</v>
      </c>
    </row>
    <row r="150" ht="54.0" customHeight="1">
      <c r="A150" s="30" t="s">
        <v>1131</v>
      </c>
      <c r="B150" s="31" t="s">
        <v>403</v>
      </c>
      <c r="C150" s="31" t="s">
        <v>10</v>
      </c>
      <c r="D150" s="31" t="s">
        <v>317</v>
      </c>
      <c r="E150" s="31" t="s">
        <v>185</v>
      </c>
      <c r="F150" s="31" t="s">
        <v>404</v>
      </c>
      <c r="G150" s="31" t="s">
        <v>1132</v>
      </c>
      <c r="H150" s="31" t="s">
        <v>68</v>
      </c>
      <c r="I150" s="31" t="s">
        <v>176</v>
      </c>
      <c r="J150" s="31" t="s">
        <v>110</v>
      </c>
      <c r="K150" s="31" t="s">
        <v>849</v>
      </c>
      <c r="L150" s="31" t="s">
        <v>412</v>
      </c>
      <c r="M150" s="32" t="s">
        <v>413</v>
      </c>
      <c r="N150" s="33" t="s">
        <v>850</v>
      </c>
      <c r="O150" s="34" t="s">
        <v>851</v>
      </c>
    </row>
    <row r="151" ht="54.0" customHeight="1">
      <c r="A151" s="30" t="s">
        <v>1133</v>
      </c>
      <c r="B151" s="31" t="s">
        <v>403</v>
      </c>
      <c r="C151" s="31" t="s">
        <v>10</v>
      </c>
      <c r="D151" s="31" t="s">
        <v>317</v>
      </c>
      <c r="E151" s="31" t="s">
        <v>185</v>
      </c>
      <c r="F151" s="31" t="s">
        <v>404</v>
      </c>
      <c r="G151" s="31" t="s">
        <v>1134</v>
      </c>
      <c r="H151" s="31" t="s">
        <v>68</v>
      </c>
      <c r="I151" s="31" t="s">
        <v>176</v>
      </c>
      <c r="J151" s="31" t="s">
        <v>110</v>
      </c>
      <c r="K151" s="31" t="s">
        <v>849</v>
      </c>
      <c r="L151" s="31" t="s">
        <v>412</v>
      </c>
      <c r="M151" s="32" t="s">
        <v>413</v>
      </c>
      <c r="N151" s="33" t="s">
        <v>850</v>
      </c>
      <c r="O151" s="34" t="s">
        <v>851</v>
      </c>
    </row>
    <row r="152" ht="54.0" customHeight="1">
      <c r="A152" s="30" t="s">
        <v>1135</v>
      </c>
      <c r="B152" s="31" t="s">
        <v>414</v>
      </c>
      <c r="C152" s="31" t="s">
        <v>10</v>
      </c>
      <c r="D152" s="31" t="s">
        <v>317</v>
      </c>
      <c r="E152" s="31" t="s">
        <v>185</v>
      </c>
      <c r="F152" s="31" t="s">
        <v>415</v>
      </c>
      <c r="G152" s="31" t="s">
        <v>1136</v>
      </c>
      <c r="H152" s="31" t="s">
        <v>68</v>
      </c>
      <c r="I152" s="31" t="s">
        <v>309</v>
      </c>
      <c r="J152" s="31" t="s">
        <v>110</v>
      </c>
      <c r="K152" s="31" t="s">
        <v>849</v>
      </c>
      <c r="L152" s="31" t="s">
        <v>421</v>
      </c>
      <c r="M152" s="32" t="s">
        <v>422</v>
      </c>
      <c r="N152" s="33" t="s">
        <v>850</v>
      </c>
      <c r="O152" s="34" t="s">
        <v>851</v>
      </c>
    </row>
    <row r="153" ht="54.0" customHeight="1">
      <c r="A153" s="30" t="s">
        <v>1137</v>
      </c>
      <c r="B153" s="31" t="s">
        <v>414</v>
      </c>
      <c r="C153" s="31" t="s">
        <v>10</v>
      </c>
      <c r="D153" s="31" t="s">
        <v>317</v>
      </c>
      <c r="E153" s="31" t="s">
        <v>185</v>
      </c>
      <c r="F153" s="31" t="s">
        <v>415</v>
      </c>
      <c r="G153" s="31" t="s">
        <v>1138</v>
      </c>
      <c r="H153" s="31" t="s">
        <v>68</v>
      </c>
      <c r="I153" s="31" t="s">
        <v>309</v>
      </c>
      <c r="J153" s="31" t="s">
        <v>110</v>
      </c>
      <c r="K153" s="31" t="s">
        <v>849</v>
      </c>
      <c r="L153" s="31" t="s">
        <v>421</v>
      </c>
      <c r="M153" s="32" t="s">
        <v>422</v>
      </c>
      <c r="N153" s="33" t="s">
        <v>850</v>
      </c>
      <c r="O153" s="34" t="s">
        <v>851</v>
      </c>
    </row>
    <row r="154" ht="54.0" customHeight="1">
      <c r="A154" s="30" t="s">
        <v>1139</v>
      </c>
      <c r="B154" s="31" t="s">
        <v>414</v>
      </c>
      <c r="C154" s="31" t="s">
        <v>10</v>
      </c>
      <c r="D154" s="31" t="s">
        <v>317</v>
      </c>
      <c r="E154" s="31" t="s">
        <v>185</v>
      </c>
      <c r="F154" s="31" t="s">
        <v>415</v>
      </c>
      <c r="G154" s="31" t="s">
        <v>1140</v>
      </c>
      <c r="H154" s="31" t="s">
        <v>68</v>
      </c>
      <c r="I154" s="31" t="s">
        <v>309</v>
      </c>
      <c r="J154" s="31" t="s">
        <v>110</v>
      </c>
      <c r="K154" s="31" t="s">
        <v>849</v>
      </c>
      <c r="L154" s="31" t="s">
        <v>421</v>
      </c>
      <c r="M154" s="32" t="s">
        <v>422</v>
      </c>
      <c r="N154" s="33" t="s">
        <v>850</v>
      </c>
      <c r="O154" s="34" t="s">
        <v>851</v>
      </c>
    </row>
    <row r="155" ht="54.0" customHeight="1">
      <c r="A155" s="30" t="s">
        <v>1141</v>
      </c>
      <c r="B155" s="31" t="s">
        <v>414</v>
      </c>
      <c r="C155" s="31" t="s">
        <v>10</v>
      </c>
      <c r="D155" s="31" t="s">
        <v>317</v>
      </c>
      <c r="E155" s="31" t="s">
        <v>185</v>
      </c>
      <c r="F155" s="31" t="s">
        <v>415</v>
      </c>
      <c r="G155" s="31" t="s">
        <v>1142</v>
      </c>
      <c r="H155" s="31" t="s">
        <v>68</v>
      </c>
      <c r="I155" s="31" t="s">
        <v>309</v>
      </c>
      <c r="J155" s="31" t="s">
        <v>110</v>
      </c>
      <c r="K155" s="31" t="s">
        <v>849</v>
      </c>
      <c r="L155" s="31" t="s">
        <v>421</v>
      </c>
      <c r="M155" s="32" t="s">
        <v>422</v>
      </c>
      <c r="N155" s="33" t="s">
        <v>850</v>
      </c>
      <c r="O155" s="34" t="s">
        <v>851</v>
      </c>
    </row>
    <row r="156" ht="54.0" customHeight="1">
      <c r="A156" s="30" t="s">
        <v>1143</v>
      </c>
      <c r="B156" s="31" t="s">
        <v>414</v>
      </c>
      <c r="C156" s="31" t="s">
        <v>10</v>
      </c>
      <c r="D156" s="31" t="s">
        <v>317</v>
      </c>
      <c r="E156" s="31" t="s">
        <v>185</v>
      </c>
      <c r="F156" s="31" t="s">
        <v>415</v>
      </c>
      <c r="G156" s="31" t="s">
        <v>1144</v>
      </c>
      <c r="H156" s="31" t="s">
        <v>68</v>
      </c>
      <c r="I156" s="31" t="s">
        <v>309</v>
      </c>
      <c r="J156" s="31" t="s">
        <v>110</v>
      </c>
      <c r="K156" s="31" t="s">
        <v>849</v>
      </c>
      <c r="L156" s="31" t="s">
        <v>421</v>
      </c>
      <c r="M156" s="32" t="s">
        <v>422</v>
      </c>
      <c r="N156" s="33" t="s">
        <v>850</v>
      </c>
      <c r="O156" s="34" t="s">
        <v>851</v>
      </c>
    </row>
    <row r="157" ht="54.0" customHeight="1">
      <c r="A157" s="30" t="s">
        <v>1145</v>
      </c>
      <c r="B157" s="31" t="s">
        <v>423</v>
      </c>
      <c r="C157" s="31" t="s">
        <v>10</v>
      </c>
      <c r="D157" s="31" t="s">
        <v>424</v>
      </c>
      <c r="E157" s="31" t="s">
        <v>119</v>
      </c>
      <c r="F157" s="31" t="s">
        <v>425</v>
      </c>
      <c r="G157" s="31" t="s">
        <v>1146</v>
      </c>
      <c r="H157" s="31" t="s">
        <v>60</v>
      </c>
      <c r="I157" s="31" t="s">
        <v>321</v>
      </c>
      <c r="J157" s="31" t="s">
        <v>110</v>
      </c>
      <c r="K157" s="31" t="s">
        <v>849</v>
      </c>
      <c r="L157" s="31" t="s">
        <v>432</v>
      </c>
      <c r="M157" s="32" t="s">
        <v>433</v>
      </c>
      <c r="N157" s="33" t="s">
        <v>850</v>
      </c>
      <c r="O157" s="34" t="s">
        <v>851</v>
      </c>
    </row>
    <row r="158" ht="54.0" customHeight="1">
      <c r="A158" s="30" t="s">
        <v>1147</v>
      </c>
      <c r="B158" s="31" t="s">
        <v>423</v>
      </c>
      <c r="C158" s="31" t="s">
        <v>10</v>
      </c>
      <c r="D158" s="31" t="s">
        <v>424</v>
      </c>
      <c r="E158" s="31" t="s">
        <v>119</v>
      </c>
      <c r="F158" s="31" t="s">
        <v>425</v>
      </c>
      <c r="G158" s="31" t="s">
        <v>867</v>
      </c>
      <c r="H158" s="31" t="s">
        <v>60</v>
      </c>
      <c r="I158" s="31" t="s">
        <v>321</v>
      </c>
      <c r="J158" s="31" t="s">
        <v>110</v>
      </c>
      <c r="K158" s="31" t="s">
        <v>849</v>
      </c>
      <c r="L158" s="31" t="s">
        <v>432</v>
      </c>
      <c r="M158" s="32" t="s">
        <v>433</v>
      </c>
      <c r="N158" s="33" t="s">
        <v>850</v>
      </c>
      <c r="O158" s="34" t="s">
        <v>851</v>
      </c>
    </row>
    <row r="159" ht="54.0" customHeight="1">
      <c r="A159" s="30" t="s">
        <v>1148</v>
      </c>
      <c r="B159" s="31" t="s">
        <v>423</v>
      </c>
      <c r="C159" s="31" t="s">
        <v>10</v>
      </c>
      <c r="D159" s="31" t="s">
        <v>424</v>
      </c>
      <c r="E159" s="31" t="s">
        <v>119</v>
      </c>
      <c r="F159" s="31" t="s">
        <v>425</v>
      </c>
      <c r="G159" s="31" t="s">
        <v>1149</v>
      </c>
      <c r="H159" s="31" t="s">
        <v>60</v>
      </c>
      <c r="I159" s="31" t="s">
        <v>321</v>
      </c>
      <c r="J159" s="31" t="s">
        <v>110</v>
      </c>
      <c r="K159" s="31" t="s">
        <v>849</v>
      </c>
      <c r="L159" s="31" t="s">
        <v>432</v>
      </c>
      <c r="M159" s="32" t="s">
        <v>433</v>
      </c>
      <c r="N159" s="33" t="s">
        <v>850</v>
      </c>
      <c r="O159" s="34" t="s">
        <v>851</v>
      </c>
    </row>
    <row r="160" ht="54.0" customHeight="1">
      <c r="A160" s="30" t="s">
        <v>1150</v>
      </c>
      <c r="B160" s="31" t="s">
        <v>423</v>
      </c>
      <c r="C160" s="31" t="s">
        <v>10</v>
      </c>
      <c r="D160" s="31" t="s">
        <v>424</v>
      </c>
      <c r="E160" s="31" t="s">
        <v>119</v>
      </c>
      <c r="F160" s="31" t="s">
        <v>425</v>
      </c>
      <c r="G160" s="31" t="s">
        <v>1151</v>
      </c>
      <c r="H160" s="31" t="s">
        <v>60</v>
      </c>
      <c r="I160" s="31" t="s">
        <v>321</v>
      </c>
      <c r="J160" s="31" t="s">
        <v>110</v>
      </c>
      <c r="K160" s="31" t="s">
        <v>849</v>
      </c>
      <c r="L160" s="31" t="s">
        <v>432</v>
      </c>
      <c r="M160" s="32" t="s">
        <v>433</v>
      </c>
      <c r="N160" s="33" t="s">
        <v>850</v>
      </c>
      <c r="O160" s="34" t="s">
        <v>851</v>
      </c>
    </row>
    <row r="161" ht="54.0" customHeight="1">
      <c r="A161" s="30" t="s">
        <v>1152</v>
      </c>
      <c r="B161" s="31" t="s">
        <v>423</v>
      </c>
      <c r="C161" s="31" t="s">
        <v>10</v>
      </c>
      <c r="D161" s="31" t="s">
        <v>424</v>
      </c>
      <c r="E161" s="31" t="s">
        <v>119</v>
      </c>
      <c r="F161" s="31" t="s">
        <v>425</v>
      </c>
      <c r="G161" s="31" t="s">
        <v>1153</v>
      </c>
      <c r="H161" s="31" t="s">
        <v>60</v>
      </c>
      <c r="I161" s="31" t="s">
        <v>321</v>
      </c>
      <c r="J161" s="31" t="s">
        <v>110</v>
      </c>
      <c r="K161" s="31" t="s">
        <v>849</v>
      </c>
      <c r="L161" s="31" t="s">
        <v>432</v>
      </c>
      <c r="M161" s="32" t="s">
        <v>433</v>
      </c>
      <c r="N161" s="33" t="s">
        <v>850</v>
      </c>
      <c r="O161" s="34" t="s">
        <v>851</v>
      </c>
    </row>
    <row r="162" ht="54.0" customHeight="1">
      <c r="A162" s="30" t="s">
        <v>1154</v>
      </c>
      <c r="B162" s="31" t="s">
        <v>423</v>
      </c>
      <c r="C162" s="31" t="s">
        <v>10</v>
      </c>
      <c r="D162" s="31" t="s">
        <v>424</v>
      </c>
      <c r="E162" s="31" t="s">
        <v>119</v>
      </c>
      <c r="F162" s="31" t="s">
        <v>425</v>
      </c>
      <c r="G162" s="31" t="s">
        <v>1155</v>
      </c>
      <c r="H162" s="31" t="s">
        <v>60</v>
      </c>
      <c r="I162" s="31" t="s">
        <v>321</v>
      </c>
      <c r="J162" s="31" t="s">
        <v>110</v>
      </c>
      <c r="K162" s="31" t="s">
        <v>849</v>
      </c>
      <c r="L162" s="31" t="s">
        <v>432</v>
      </c>
      <c r="M162" s="32" t="s">
        <v>433</v>
      </c>
      <c r="N162" s="33" t="s">
        <v>850</v>
      </c>
      <c r="O162" s="34" t="s">
        <v>851</v>
      </c>
    </row>
    <row r="163" ht="54.0" customHeight="1">
      <c r="A163" s="30" t="s">
        <v>1156</v>
      </c>
      <c r="B163" s="31" t="s">
        <v>434</v>
      </c>
      <c r="C163" s="31" t="s">
        <v>10</v>
      </c>
      <c r="D163" s="31" t="s">
        <v>424</v>
      </c>
      <c r="E163" s="31" t="s">
        <v>172</v>
      </c>
      <c r="F163" s="31" t="s">
        <v>435</v>
      </c>
      <c r="G163" s="31" t="s">
        <v>1157</v>
      </c>
      <c r="H163" s="31" t="s">
        <v>60</v>
      </c>
      <c r="I163" s="31" t="s">
        <v>151</v>
      </c>
      <c r="J163" s="31" t="s">
        <v>110</v>
      </c>
      <c r="K163" s="31" t="s">
        <v>849</v>
      </c>
      <c r="L163" s="31" t="s">
        <v>442</v>
      </c>
      <c r="M163" s="32" t="s">
        <v>443</v>
      </c>
      <c r="N163" s="33" t="s">
        <v>850</v>
      </c>
      <c r="O163" s="34" t="s">
        <v>851</v>
      </c>
    </row>
    <row r="164" ht="54.0" customHeight="1">
      <c r="A164" s="30" t="s">
        <v>1158</v>
      </c>
      <c r="B164" s="31" t="s">
        <v>434</v>
      </c>
      <c r="C164" s="31" t="s">
        <v>10</v>
      </c>
      <c r="D164" s="31" t="s">
        <v>424</v>
      </c>
      <c r="E164" s="31" t="s">
        <v>172</v>
      </c>
      <c r="F164" s="31" t="s">
        <v>435</v>
      </c>
      <c r="G164" s="31" t="s">
        <v>1159</v>
      </c>
      <c r="H164" s="31" t="s">
        <v>60</v>
      </c>
      <c r="I164" s="31" t="s">
        <v>151</v>
      </c>
      <c r="J164" s="31" t="s">
        <v>110</v>
      </c>
      <c r="K164" s="31" t="s">
        <v>849</v>
      </c>
      <c r="L164" s="31" t="s">
        <v>442</v>
      </c>
      <c r="M164" s="32" t="s">
        <v>443</v>
      </c>
      <c r="N164" s="33" t="s">
        <v>850</v>
      </c>
      <c r="O164" s="34" t="s">
        <v>851</v>
      </c>
    </row>
    <row r="165" ht="54.0" customHeight="1">
      <c r="A165" s="30" t="s">
        <v>1160</v>
      </c>
      <c r="B165" s="31" t="s">
        <v>434</v>
      </c>
      <c r="C165" s="31" t="s">
        <v>10</v>
      </c>
      <c r="D165" s="31" t="s">
        <v>424</v>
      </c>
      <c r="E165" s="31" t="s">
        <v>172</v>
      </c>
      <c r="F165" s="31" t="s">
        <v>435</v>
      </c>
      <c r="G165" s="31" t="s">
        <v>1161</v>
      </c>
      <c r="H165" s="31" t="s">
        <v>60</v>
      </c>
      <c r="I165" s="31" t="s">
        <v>151</v>
      </c>
      <c r="J165" s="31" t="s">
        <v>110</v>
      </c>
      <c r="K165" s="31" t="s">
        <v>849</v>
      </c>
      <c r="L165" s="31" t="s">
        <v>442</v>
      </c>
      <c r="M165" s="32" t="s">
        <v>443</v>
      </c>
      <c r="N165" s="33" t="s">
        <v>850</v>
      </c>
      <c r="O165" s="34" t="s">
        <v>851</v>
      </c>
    </row>
    <row r="166" ht="54.0" customHeight="1">
      <c r="A166" s="30" t="s">
        <v>1162</v>
      </c>
      <c r="B166" s="31" t="s">
        <v>434</v>
      </c>
      <c r="C166" s="31" t="s">
        <v>10</v>
      </c>
      <c r="D166" s="31" t="s">
        <v>424</v>
      </c>
      <c r="E166" s="31" t="s">
        <v>172</v>
      </c>
      <c r="F166" s="31" t="s">
        <v>435</v>
      </c>
      <c r="G166" s="31" t="s">
        <v>1163</v>
      </c>
      <c r="H166" s="31" t="s">
        <v>60</v>
      </c>
      <c r="I166" s="31" t="s">
        <v>151</v>
      </c>
      <c r="J166" s="31" t="s">
        <v>110</v>
      </c>
      <c r="K166" s="31" t="s">
        <v>849</v>
      </c>
      <c r="L166" s="31" t="s">
        <v>442</v>
      </c>
      <c r="M166" s="32" t="s">
        <v>443</v>
      </c>
      <c r="N166" s="33" t="s">
        <v>850</v>
      </c>
      <c r="O166" s="34" t="s">
        <v>851</v>
      </c>
    </row>
    <row r="167" ht="54.0" customHeight="1">
      <c r="A167" s="30" t="s">
        <v>1164</v>
      </c>
      <c r="B167" s="31" t="s">
        <v>434</v>
      </c>
      <c r="C167" s="31" t="s">
        <v>10</v>
      </c>
      <c r="D167" s="31" t="s">
        <v>424</v>
      </c>
      <c r="E167" s="31" t="s">
        <v>172</v>
      </c>
      <c r="F167" s="31" t="s">
        <v>435</v>
      </c>
      <c r="G167" s="31" t="s">
        <v>1165</v>
      </c>
      <c r="H167" s="31" t="s">
        <v>60</v>
      </c>
      <c r="I167" s="31" t="s">
        <v>151</v>
      </c>
      <c r="J167" s="31" t="s">
        <v>110</v>
      </c>
      <c r="K167" s="31" t="s">
        <v>849</v>
      </c>
      <c r="L167" s="31" t="s">
        <v>442</v>
      </c>
      <c r="M167" s="32" t="s">
        <v>443</v>
      </c>
      <c r="N167" s="33" t="s">
        <v>850</v>
      </c>
      <c r="O167" s="34" t="s">
        <v>851</v>
      </c>
    </row>
    <row r="168" ht="54.0" customHeight="1">
      <c r="A168" s="30" t="s">
        <v>1166</v>
      </c>
      <c r="B168" s="31" t="s">
        <v>434</v>
      </c>
      <c r="C168" s="31" t="s">
        <v>10</v>
      </c>
      <c r="D168" s="31" t="s">
        <v>424</v>
      </c>
      <c r="E168" s="31" t="s">
        <v>172</v>
      </c>
      <c r="F168" s="31" t="s">
        <v>435</v>
      </c>
      <c r="G168" s="31" t="s">
        <v>1167</v>
      </c>
      <c r="H168" s="31" t="s">
        <v>60</v>
      </c>
      <c r="I168" s="31" t="s">
        <v>151</v>
      </c>
      <c r="J168" s="31" t="s">
        <v>110</v>
      </c>
      <c r="K168" s="31" t="s">
        <v>849</v>
      </c>
      <c r="L168" s="31" t="s">
        <v>442</v>
      </c>
      <c r="M168" s="32" t="s">
        <v>443</v>
      </c>
      <c r="N168" s="33" t="s">
        <v>850</v>
      </c>
      <c r="O168" s="34" t="s">
        <v>851</v>
      </c>
    </row>
    <row r="169" ht="54.0" customHeight="1">
      <c r="A169" s="30" t="s">
        <v>1168</v>
      </c>
      <c r="B169" s="31" t="s">
        <v>444</v>
      </c>
      <c r="C169" s="31" t="s">
        <v>10</v>
      </c>
      <c r="D169" s="31" t="s">
        <v>424</v>
      </c>
      <c r="E169" s="31" t="s">
        <v>161</v>
      </c>
      <c r="F169" s="31" t="s">
        <v>445</v>
      </c>
      <c r="G169" s="31" t="s">
        <v>1169</v>
      </c>
      <c r="H169" s="31" t="s">
        <v>60</v>
      </c>
      <c r="I169" s="31" t="s">
        <v>176</v>
      </c>
      <c r="J169" s="31" t="s">
        <v>110</v>
      </c>
      <c r="K169" s="31" t="s">
        <v>849</v>
      </c>
      <c r="L169" s="31" t="s">
        <v>452</v>
      </c>
      <c r="M169" s="32" t="s">
        <v>453</v>
      </c>
      <c r="N169" s="33" t="s">
        <v>850</v>
      </c>
      <c r="O169" s="34" t="s">
        <v>851</v>
      </c>
    </row>
    <row r="170" ht="54.0" customHeight="1">
      <c r="A170" s="30" t="s">
        <v>1170</v>
      </c>
      <c r="B170" s="31" t="s">
        <v>444</v>
      </c>
      <c r="C170" s="31" t="s">
        <v>10</v>
      </c>
      <c r="D170" s="31" t="s">
        <v>424</v>
      </c>
      <c r="E170" s="31" t="s">
        <v>161</v>
      </c>
      <c r="F170" s="31" t="s">
        <v>445</v>
      </c>
      <c r="G170" s="31" t="s">
        <v>1171</v>
      </c>
      <c r="H170" s="31" t="s">
        <v>60</v>
      </c>
      <c r="I170" s="31" t="s">
        <v>176</v>
      </c>
      <c r="J170" s="31" t="s">
        <v>110</v>
      </c>
      <c r="K170" s="31" t="s">
        <v>849</v>
      </c>
      <c r="L170" s="31" t="s">
        <v>452</v>
      </c>
      <c r="M170" s="32" t="s">
        <v>453</v>
      </c>
      <c r="N170" s="33" t="s">
        <v>850</v>
      </c>
      <c r="O170" s="34" t="s">
        <v>851</v>
      </c>
    </row>
    <row r="171" ht="54.0" customHeight="1">
      <c r="A171" s="30" t="s">
        <v>1172</v>
      </c>
      <c r="B171" s="31" t="s">
        <v>444</v>
      </c>
      <c r="C171" s="31" t="s">
        <v>10</v>
      </c>
      <c r="D171" s="31" t="s">
        <v>424</v>
      </c>
      <c r="E171" s="31" t="s">
        <v>161</v>
      </c>
      <c r="F171" s="31" t="s">
        <v>445</v>
      </c>
      <c r="G171" s="31" t="s">
        <v>1173</v>
      </c>
      <c r="H171" s="31" t="s">
        <v>60</v>
      </c>
      <c r="I171" s="31" t="s">
        <v>176</v>
      </c>
      <c r="J171" s="31" t="s">
        <v>110</v>
      </c>
      <c r="K171" s="31" t="s">
        <v>849</v>
      </c>
      <c r="L171" s="31" t="s">
        <v>452</v>
      </c>
      <c r="M171" s="32" t="s">
        <v>453</v>
      </c>
      <c r="N171" s="33" t="s">
        <v>850</v>
      </c>
      <c r="O171" s="34" t="s">
        <v>851</v>
      </c>
    </row>
    <row r="172" ht="54.0" customHeight="1">
      <c r="A172" s="30" t="s">
        <v>1174</v>
      </c>
      <c r="B172" s="31" t="s">
        <v>444</v>
      </c>
      <c r="C172" s="31" t="s">
        <v>10</v>
      </c>
      <c r="D172" s="31" t="s">
        <v>424</v>
      </c>
      <c r="E172" s="31" t="s">
        <v>161</v>
      </c>
      <c r="F172" s="31" t="s">
        <v>445</v>
      </c>
      <c r="G172" s="31" t="s">
        <v>1175</v>
      </c>
      <c r="H172" s="31" t="s">
        <v>60</v>
      </c>
      <c r="I172" s="31" t="s">
        <v>176</v>
      </c>
      <c r="J172" s="31" t="s">
        <v>110</v>
      </c>
      <c r="K172" s="31" t="s">
        <v>849</v>
      </c>
      <c r="L172" s="31" t="s">
        <v>452</v>
      </c>
      <c r="M172" s="32" t="s">
        <v>453</v>
      </c>
      <c r="N172" s="33" t="s">
        <v>850</v>
      </c>
      <c r="O172" s="34" t="s">
        <v>851</v>
      </c>
    </row>
    <row r="173" ht="54.0" customHeight="1">
      <c r="A173" s="30" t="s">
        <v>1176</v>
      </c>
      <c r="B173" s="31" t="s">
        <v>444</v>
      </c>
      <c r="C173" s="31" t="s">
        <v>10</v>
      </c>
      <c r="D173" s="31" t="s">
        <v>424</v>
      </c>
      <c r="E173" s="31" t="s">
        <v>161</v>
      </c>
      <c r="F173" s="31" t="s">
        <v>445</v>
      </c>
      <c r="G173" s="31" t="s">
        <v>1177</v>
      </c>
      <c r="H173" s="31" t="s">
        <v>60</v>
      </c>
      <c r="I173" s="31" t="s">
        <v>176</v>
      </c>
      <c r="J173" s="31" t="s">
        <v>110</v>
      </c>
      <c r="K173" s="31" t="s">
        <v>849</v>
      </c>
      <c r="L173" s="31" t="s">
        <v>452</v>
      </c>
      <c r="M173" s="32" t="s">
        <v>453</v>
      </c>
      <c r="N173" s="33" t="s">
        <v>850</v>
      </c>
      <c r="O173" s="34" t="s">
        <v>851</v>
      </c>
    </row>
    <row r="174" ht="54.0" customHeight="1">
      <c r="A174" s="30" t="s">
        <v>1178</v>
      </c>
      <c r="B174" s="31" t="s">
        <v>444</v>
      </c>
      <c r="C174" s="31" t="s">
        <v>10</v>
      </c>
      <c r="D174" s="31" t="s">
        <v>424</v>
      </c>
      <c r="E174" s="31" t="s">
        <v>161</v>
      </c>
      <c r="F174" s="31" t="s">
        <v>445</v>
      </c>
      <c r="G174" s="31" t="s">
        <v>1179</v>
      </c>
      <c r="H174" s="31" t="s">
        <v>60</v>
      </c>
      <c r="I174" s="31" t="s">
        <v>176</v>
      </c>
      <c r="J174" s="31" t="s">
        <v>110</v>
      </c>
      <c r="K174" s="31" t="s">
        <v>849</v>
      </c>
      <c r="L174" s="31" t="s">
        <v>452</v>
      </c>
      <c r="M174" s="32" t="s">
        <v>453</v>
      </c>
      <c r="N174" s="33" t="s">
        <v>850</v>
      </c>
      <c r="O174" s="34" t="s">
        <v>851</v>
      </c>
    </row>
    <row r="175" ht="54.0" customHeight="1">
      <c r="A175" s="30" t="s">
        <v>1180</v>
      </c>
      <c r="B175" s="31" t="s">
        <v>454</v>
      </c>
      <c r="C175" s="31" t="s">
        <v>10</v>
      </c>
      <c r="D175" s="31" t="s">
        <v>424</v>
      </c>
      <c r="E175" s="31" t="s">
        <v>172</v>
      </c>
      <c r="F175" s="31" t="s">
        <v>455</v>
      </c>
      <c r="G175" s="31" t="s">
        <v>1181</v>
      </c>
      <c r="H175" s="31" t="s">
        <v>60</v>
      </c>
      <c r="I175" s="31" t="s">
        <v>321</v>
      </c>
      <c r="J175" s="31" t="s">
        <v>110</v>
      </c>
      <c r="K175" s="31" t="s">
        <v>849</v>
      </c>
      <c r="L175" s="31" t="s">
        <v>462</v>
      </c>
      <c r="M175" s="32" t="s">
        <v>463</v>
      </c>
      <c r="N175" s="33" t="s">
        <v>850</v>
      </c>
      <c r="O175" s="34" t="s">
        <v>851</v>
      </c>
    </row>
    <row r="176" ht="54.0" customHeight="1">
      <c r="A176" s="30" t="s">
        <v>1182</v>
      </c>
      <c r="B176" s="31" t="s">
        <v>454</v>
      </c>
      <c r="C176" s="31" t="s">
        <v>10</v>
      </c>
      <c r="D176" s="31" t="s">
        <v>424</v>
      </c>
      <c r="E176" s="31" t="s">
        <v>172</v>
      </c>
      <c r="F176" s="31" t="s">
        <v>455</v>
      </c>
      <c r="G176" s="31" t="s">
        <v>1183</v>
      </c>
      <c r="H176" s="31" t="s">
        <v>60</v>
      </c>
      <c r="I176" s="31" t="s">
        <v>321</v>
      </c>
      <c r="J176" s="31" t="s">
        <v>110</v>
      </c>
      <c r="K176" s="31" t="s">
        <v>849</v>
      </c>
      <c r="L176" s="31" t="s">
        <v>462</v>
      </c>
      <c r="M176" s="32" t="s">
        <v>463</v>
      </c>
      <c r="N176" s="33" t="s">
        <v>850</v>
      </c>
      <c r="O176" s="34" t="s">
        <v>851</v>
      </c>
    </row>
    <row r="177" ht="54.0" customHeight="1">
      <c r="A177" s="30" t="s">
        <v>1184</v>
      </c>
      <c r="B177" s="31" t="s">
        <v>454</v>
      </c>
      <c r="C177" s="31" t="s">
        <v>10</v>
      </c>
      <c r="D177" s="31" t="s">
        <v>424</v>
      </c>
      <c r="E177" s="31" t="s">
        <v>172</v>
      </c>
      <c r="F177" s="31" t="s">
        <v>455</v>
      </c>
      <c r="G177" s="31" t="s">
        <v>1185</v>
      </c>
      <c r="H177" s="31" t="s">
        <v>60</v>
      </c>
      <c r="I177" s="31" t="s">
        <v>321</v>
      </c>
      <c r="J177" s="31" t="s">
        <v>110</v>
      </c>
      <c r="K177" s="31" t="s">
        <v>849</v>
      </c>
      <c r="L177" s="31" t="s">
        <v>462</v>
      </c>
      <c r="M177" s="32" t="s">
        <v>463</v>
      </c>
      <c r="N177" s="33" t="s">
        <v>850</v>
      </c>
      <c r="O177" s="34" t="s">
        <v>851</v>
      </c>
    </row>
    <row r="178" ht="54.0" customHeight="1">
      <c r="A178" s="30" t="s">
        <v>1186</v>
      </c>
      <c r="B178" s="31" t="s">
        <v>454</v>
      </c>
      <c r="C178" s="31" t="s">
        <v>10</v>
      </c>
      <c r="D178" s="31" t="s">
        <v>424</v>
      </c>
      <c r="E178" s="31" t="s">
        <v>172</v>
      </c>
      <c r="F178" s="31" t="s">
        <v>455</v>
      </c>
      <c r="G178" s="31" t="s">
        <v>1187</v>
      </c>
      <c r="H178" s="31" t="s">
        <v>60</v>
      </c>
      <c r="I178" s="31" t="s">
        <v>321</v>
      </c>
      <c r="J178" s="31" t="s">
        <v>110</v>
      </c>
      <c r="K178" s="31" t="s">
        <v>849</v>
      </c>
      <c r="L178" s="31" t="s">
        <v>462</v>
      </c>
      <c r="M178" s="32" t="s">
        <v>463</v>
      </c>
      <c r="N178" s="33" t="s">
        <v>850</v>
      </c>
      <c r="O178" s="34" t="s">
        <v>851</v>
      </c>
    </row>
    <row r="179" ht="54.0" customHeight="1">
      <c r="A179" s="30" t="s">
        <v>1188</v>
      </c>
      <c r="B179" s="31" t="s">
        <v>454</v>
      </c>
      <c r="C179" s="31" t="s">
        <v>10</v>
      </c>
      <c r="D179" s="31" t="s">
        <v>424</v>
      </c>
      <c r="E179" s="31" t="s">
        <v>172</v>
      </c>
      <c r="F179" s="31" t="s">
        <v>455</v>
      </c>
      <c r="G179" s="31" t="s">
        <v>1189</v>
      </c>
      <c r="H179" s="31" t="s">
        <v>60</v>
      </c>
      <c r="I179" s="31" t="s">
        <v>321</v>
      </c>
      <c r="J179" s="31" t="s">
        <v>110</v>
      </c>
      <c r="K179" s="31" t="s">
        <v>849</v>
      </c>
      <c r="L179" s="31" t="s">
        <v>462</v>
      </c>
      <c r="M179" s="32" t="s">
        <v>463</v>
      </c>
      <c r="N179" s="33" t="s">
        <v>850</v>
      </c>
      <c r="O179" s="34" t="s">
        <v>851</v>
      </c>
    </row>
    <row r="180" ht="54.0" customHeight="1">
      <c r="A180" s="30" t="s">
        <v>1190</v>
      </c>
      <c r="B180" s="31" t="s">
        <v>454</v>
      </c>
      <c r="C180" s="31" t="s">
        <v>10</v>
      </c>
      <c r="D180" s="31" t="s">
        <v>424</v>
      </c>
      <c r="E180" s="31" t="s">
        <v>172</v>
      </c>
      <c r="F180" s="31" t="s">
        <v>455</v>
      </c>
      <c r="G180" s="31" t="s">
        <v>1191</v>
      </c>
      <c r="H180" s="31" t="s">
        <v>60</v>
      </c>
      <c r="I180" s="31" t="s">
        <v>321</v>
      </c>
      <c r="J180" s="31" t="s">
        <v>110</v>
      </c>
      <c r="K180" s="31" t="s">
        <v>849</v>
      </c>
      <c r="L180" s="31" t="s">
        <v>462</v>
      </c>
      <c r="M180" s="32" t="s">
        <v>463</v>
      </c>
      <c r="N180" s="33" t="s">
        <v>850</v>
      </c>
      <c r="O180" s="34" t="s">
        <v>851</v>
      </c>
    </row>
    <row r="181" ht="54.0" customHeight="1">
      <c r="A181" s="30" t="s">
        <v>1192</v>
      </c>
      <c r="B181" s="31" t="s">
        <v>464</v>
      </c>
      <c r="C181" s="31" t="s">
        <v>10</v>
      </c>
      <c r="D181" s="31" t="s">
        <v>424</v>
      </c>
      <c r="E181" s="31" t="s">
        <v>161</v>
      </c>
      <c r="F181" s="31" t="s">
        <v>465</v>
      </c>
      <c r="G181" s="31" t="s">
        <v>1193</v>
      </c>
      <c r="H181" s="31" t="s">
        <v>56</v>
      </c>
      <c r="I181" s="31" t="s">
        <v>299</v>
      </c>
      <c r="J181" s="31" t="s">
        <v>110</v>
      </c>
      <c r="K181" s="31" t="s">
        <v>849</v>
      </c>
      <c r="L181" s="31" t="s">
        <v>472</v>
      </c>
      <c r="M181" s="32" t="s">
        <v>473</v>
      </c>
      <c r="N181" s="33" t="s">
        <v>850</v>
      </c>
      <c r="O181" s="34" t="s">
        <v>851</v>
      </c>
    </row>
    <row r="182" ht="54.0" customHeight="1">
      <c r="A182" s="30" t="s">
        <v>1194</v>
      </c>
      <c r="B182" s="31" t="s">
        <v>464</v>
      </c>
      <c r="C182" s="31" t="s">
        <v>10</v>
      </c>
      <c r="D182" s="31" t="s">
        <v>424</v>
      </c>
      <c r="E182" s="31" t="s">
        <v>161</v>
      </c>
      <c r="F182" s="31" t="s">
        <v>465</v>
      </c>
      <c r="G182" s="31" t="s">
        <v>1195</v>
      </c>
      <c r="H182" s="31" t="s">
        <v>56</v>
      </c>
      <c r="I182" s="31" t="s">
        <v>299</v>
      </c>
      <c r="J182" s="31" t="s">
        <v>110</v>
      </c>
      <c r="K182" s="31" t="s">
        <v>849</v>
      </c>
      <c r="L182" s="31" t="s">
        <v>472</v>
      </c>
      <c r="M182" s="32" t="s">
        <v>473</v>
      </c>
      <c r="N182" s="33" t="s">
        <v>850</v>
      </c>
      <c r="O182" s="34" t="s">
        <v>851</v>
      </c>
    </row>
    <row r="183" ht="54.0" customHeight="1">
      <c r="A183" s="30" t="s">
        <v>1196</v>
      </c>
      <c r="B183" s="31" t="s">
        <v>464</v>
      </c>
      <c r="C183" s="31" t="s">
        <v>10</v>
      </c>
      <c r="D183" s="31" t="s">
        <v>424</v>
      </c>
      <c r="E183" s="31" t="s">
        <v>161</v>
      </c>
      <c r="F183" s="31" t="s">
        <v>465</v>
      </c>
      <c r="G183" s="31" t="s">
        <v>1197</v>
      </c>
      <c r="H183" s="31" t="s">
        <v>56</v>
      </c>
      <c r="I183" s="31" t="s">
        <v>299</v>
      </c>
      <c r="J183" s="31" t="s">
        <v>110</v>
      </c>
      <c r="K183" s="31" t="s">
        <v>849</v>
      </c>
      <c r="L183" s="31" t="s">
        <v>472</v>
      </c>
      <c r="M183" s="32" t="s">
        <v>473</v>
      </c>
      <c r="N183" s="33" t="s">
        <v>850</v>
      </c>
      <c r="O183" s="34" t="s">
        <v>851</v>
      </c>
    </row>
    <row r="184" ht="54.0" customHeight="1">
      <c r="A184" s="30" t="s">
        <v>1198</v>
      </c>
      <c r="B184" s="31" t="s">
        <v>464</v>
      </c>
      <c r="C184" s="31" t="s">
        <v>10</v>
      </c>
      <c r="D184" s="31" t="s">
        <v>424</v>
      </c>
      <c r="E184" s="31" t="s">
        <v>161</v>
      </c>
      <c r="F184" s="31" t="s">
        <v>465</v>
      </c>
      <c r="G184" s="31" t="s">
        <v>1199</v>
      </c>
      <c r="H184" s="31" t="s">
        <v>56</v>
      </c>
      <c r="I184" s="31" t="s">
        <v>299</v>
      </c>
      <c r="J184" s="31" t="s">
        <v>110</v>
      </c>
      <c r="K184" s="31" t="s">
        <v>849</v>
      </c>
      <c r="L184" s="31" t="s">
        <v>472</v>
      </c>
      <c r="M184" s="32" t="s">
        <v>473</v>
      </c>
      <c r="N184" s="33" t="s">
        <v>850</v>
      </c>
      <c r="O184" s="34" t="s">
        <v>851</v>
      </c>
    </row>
    <row r="185" ht="54.0" customHeight="1">
      <c r="A185" s="30" t="s">
        <v>1200</v>
      </c>
      <c r="B185" s="31" t="s">
        <v>464</v>
      </c>
      <c r="C185" s="31" t="s">
        <v>10</v>
      </c>
      <c r="D185" s="31" t="s">
        <v>424</v>
      </c>
      <c r="E185" s="31" t="s">
        <v>161</v>
      </c>
      <c r="F185" s="31" t="s">
        <v>465</v>
      </c>
      <c r="G185" s="31" t="s">
        <v>1201</v>
      </c>
      <c r="H185" s="31" t="s">
        <v>56</v>
      </c>
      <c r="I185" s="31" t="s">
        <v>299</v>
      </c>
      <c r="J185" s="31" t="s">
        <v>110</v>
      </c>
      <c r="K185" s="31" t="s">
        <v>849</v>
      </c>
      <c r="L185" s="31" t="s">
        <v>472</v>
      </c>
      <c r="M185" s="32" t="s">
        <v>473</v>
      </c>
      <c r="N185" s="33" t="s">
        <v>850</v>
      </c>
      <c r="O185" s="34" t="s">
        <v>851</v>
      </c>
    </row>
    <row r="186" ht="54.0" customHeight="1">
      <c r="A186" s="30" t="s">
        <v>1202</v>
      </c>
      <c r="B186" s="31" t="s">
        <v>464</v>
      </c>
      <c r="C186" s="31" t="s">
        <v>10</v>
      </c>
      <c r="D186" s="31" t="s">
        <v>424</v>
      </c>
      <c r="E186" s="31" t="s">
        <v>161</v>
      </c>
      <c r="F186" s="31" t="s">
        <v>465</v>
      </c>
      <c r="G186" s="31" t="s">
        <v>1203</v>
      </c>
      <c r="H186" s="31" t="s">
        <v>56</v>
      </c>
      <c r="I186" s="31" t="s">
        <v>299</v>
      </c>
      <c r="J186" s="31" t="s">
        <v>110</v>
      </c>
      <c r="K186" s="31" t="s">
        <v>849</v>
      </c>
      <c r="L186" s="31" t="s">
        <v>472</v>
      </c>
      <c r="M186" s="32" t="s">
        <v>473</v>
      </c>
      <c r="N186" s="33" t="s">
        <v>850</v>
      </c>
      <c r="O186" s="34" t="s">
        <v>851</v>
      </c>
    </row>
    <row r="187" ht="54.0" customHeight="1">
      <c r="A187" s="30" t="s">
        <v>1204</v>
      </c>
      <c r="B187" s="31" t="s">
        <v>474</v>
      </c>
      <c r="C187" s="31" t="s">
        <v>10</v>
      </c>
      <c r="D187" s="31" t="s">
        <v>424</v>
      </c>
      <c r="E187" s="31" t="s">
        <v>161</v>
      </c>
      <c r="F187" s="31" t="s">
        <v>475</v>
      </c>
      <c r="G187" s="31" t="s">
        <v>1050</v>
      </c>
      <c r="H187" s="31" t="s">
        <v>56</v>
      </c>
      <c r="I187" s="31" t="s">
        <v>103</v>
      </c>
      <c r="J187" s="31" t="s">
        <v>110</v>
      </c>
      <c r="K187" s="31" t="s">
        <v>849</v>
      </c>
      <c r="L187" s="31" t="s">
        <v>481</v>
      </c>
      <c r="M187" s="32" t="s">
        <v>482</v>
      </c>
      <c r="N187" s="33" t="s">
        <v>850</v>
      </c>
      <c r="O187" s="34" t="s">
        <v>851</v>
      </c>
    </row>
    <row r="188" ht="54.0" customHeight="1">
      <c r="A188" s="30" t="s">
        <v>1205</v>
      </c>
      <c r="B188" s="31" t="s">
        <v>474</v>
      </c>
      <c r="C188" s="31" t="s">
        <v>10</v>
      </c>
      <c r="D188" s="31" t="s">
        <v>424</v>
      </c>
      <c r="E188" s="31" t="s">
        <v>161</v>
      </c>
      <c r="F188" s="31" t="s">
        <v>475</v>
      </c>
      <c r="G188" s="31" t="s">
        <v>1206</v>
      </c>
      <c r="H188" s="31" t="s">
        <v>56</v>
      </c>
      <c r="I188" s="31" t="s">
        <v>103</v>
      </c>
      <c r="J188" s="31" t="s">
        <v>110</v>
      </c>
      <c r="K188" s="31" t="s">
        <v>849</v>
      </c>
      <c r="L188" s="31" t="s">
        <v>481</v>
      </c>
      <c r="M188" s="32" t="s">
        <v>482</v>
      </c>
      <c r="N188" s="33" t="s">
        <v>850</v>
      </c>
      <c r="O188" s="34" t="s">
        <v>851</v>
      </c>
    </row>
    <row r="189" ht="54.0" customHeight="1">
      <c r="A189" s="30" t="s">
        <v>1207</v>
      </c>
      <c r="B189" s="31" t="s">
        <v>474</v>
      </c>
      <c r="C189" s="31" t="s">
        <v>10</v>
      </c>
      <c r="D189" s="31" t="s">
        <v>424</v>
      </c>
      <c r="E189" s="31" t="s">
        <v>161</v>
      </c>
      <c r="F189" s="31" t="s">
        <v>475</v>
      </c>
      <c r="G189" s="31" t="s">
        <v>873</v>
      </c>
      <c r="H189" s="31" t="s">
        <v>56</v>
      </c>
      <c r="I189" s="31" t="s">
        <v>103</v>
      </c>
      <c r="J189" s="31" t="s">
        <v>110</v>
      </c>
      <c r="K189" s="31" t="s">
        <v>849</v>
      </c>
      <c r="L189" s="31" t="s">
        <v>481</v>
      </c>
      <c r="M189" s="32" t="s">
        <v>482</v>
      </c>
      <c r="N189" s="33" t="s">
        <v>850</v>
      </c>
      <c r="O189" s="34" t="s">
        <v>851</v>
      </c>
    </row>
    <row r="190" ht="54.0" customHeight="1">
      <c r="A190" s="30" t="s">
        <v>1208</v>
      </c>
      <c r="B190" s="31" t="s">
        <v>474</v>
      </c>
      <c r="C190" s="31" t="s">
        <v>10</v>
      </c>
      <c r="D190" s="31" t="s">
        <v>424</v>
      </c>
      <c r="E190" s="31" t="s">
        <v>161</v>
      </c>
      <c r="F190" s="31" t="s">
        <v>475</v>
      </c>
      <c r="G190" s="31" t="s">
        <v>1209</v>
      </c>
      <c r="H190" s="31" t="s">
        <v>56</v>
      </c>
      <c r="I190" s="31" t="s">
        <v>103</v>
      </c>
      <c r="J190" s="31" t="s">
        <v>110</v>
      </c>
      <c r="K190" s="31" t="s">
        <v>849</v>
      </c>
      <c r="L190" s="31" t="s">
        <v>481</v>
      </c>
      <c r="M190" s="32" t="s">
        <v>482</v>
      </c>
      <c r="N190" s="33" t="s">
        <v>850</v>
      </c>
      <c r="O190" s="34" t="s">
        <v>851</v>
      </c>
    </row>
    <row r="191" ht="54.0" customHeight="1">
      <c r="A191" s="30" t="s">
        <v>1210</v>
      </c>
      <c r="B191" s="31" t="s">
        <v>474</v>
      </c>
      <c r="C191" s="31" t="s">
        <v>10</v>
      </c>
      <c r="D191" s="31" t="s">
        <v>424</v>
      </c>
      <c r="E191" s="31" t="s">
        <v>161</v>
      </c>
      <c r="F191" s="31" t="s">
        <v>475</v>
      </c>
      <c r="G191" s="31" t="s">
        <v>1211</v>
      </c>
      <c r="H191" s="31" t="s">
        <v>56</v>
      </c>
      <c r="I191" s="31" t="s">
        <v>103</v>
      </c>
      <c r="J191" s="31" t="s">
        <v>110</v>
      </c>
      <c r="K191" s="31" t="s">
        <v>849</v>
      </c>
      <c r="L191" s="31" t="s">
        <v>481</v>
      </c>
      <c r="M191" s="32" t="s">
        <v>482</v>
      </c>
      <c r="N191" s="33" t="s">
        <v>850</v>
      </c>
      <c r="O191" s="34" t="s">
        <v>851</v>
      </c>
    </row>
    <row r="192" ht="54.0" customHeight="1">
      <c r="A192" s="30" t="s">
        <v>1212</v>
      </c>
      <c r="B192" s="31" t="s">
        <v>474</v>
      </c>
      <c r="C192" s="31" t="s">
        <v>10</v>
      </c>
      <c r="D192" s="31" t="s">
        <v>424</v>
      </c>
      <c r="E192" s="31" t="s">
        <v>161</v>
      </c>
      <c r="F192" s="31" t="s">
        <v>475</v>
      </c>
      <c r="G192" s="31" t="s">
        <v>1213</v>
      </c>
      <c r="H192" s="31" t="s">
        <v>56</v>
      </c>
      <c r="I192" s="31" t="s">
        <v>103</v>
      </c>
      <c r="J192" s="31" t="s">
        <v>110</v>
      </c>
      <c r="K192" s="31" t="s">
        <v>849</v>
      </c>
      <c r="L192" s="31" t="s">
        <v>481</v>
      </c>
      <c r="M192" s="32" t="s">
        <v>482</v>
      </c>
      <c r="N192" s="33" t="s">
        <v>850</v>
      </c>
      <c r="O192" s="34" t="s">
        <v>851</v>
      </c>
    </row>
    <row r="193" ht="54.0" customHeight="1">
      <c r="A193" s="30" t="s">
        <v>1214</v>
      </c>
      <c r="B193" s="31" t="s">
        <v>483</v>
      </c>
      <c r="C193" s="31" t="s">
        <v>10</v>
      </c>
      <c r="D193" s="31" t="s">
        <v>424</v>
      </c>
      <c r="E193" s="31" t="s">
        <v>172</v>
      </c>
      <c r="F193" s="31" t="s">
        <v>484</v>
      </c>
      <c r="G193" s="31" t="s">
        <v>1215</v>
      </c>
      <c r="H193" s="31" t="s">
        <v>56</v>
      </c>
      <c r="I193" s="31" t="s">
        <v>487</v>
      </c>
      <c r="J193" s="31" t="s">
        <v>110</v>
      </c>
      <c r="K193" s="31" t="s">
        <v>849</v>
      </c>
      <c r="L193" s="31" t="s">
        <v>492</v>
      </c>
      <c r="M193" s="32" t="s">
        <v>493</v>
      </c>
      <c r="N193" s="33" t="s">
        <v>850</v>
      </c>
      <c r="O193" s="34" t="s">
        <v>851</v>
      </c>
    </row>
    <row r="194" ht="54.0" customHeight="1">
      <c r="A194" s="30" t="s">
        <v>1216</v>
      </c>
      <c r="B194" s="31" t="s">
        <v>483</v>
      </c>
      <c r="C194" s="31" t="s">
        <v>10</v>
      </c>
      <c r="D194" s="31" t="s">
        <v>424</v>
      </c>
      <c r="E194" s="31" t="s">
        <v>172</v>
      </c>
      <c r="F194" s="31" t="s">
        <v>484</v>
      </c>
      <c r="G194" s="31" t="s">
        <v>1217</v>
      </c>
      <c r="H194" s="31" t="s">
        <v>56</v>
      </c>
      <c r="I194" s="31" t="s">
        <v>487</v>
      </c>
      <c r="J194" s="31" t="s">
        <v>110</v>
      </c>
      <c r="K194" s="31" t="s">
        <v>849</v>
      </c>
      <c r="L194" s="31" t="s">
        <v>492</v>
      </c>
      <c r="M194" s="32" t="s">
        <v>493</v>
      </c>
      <c r="N194" s="33" t="s">
        <v>850</v>
      </c>
      <c r="O194" s="34" t="s">
        <v>851</v>
      </c>
    </row>
    <row r="195" ht="54.0" customHeight="1">
      <c r="A195" s="30" t="s">
        <v>1218</v>
      </c>
      <c r="B195" s="31" t="s">
        <v>483</v>
      </c>
      <c r="C195" s="31" t="s">
        <v>10</v>
      </c>
      <c r="D195" s="31" t="s">
        <v>424</v>
      </c>
      <c r="E195" s="31" t="s">
        <v>172</v>
      </c>
      <c r="F195" s="31" t="s">
        <v>484</v>
      </c>
      <c r="G195" s="31" t="s">
        <v>1219</v>
      </c>
      <c r="H195" s="31" t="s">
        <v>56</v>
      </c>
      <c r="I195" s="31" t="s">
        <v>487</v>
      </c>
      <c r="J195" s="31" t="s">
        <v>110</v>
      </c>
      <c r="K195" s="31" t="s">
        <v>849</v>
      </c>
      <c r="L195" s="31" t="s">
        <v>492</v>
      </c>
      <c r="M195" s="32" t="s">
        <v>493</v>
      </c>
      <c r="N195" s="33" t="s">
        <v>850</v>
      </c>
      <c r="O195" s="34" t="s">
        <v>851</v>
      </c>
    </row>
    <row r="196" ht="54.0" customHeight="1">
      <c r="A196" s="30" t="s">
        <v>1220</v>
      </c>
      <c r="B196" s="31" t="s">
        <v>483</v>
      </c>
      <c r="C196" s="31" t="s">
        <v>10</v>
      </c>
      <c r="D196" s="31" t="s">
        <v>424</v>
      </c>
      <c r="E196" s="31" t="s">
        <v>172</v>
      </c>
      <c r="F196" s="31" t="s">
        <v>484</v>
      </c>
      <c r="G196" s="31" t="s">
        <v>1221</v>
      </c>
      <c r="H196" s="31" t="s">
        <v>56</v>
      </c>
      <c r="I196" s="31" t="s">
        <v>487</v>
      </c>
      <c r="J196" s="31" t="s">
        <v>110</v>
      </c>
      <c r="K196" s="31" t="s">
        <v>849</v>
      </c>
      <c r="L196" s="31" t="s">
        <v>492</v>
      </c>
      <c r="M196" s="32" t="s">
        <v>493</v>
      </c>
      <c r="N196" s="33" t="s">
        <v>850</v>
      </c>
      <c r="O196" s="34" t="s">
        <v>851</v>
      </c>
    </row>
    <row r="197" ht="54.0" customHeight="1">
      <c r="A197" s="30" t="s">
        <v>1222</v>
      </c>
      <c r="B197" s="31" t="s">
        <v>483</v>
      </c>
      <c r="C197" s="31" t="s">
        <v>10</v>
      </c>
      <c r="D197" s="31" t="s">
        <v>424</v>
      </c>
      <c r="E197" s="31" t="s">
        <v>172</v>
      </c>
      <c r="F197" s="31" t="s">
        <v>484</v>
      </c>
      <c r="G197" s="31" t="s">
        <v>869</v>
      </c>
      <c r="H197" s="31" t="s">
        <v>56</v>
      </c>
      <c r="I197" s="31" t="s">
        <v>487</v>
      </c>
      <c r="J197" s="31" t="s">
        <v>110</v>
      </c>
      <c r="K197" s="31" t="s">
        <v>849</v>
      </c>
      <c r="L197" s="31" t="s">
        <v>492</v>
      </c>
      <c r="M197" s="32" t="s">
        <v>493</v>
      </c>
      <c r="N197" s="33" t="s">
        <v>850</v>
      </c>
      <c r="O197" s="34" t="s">
        <v>851</v>
      </c>
    </row>
    <row r="198" ht="54.0" customHeight="1">
      <c r="A198" s="30" t="s">
        <v>1223</v>
      </c>
      <c r="B198" s="31" t="s">
        <v>483</v>
      </c>
      <c r="C198" s="31" t="s">
        <v>10</v>
      </c>
      <c r="D198" s="31" t="s">
        <v>424</v>
      </c>
      <c r="E198" s="31" t="s">
        <v>172</v>
      </c>
      <c r="F198" s="31" t="s">
        <v>484</v>
      </c>
      <c r="G198" s="31" t="s">
        <v>1224</v>
      </c>
      <c r="H198" s="31" t="s">
        <v>56</v>
      </c>
      <c r="I198" s="31" t="s">
        <v>487</v>
      </c>
      <c r="J198" s="31" t="s">
        <v>110</v>
      </c>
      <c r="K198" s="31" t="s">
        <v>849</v>
      </c>
      <c r="L198" s="31" t="s">
        <v>492</v>
      </c>
      <c r="M198" s="32" t="s">
        <v>493</v>
      </c>
      <c r="N198" s="33" t="s">
        <v>850</v>
      </c>
      <c r="O198" s="34" t="s">
        <v>851</v>
      </c>
    </row>
    <row r="199" ht="54.0" customHeight="1">
      <c r="A199" s="30" t="s">
        <v>1225</v>
      </c>
      <c r="B199" s="31" t="s">
        <v>496</v>
      </c>
      <c r="C199" s="31" t="s">
        <v>10</v>
      </c>
      <c r="D199" s="31" t="s">
        <v>424</v>
      </c>
      <c r="E199" s="31" t="s">
        <v>147</v>
      </c>
      <c r="F199" s="31" t="s">
        <v>497</v>
      </c>
      <c r="G199" s="31" t="s">
        <v>1226</v>
      </c>
      <c r="H199" s="31" t="s">
        <v>56</v>
      </c>
      <c r="I199" s="31" t="s">
        <v>500</v>
      </c>
      <c r="J199" s="31" t="s">
        <v>110</v>
      </c>
      <c r="K199" s="31" t="s">
        <v>849</v>
      </c>
      <c r="L199" s="31" t="s">
        <v>504</v>
      </c>
      <c r="M199" s="32" t="s">
        <v>505</v>
      </c>
      <c r="N199" s="33" t="s">
        <v>850</v>
      </c>
      <c r="O199" s="34" t="s">
        <v>851</v>
      </c>
    </row>
    <row r="200" ht="54.0" customHeight="1">
      <c r="A200" s="30" t="s">
        <v>1227</v>
      </c>
      <c r="B200" s="31" t="s">
        <v>496</v>
      </c>
      <c r="C200" s="31" t="s">
        <v>10</v>
      </c>
      <c r="D200" s="31" t="s">
        <v>424</v>
      </c>
      <c r="E200" s="31" t="s">
        <v>147</v>
      </c>
      <c r="F200" s="31" t="s">
        <v>497</v>
      </c>
      <c r="G200" s="31" t="s">
        <v>1228</v>
      </c>
      <c r="H200" s="31" t="s">
        <v>56</v>
      </c>
      <c r="I200" s="31" t="s">
        <v>500</v>
      </c>
      <c r="J200" s="31" t="s">
        <v>110</v>
      </c>
      <c r="K200" s="31" t="s">
        <v>849</v>
      </c>
      <c r="L200" s="31" t="s">
        <v>504</v>
      </c>
      <c r="M200" s="32" t="s">
        <v>505</v>
      </c>
      <c r="N200" s="33" t="s">
        <v>850</v>
      </c>
      <c r="O200" s="34" t="s">
        <v>851</v>
      </c>
    </row>
    <row r="201" ht="54.0" customHeight="1">
      <c r="A201" s="30" t="s">
        <v>1229</v>
      </c>
      <c r="B201" s="31" t="s">
        <v>496</v>
      </c>
      <c r="C201" s="31" t="s">
        <v>10</v>
      </c>
      <c r="D201" s="31" t="s">
        <v>424</v>
      </c>
      <c r="E201" s="31" t="s">
        <v>147</v>
      </c>
      <c r="F201" s="31" t="s">
        <v>497</v>
      </c>
      <c r="G201" s="31" t="s">
        <v>1230</v>
      </c>
      <c r="H201" s="31" t="s">
        <v>56</v>
      </c>
      <c r="I201" s="31" t="s">
        <v>500</v>
      </c>
      <c r="J201" s="31" t="s">
        <v>110</v>
      </c>
      <c r="K201" s="31" t="s">
        <v>849</v>
      </c>
      <c r="L201" s="31" t="s">
        <v>504</v>
      </c>
      <c r="M201" s="32" t="s">
        <v>505</v>
      </c>
      <c r="N201" s="33" t="s">
        <v>850</v>
      </c>
      <c r="O201" s="34" t="s">
        <v>851</v>
      </c>
    </row>
    <row r="202" ht="54.0" customHeight="1">
      <c r="A202" s="30" t="s">
        <v>1231</v>
      </c>
      <c r="B202" s="31" t="s">
        <v>496</v>
      </c>
      <c r="C202" s="31" t="s">
        <v>10</v>
      </c>
      <c r="D202" s="31" t="s">
        <v>424</v>
      </c>
      <c r="E202" s="31" t="s">
        <v>147</v>
      </c>
      <c r="F202" s="31" t="s">
        <v>497</v>
      </c>
      <c r="G202" s="31" t="s">
        <v>1232</v>
      </c>
      <c r="H202" s="31" t="s">
        <v>56</v>
      </c>
      <c r="I202" s="31" t="s">
        <v>500</v>
      </c>
      <c r="J202" s="31" t="s">
        <v>110</v>
      </c>
      <c r="K202" s="31" t="s">
        <v>849</v>
      </c>
      <c r="L202" s="31" t="s">
        <v>504</v>
      </c>
      <c r="M202" s="32" t="s">
        <v>505</v>
      </c>
      <c r="N202" s="33" t="s">
        <v>850</v>
      </c>
      <c r="O202" s="34" t="s">
        <v>851</v>
      </c>
    </row>
    <row r="203" ht="54.0" customHeight="1">
      <c r="A203" s="30" t="s">
        <v>1233</v>
      </c>
      <c r="B203" s="31" t="s">
        <v>496</v>
      </c>
      <c r="C203" s="31" t="s">
        <v>10</v>
      </c>
      <c r="D203" s="31" t="s">
        <v>424</v>
      </c>
      <c r="E203" s="31" t="s">
        <v>147</v>
      </c>
      <c r="F203" s="31" t="s">
        <v>497</v>
      </c>
      <c r="G203" s="31" t="s">
        <v>1234</v>
      </c>
      <c r="H203" s="31" t="s">
        <v>56</v>
      </c>
      <c r="I203" s="31" t="s">
        <v>500</v>
      </c>
      <c r="J203" s="31" t="s">
        <v>110</v>
      </c>
      <c r="K203" s="31" t="s">
        <v>849</v>
      </c>
      <c r="L203" s="31" t="s">
        <v>504</v>
      </c>
      <c r="M203" s="32" t="s">
        <v>505</v>
      </c>
      <c r="N203" s="33" t="s">
        <v>850</v>
      </c>
      <c r="O203" s="34" t="s">
        <v>851</v>
      </c>
    </row>
    <row r="204" ht="54.0" customHeight="1">
      <c r="A204" s="30" t="s">
        <v>1235</v>
      </c>
      <c r="B204" s="31" t="s">
        <v>496</v>
      </c>
      <c r="C204" s="31" t="s">
        <v>10</v>
      </c>
      <c r="D204" s="31" t="s">
        <v>424</v>
      </c>
      <c r="E204" s="31" t="s">
        <v>147</v>
      </c>
      <c r="F204" s="31" t="s">
        <v>497</v>
      </c>
      <c r="G204" s="31" t="s">
        <v>1236</v>
      </c>
      <c r="H204" s="31" t="s">
        <v>56</v>
      </c>
      <c r="I204" s="31" t="s">
        <v>500</v>
      </c>
      <c r="J204" s="31" t="s">
        <v>110</v>
      </c>
      <c r="K204" s="31" t="s">
        <v>849</v>
      </c>
      <c r="L204" s="31" t="s">
        <v>504</v>
      </c>
      <c r="M204" s="32" t="s">
        <v>505</v>
      </c>
      <c r="N204" s="33" t="s">
        <v>850</v>
      </c>
      <c r="O204" s="34" t="s">
        <v>851</v>
      </c>
    </row>
    <row r="205" ht="54.0" customHeight="1">
      <c r="A205" s="30" t="s">
        <v>1237</v>
      </c>
      <c r="B205" s="31" t="s">
        <v>506</v>
      </c>
      <c r="C205" s="31" t="s">
        <v>10</v>
      </c>
      <c r="D205" s="31" t="s">
        <v>424</v>
      </c>
      <c r="E205" s="31" t="s">
        <v>185</v>
      </c>
      <c r="F205" s="31" t="s">
        <v>507</v>
      </c>
      <c r="G205" s="31" t="s">
        <v>1238</v>
      </c>
      <c r="H205" s="31" t="s">
        <v>56</v>
      </c>
      <c r="I205" s="31" t="s">
        <v>299</v>
      </c>
      <c r="J205" s="31" t="s">
        <v>110</v>
      </c>
      <c r="K205" s="31" t="s">
        <v>849</v>
      </c>
      <c r="L205" s="31" t="s">
        <v>514</v>
      </c>
      <c r="M205" s="32" t="s">
        <v>515</v>
      </c>
      <c r="N205" s="33" t="s">
        <v>850</v>
      </c>
      <c r="O205" s="34" t="s">
        <v>851</v>
      </c>
    </row>
    <row r="206" ht="54.0" customHeight="1">
      <c r="A206" s="30" t="s">
        <v>1239</v>
      </c>
      <c r="B206" s="31" t="s">
        <v>506</v>
      </c>
      <c r="C206" s="31" t="s">
        <v>10</v>
      </c>
      <c r="D206" s="31" t="s">
        <v>424</v>
      </c>
      <c r="E206" s="31" t="s">
        <v>185</v>
      </c>
      <c r="F206" s="31" t="s">
        <v>507</v>
      </c>
      <c r="G206" s="31" t="s">
        <v>1240</v>
      </c>
      <c r="H206" s="31" t="s">
        <v>56</v>
      </c>
      <c r="I206" s="31" t="s">
        <v>299</v>
      </c>
      <c r="J206" s="31" t="s">
        <v>110</v>
      </c>
      <c r="K206" s="31" t="s">
        <v>849</v>
      </c>
      <c r="L206" s="31" t="s">
        <v>514</v>
      </c>
      <c r="M206" s="32" t="s">
        <v>515</v>
      </c>
      <c r="N206" s="33" t="s">
        <v>850</v>
      </c>
      <c r="O206" s="34" t="s">
        <v>851</v>
      </c>
    </row>
    <row r="207" ht="54.0" customHeight="1">
      <c r="A207" s="30" t="s">
        <v>1241</v>
      </c>
      <c r="B207" s="31" t="s">
        <v>506</v>
      </c>
      <c r="C207" s="31" t="s">
        <v>10</v>
      </c>
      <c r="D207" s="31" t="s">
        <v>424</v>
      </c>
      <c r="E207" s="31" t="s">
        <v>185</v>
      </c>
      <c r="F207" s="31" t="s">
        <v>507</v>
      </c>
      <c r="G207" s="31" t="s">
        <v>1242</v>
      </c>
      <c r="H207" s="31" t="s">
        <v>56</v>
      </c>
      <c r="I207" s="31" t="s">
        <v>299</v>
      </c>
      <c r="J207" s="31" t="s">
        <v>110</v>
      </c>
      <c r="K207" s="31" t="s">
        <v>849</v>
      </c>
      <c r="L207" s="31" t="s">
        <v>514</v>
      </c>
      <c r="M207" s="32" t="s">
        <v>515</v>
      </c>
      <c r="N207" s="33" t="s">
        <v>850</v>
      </c>
      <c r="O207" s="34" t="s">
        <v>851</v>
      </c>
    </row>
    <row r="208" ht="54.0" customHeight="1">
      <c r="A208" s="30" t="s">
        <v>1243</v>
      </c>
      <c r="B208" s="31" t="s">
        <v>506</v>
      </c>
      <c r="C208" s="31" t="s">
        <v>10</v>
      </c>
      <c r="D208" s="31" t="s">
        <v>424</v>
      </c>
      <c r="E208" s="31" t="s">
        <v>185</v>
      </c>
      <c r="F208" s="31" t="s">
        <v>507</v>
      </c>
      <c r="G208" s="31" t="s">
        <v>1244</v>
      </c>
      <c r="H208" s="31" t="s">
        <v>56</v>
      </c>
      <c r="I208" s="31" t="s">
        <v>299</v>
      </c>
      <c r="J208" s="31" t="s">
        <v>110</v>
      </c>
      <c r="K208" s="31" t="s">
        <v>849</v>
      </c>
      <c r="L208" s="31" t="s">
        <v>514</v>
      </c>
      <c r="M208" s="32" t="s">
        <v>515</v>
      </c>
      <c r="N208" s="33" t="s">
        <v>850</v>
      </c>
      <c r="O208" s="34" t="s">
        <v>851</v>
      </c>
    </row>
    <row r="209" ht="54.0" customHeight="1">
      <c r="A209" s="30" t="s">
        <v>1245</v>
      </c>
      <c r="B209" s="31" t="s">
        <v>506</v>
      </c>
      <c r="C209" s="31" t="s">
        <v>10</v>
      </c>
      <c r="D209" s="31" t="s">
        <v>424</v>
      </c>
      <c r="E209" s="31" t="s">
        <v>185</v>
      </c>
      <c r="F209" s="31" t="s">
        <v>507</v>
      </c>
      <c r="G209" s="31" t="s">
        <v>1246</v>
      </c>
      <c r="H209" s="31" t="s">
        <v>56</v>
      </c>
      <c r="I209" s="31" t="s">
        <v>299</v>
      </c>
      <c r="J209" s="31" t="s">
        <v>110</v>
      </c>
      <c r="K209" s="31" t="s">
        <v>849</v>
      </c>
      <c r="L209" s="31" t="s">
        <v>514</v>
      </c>
      <c r="M209" s="32" t="s">
        <v>515</v>
      </c>
      <c r="N209" s="33" t="s">
        <v>850</v>
      </c>
      <c r="O209" s="34" t="s">
        <v>851</v>
      </c>
    </row>
    <row r="210" ht="54.0" customHeight="1">
      <c r="A210" s="30" t="s">
        <v>1247</v>
      </c>
      <c r="B210" s="31" t="s">
        <v>506</v>
      </c>
      <c r="C210" s="31" t="s">
        <v>10</v>
      </c>
      <c r="D210" s="31" t="s">
        <v>424</v>
      </c>
      <c r="E210" s="31" t="s">
        <v>185</v>
      </c>
      <c r="F210" s="31" t="s">
        <v>507</v>
      </c>
      <c r="G210" s="31" t="s">
        <v>1248</v>
      </c>
      <c r="H210" s="31" t="s">
        <v>56</v>
      </c>
      <c r="I210" s="31" t="s">
        <v>299</v>
      </c>
      <c r="J210" s="31" t="s">
        <v>110</v>
      </c>
      <c r="K210" s="31" t="s">
        <v>849</v>
      </c>
      <c r="L210" s="31" t="s">
        <v>514</v>
      </c>
      <c r="M210" s="32" t="s">
        <v>515</v>
      </c>
      <c r="N210" s="33" t="s">
        <v>850</v>
      </c>
      <c r="O210" s="34" t="s">
        <v>851</v>
      </c>
    </row>
    <row r="211" ht="54.0" customHeight="1">
      <c r="A211" s="30" t="s">
        <v>1249</v>
      </c>
      <c r="B211" s="31" t="s">
        <v>506</v>
      </c>
      <c r="C211" s="31" t="s">
        <v>10</v>
      </c>
      <c r="D211" s="31" t="s">
        <v>424</v>
      </c>
      <c r="E211" s="31" t="s">
        <v>185</v>
      </c>
      <c r="F211" s="31" t="s">
        <v>507</v>
      </c>
      <c r="G211" s="31" t="s">
        <v>1250</v>
      </c>
      <c r="H211" s="31" t="s">
        <v>56</v>
      </c>
      <c r="I211" s="31" t="s">
        <v>299</v>
      </c>
      <c r="J211" s="31" t="s">
        <v>110</v>
      </c>
      <c r="K211" s="31" t="s">
        <v>849</v>
      </c>
      <c r="L211" s="31" t="s">
        <v>514</v>
      </c>
      <c r="M211" s="32" t="s">
        <v>515</v>
      </c>
      <c r="N211" s="33" t="s">
        <v>850</v>
      </c>
      <c r="O211" s="34" t="s">
        <v>851</v>
      </c>
    </row>
    <row r="212" ht="54.0" customHeight="1">
      <c r="A212" s="30" t="s">
        <v>1251</v>
      </c>
      <c r="B212" s="31" t="s">
        <v>516</v>
      </c>
      <c r="C212" s="31" t="s">
        <v>10</v>
      </c>
      <c r="D212" s="31" t="s">
        <v>424</v>
      </c>
      <c r="E212" s="31" t="s">
        <v>185</v>
      </c>
      <c r="F212" s="31" t="s">
        <v>517</v>
      </c>
      <c r="G212" s="31" t="s">
        <v>1252</v>
      </c>
      <c r="H212" s="31" t="s">
        <v>60</v>
      </c>
      <c r="I212" s="31" t="s">
        <v>321</v>
      </c>
      <c r="J212" s="31" t="s">
        <v>110</v>
      </c>
      <c r="K212" s="31" t="s">
        <v>849</v>
      </c>
      <c r="L212" s="31" t="s">
        <v>524</v>
      </c>
      <c r="M212" s="32" t="s">
        <v>525</v>
      </c>
      <c r="N212" s="33" t="s">
        <v>850</v>
      </c>
      <c r="O212" s="34" t="s">
        <v>851</v>
      </c>
    </row>
    <row r="213" ht="54.0" customHeight="1">
      <c r="A213" s="30" t="s">
        <v>1253</v>
      </c>
      <c r="B213" s="31" t="s">
        <v>516</v>
      </c>
      <c r="C213" s="31" t="s">
        <v>10</v>
      </c>
      <c r="D213" s="31" t="s">
        <v>424</v>
      </c>
      <c r="E213" s="31" t="s">
        <v>185</v>
      </c>
      <c r="F213" s="31" t="s">
        <v>517</v>
      </c>
      <c r="G213" s="31" t="s">
        <v>1254</v>
      </c>
      <c r="H213" s="31" t="s">
        <v>60</v>
      </c>
      <c r="I213" s="31" t="s">
        <v>321</v>
      </c>
      <c r="J213" s="31" t="s">
        <v>110</v>
      </c>
      <c r="K213" s="31" t="s">
        <v>849</v>
      </c>
      <c r="L213" s="31" t="s">
        <v>524</v>
      </c>
      <c r="M213" s="32" t="s">
        <v>525</v>
      </c>
      <c r="N213" s="33" t="s">
        <v>850</v>
      </c>
      <c r="O213" s="34" t="s">
        <v>851</v>
      </c>
    </row>
    <row r="214" ht="54.0" customHeight="1">
      <c r="A214" s="30" t="s">
        <v>1255</v>
      </c>
      <c r="B214" s="31" t="s">
        <v>516</v>
      </c>
      <c r="C214" s="31" t="s">
        <v>10</v>
      </c>
      <c r="D214" s="31" t="s">
        <v>424</v>
      </c>
      <c r="E214" s="31" t="s">
        <v>185</v>
      </c>
      <c r="F214" s="31" t="s">
        <v>517</v>
      </c>
      <c r="G214" s="31" t="s">
        <v>1256</v>
      </c>
      <c r="H214" s="31" t="s">
        <v>60</v>
      </c>
      <c r="I214" s="31" t="s">
        <v>321</v>
      </c>
      <c r="J214" s="31" t="s">
        <v>110</v>
      </c>
      <c r="K214" s="31" t="s">
        <v>849</v>
      </c>
      <c r="L214" s="31" t="s">
        <v>524</v>
      </c>
      <c r="M214" s="32" t="s">
        <v>525</v>
      </c>
      <c r="N214" s="33" t="s">
        <v>850</v>
      </c>
      <c r="O214" s="34" t="s">
        <v>851</v>
      </c>
    </row>
    <row r="215" ht="54.0" customHeight="1">
      <c r="A215" s="30" t="s">
        <v>1257</v>
      </c>
      <c r="B215" s="31" t="s">
        <v>516</v>
      </c>
      <c r="C215" s="31" t="s">
        <v>10</v>
      </c>
      <c r="D215" s="31" t="s">
        <v>424</v>
      </c>
      <c r="E215" s="31" t="s">
        <v>185</v>
      </c>
      <c r="F215" s="31" t="s">
        <v>517</v>
      </c>
      <c r="G215" s="31" t="s">
        <v>1258</v>
      </c>
      <c r="H215" s="31" t="s">
        <v>60</v>
      </c>
      <c r="I215" s="31" t="s">
        <v>321</v>
      </c>
      <c r="J215" s="31" t="s">
        <v>110</v>
      </c>
      <c r="K215" s="31" t="s">
        <v>849</v>
      </c>
      <c r="L215" s="31" t="s">
        <v>524</v>
      </c>
      <c r="M215" s="32" t="s">
        <v>525</v>
      </c>
      <c r="N215" s="33" t="s">
        <v>850</v>
      </c>
      <c r="O215" s="34" t="s">
        <v>851</v>
      </c>
    </row>
    <row r="216" ht="54.0" customHeight="1">
      <c r="A216" s="30" t="s">
        <v>1259</v>
      </c>
      <c r="B216" s="31" t="s">
        <v>516</v>
      </c>
      <c r="C216" s="31" t="s">
        <v>10</v>
      </c>
      <c r="D216" s="31" t="s">
        <v>424</v>
      </c>
      <c r="E216" s="31" t="s">
        <v>185</v>
      </c>
      <c r="F216" s="31" t="s">
        <v>517</v>
      </c>
      <c r="G216" s="31" t="s">
        <v>1260</v>
      </c>
      <c r="H216" s="31" t="s">
        <v>60</v>
      </c>
      <c r="I216" s="31" t="s">
        <v>321</v>
      </c>
      <c r="J216" s="31" t="s">
        <v>110</v>
      </c>
      <c r="K216" s="31" t="s">
        <v>849</v>
      </c>
      <c r="L216" s="31" t="s">
        <v>524</v>
      </c>
      <c r="M216" s="32" t="s">
        <v>525</v>
      </c>
      <c r="N216" s="33" t="s">
        <v>850</v>
      </c>
      <c r="O216" s="34" t="s">
        <v>851</v>
      </c>
    </row>
    <row r="217" ht="54.0" customHeight="1">
      <c r="A217" s="30" t="s">
        <v>1261</v>
      </c>
      <c r="B217" s="31" t="s">
        <v>526</v>
      </c>
      <c r="C217" s="31" t="s">
        <v>16</v>
      </c>
      <c r="D217" s="31" t="s">
        <v>527</v>
      </c>
      <c r="E217" s="31" t="s">
        <v>119</v>
      </c>
      <c r="F217" s="31" t="s">
        <v>528</v>
      </c>
      <c r="G217" s="31" t="s">
        <v>1262</v>
      </c>
      <c r="H217" s="31" t="s">
        <v>68</v>
      </c>
      <c r="I217" s="31" t="s">
        <v>531</v>
      </c>
      <c r="J217" s="31" t="s">
        <v>110</v>
      </c>
      <c r="K217" s="31" t="s">
        <v>849</v>
      </c>
      <c r="L217" s="31" t="s">
        <v>536</v>
      </c>
      <c r="M217" s="32" t="s">
        <v>537</v>
      </c>
      <c r="N217" s="33" t="s">
        <v>850</v>
      </c>
      <c r="O217" s="34" t="s">
        <v>851</v>
      </c>
    </row>
    <row r="218" ht="54.0" customHeight="1">
      <c r="A218" s="30" t="s">
        <v>1263</v>
      </c>
      <c r="B218" s="31" t="s">
        <v>526</v>
      </c>
      <c r="C218" s="31" t="s">
        <v>16</v>
      </c>
      <c r="D218" s="31" t="s">
        <v>527</v>
      </c>
      <c r="E218" s="31" t="s">
        <v>119</v>
      </c>
      <c r="F218" s="31" t="s">
        <v>528</v>
      </c>
      <c r="G218" s="31" t="s">
        <v>1264</v>
      </c>
      <c r="H218" s="31" t="s">
        <v>68</v>
      </c>
      <c r="I218" s="31" t="s">
        <v>531</v>
      </c>
      <c r="J218" s="31" t="s">
        <v>110</v>
      </c>
      <c r="K218" s="31" t="s">
        <v>849</v>
      </c>
      <c r="L218" s="31" t="s">
        <v>536</v>
      </c>
      <c r="M218" s="32" t="s">
        <v>537</v>
      </c>
      <c r="N218" s="33" t="s">
        <v>850</v>
      </c>
      <c r="O218" s="34" t="s">
        <v>851</v>
      </c>
    </row>
    <row r="219" ht="54.0" customHeight="1">
      <c r="A219" s="30" t="s">
        <v>1265</v>
      </c>
      <c r="B219" s="31" t="s">
        <v>526</v>
      </c>
      <c r="C219" s="31" t="s">
        <v>16</v>
      </c>
      <c r="D219" s="31" t="s">
        <v>527</v>
      </c>
      <c r="E219" s="31" t="s">
        <v>119</v>
      </c>
      <c r="F219" s="31" t="s">
        <v>528</v>
      </c>
      <c r="G219" s="31" t="s">
        <v>1266</v>
      </c>
      <c r="H219" s="31" t="s">
        <v>68</v>
      </c>
      <c r="I219" s="31" t="s">
        <v>531</v>
      </c>
      <c r="J219" s="31" t="s">
        <v>110</v>
      </c>
      <c r="K219" s="31" t="s">
        <v>849</v>
      </c>
      <c r="L219" s="31" t="s">
        <v>536</v>
      </c>
      <c r="M219" s="32" t="s">
        <v>537</v>
      </c>
      <c r="N219" s="33" t="s">
        <v>850</v>
      </c>
      <c r="O219" s="34" t="s">
        <v>851</v>
      </c>
    </row>
    <row r="220" ht="54.0" customHeight="1">
      <c r="A220" s="30" t="s">
        <v>1267</v>
      </c>
      <c r="B220" s="31" t="s">
        <v>526</v>
      </c>
      <c r="C220" s="31" t="s">
        <v>16</v>
      </c>
      <c r="D220" s="31" t="s">
        <v>527</v>
      </c>
      <c r="E220" s="31" t="s">
        <v>119</v>
      </c>
      <c r="F220" s="31" t="s">
        <v>528</v>
      </c>
      <c r="G220" s="31" t="s">
        <v>867</v>
      </c>
      <c r="H220" s="31" t="s">
        <v>68</v>
      </c>
      <c r="I220" s="31" t="s">
        <v>531</v>
      </c>
      <c r="J220" s="31" t="s">
        <v>110</v>
      </c>
      <c r="K220" s="31" t="s">
        <v>849</v>
      </c>
      <c r="L220" s="31" t="s">
        <v>536</v>
      </c>
      <c r="M220" s="32" t="s">
        <v>537</v>
      </c>
      <c r="N220" s="33" t="s">
        <v>850</v>
      </c>
      <c r="O220" s="34" t="s">
        <v>851</v>
      </c>
    </row>
    <row r="221" ht="54.0" customHeight="1">
      <c r="A221" s="30" t="s">
        <v>1268</v>
      </c>
      <c r="B221" s="31" t="s">
        <v>526</v>
      </c>
      <c r="C221" s="31" t="s">
        <v>16</v>
      </c>
      <c r="D221" s="31" t="s">
        <v>527</v>
      </c>
      <c r="E221" s="31" t="s">
        <v>119</v>
      </c>
      <c r="F221" s="31" t="s">
        <v>528</v>
      </c>
      <c r="G221" s="31" t="s">
        <v>1269</v>
      </c>
      <c r="H221" s="31" t="s">
        <v>68</v>
      </c>
      <c r="I221" s="31" t="s">
        <v>531</v>
      </c>
      <c r="J221" s="31" t="s">
        <v>110</v>
      </c>
      <c r="K221" s="31" t="s">
        <v>849</v>
      </c>
      <c r="L221" s="31" t="s">
        <v>536</v>
      </c>
      <c r="M221" s="32" t="s">
        <v>537</v>
      </c>
      <c r="N221" s="33" t="s">
        <v>850</v>
      </c>
      <c r="O221" s="34" t="s">
        <v>851</v>
      </c>
    </row>
    <row r="222" ht="54.0" customHeight="1">
      <c r="A222" s="30" t="s">
        <v>1270</v>
      </c>
      <c r="B222" s="31" t="s">
        <v>526</v>
      </c>
      <c r="C222" s="31" t="s">
        <v>16</v>
      </c>
      <c r="D222" s="31" t="s">
        <v>527</v>
      </c>
      <c r="E222" s="31" t="s">
        <v>119</v>
      </c>
      <c r="F222" s="31" t="s">
        <v>528</v>
      </c>
      <c r="G222" s="31" t="s">
        <v>1271</v>
      </c>
      <c r="H222" s="31" t="s">
        <v>68</v>
      </c>
      <c r="I222" s="31" t="s">
        <v>531</v>
      </c>
      <c r="J222" s="31" t="s">
        <v>110</v>
      </c>
      <c r="K222" s="31" t="s">
        <v>849</v>
      </c>
      <c r="L222" s="31" t="s">
        <v>536</v>
      </c>
      <c r="M222" s="32" t="s">
        <v>537</v>
      </c>
      <c r="N222" s="33" t="s">
        <v>850</v>
      </c>
      <c r="O222" s="34" t="s">
        <v>851</v>
      </c>
    </row>
    <row r="223" ht="54.0" customHeight="1">
      <c r="A223" s="30" t="s">
        <v>1272</v>
      </c>
      <c r="B223" s="31" t="s">
        <v>538</v>
      </c>
      <c r="C223" s="31" t="s">
        <v>16</v>
      </c>
      <c r="D223" s="31" t="s">
        <v>527</v>
      </c>
      <c r="E223" s="31" t="s">
        <v>161</v>
      </c>
      <c r="F223" s="31" t="s">
        <v>539</v>
      </c>
      <c r="G223" s="31" t="s">
        <v>1273</v>
      </c>
      <c r="H223" s="31" t="s">
        <v>56</v>
      </c>
      <c r="I223" s="31" t="s">
        <v>299</v>
      </c>
      <c r="J223" s="31" t="s">
        <v>110</v>
      </c>
      <c r="K223" s="31" t="s">
        <v>849</v>
      </c>
      <c r="L223" s="31" t="s">
        <v>546</v>
      </c>
      <c r="M223" s="32" t="s">
        <v>547</v>
      </c>
      <c r="N223" s="33" t="s">
        <v>850</v>
      </c>
      <c r="O223" s="34" t="s">
        <v>851</v>
      </c>
    </row>
    <row r="224" ht="54.0" customHeight="1">
      <c r="A224" s="30" t="s">
        <v>1274</v>
      </c>
      <c r="B224" s="31" t="s">
        <v>538</v>
      </c>
      <c r="C224" s="31" t="s">
        <v>16</v>
      </c>
      <c r="D224" s="31" t="s">
        <v>527</v>
      </c>
      <c r="E224" s="31" t="s">
        <v>161</v>
      </c>
      <c r="F224" s="31" t="s">
        <v>539</v>
      </c>
      <c r="G224" s="31" t="s">
        <v>1050</v>
      </c>
      <c r="H224" s="31" t="s">
        <v>56</v>
      </c>
      <c r="I224" s="31" t="s">
        <v>299</v>
      </c>
      <c r="J224" s="31" t="s">
        <v>110</v>
      </c>
      <c r="K224" s="31" t="s">
        <v>849</v>
      </c>
      <c r="L224" s="31" t="s">
        <v>546</v>
      </c>
      <c r="M224" s="32" t="s">
        <v>547</v>
      </c>
      <c r="N224" s="33" t="s">
        <v>850</v>
      </c>
      <c r="O224" s="34" t="s">
        <v>851</v>
      </c>
    </row>
    <row r="225" ht="54.0" customHeight="1">
      <c r="A225" s="30" t="s">
        <v>1275</v>
      </c>
      <c r="B225" s="31" t="s">
        <v>538</v>
      </c>
      <c r="C225" s="31" t="s">
        <v>16</v>
      </c>
      <c r="D225" s="31" t="s">
        <v>527</v>
      </c>
      <c r="E225" s="31" t="s">
        <v>161</v>
      </c>
      <c r="F225" s="31" t="s">
        <v>539</v>
      </c>
      <c r="G225" s="31" t="s">
        <v>1276</v>
      </c>
      <c r="H225" s="31" t="s">
        <v>56</v>
      </c>
      <c r="I225" s="31" t="s">
        <v>299</v>
      </c>
      <c r="J225" s="31" t="s">
        <v>110</v>
      </c>
      <c r="K225" s="31" t="s">
        <v>849</v>
      </c>
      <c r="L225" s="31" t="s">
        <v>546</v>
      </c>
      <c r="M225" s="32" t="s">
        <v>547</v>
      </c>
      <c r="N225" s="33" t="s">
        <v>850</v>
      </c>
      <c r="O225" s="34" t="s">
        <v>851</v>
      </c>
    </row>
    <row r="226" ht="54.0" customHeight="1">
      <c r="A226" s="30" t="s">
        <v>1277</v>
      </c>
      <c r="B226" s="31" t="s">
        <v>538</v>
      </c>
      <c r="C226" s="31" t="s">
        <v>16</v>
      </c>
      <c r="D226" s="31" t="s">
        <v>527</v>
      </c>
      <c r="E226" s="31" t="s">
        <v>161</v>
      </c>
      <c r="F226" s="31" t="s">
        <v>539</v>
      </c>
      <c r="G226" s="31" t="s">
        <v>1278</v>
      </c>
      <c r="H226" s="31" t="s">
        <v>56</v>
      </c>
      <c r="I226" s="31" t="s">
        <v>299</v>
      </c>
      <c r="J226" s="31" t="s">
        <v>110</v>
      </c>
      <c r="K226" s="31" t="s">
        <v>849</v>
      </c>
      <c r="L226" s="31" t="s">
        <v>546</v>
      </c>
      <c r="M226" s="32" t="s">
        <v>547</v>
      </c>
      <c r="N226" s="33" t="s">
        <v>850</v>
      </c>
      <c r="O226" s="34" t="s">
        <v>851</v>
      </c>
    </row>
    <row r="227" ht="54.0" customHeight="1">
      <c r="A227" s="30" t="s">
        <v>1279</v>
      </c>
      <c r="B227" s="31" t="s">
        <v>538</v>
      </c>
      <c r="C227" s="31" t="s">
        <v>16</v>
      </c>
      <c r="D227" s="31" t="s">
        <v>527</v>
      </c>
      <c r="E227" s="31" t="s">
        <v>161</v>
      </c>
      <c r="F227" s="31" t="s">
        <v>539</v>
      </c>
      <c r="G227" s="31" t="s">
        <v>1280</v>
      </c>
      <c r="H227" s="31" t="s">
        <v>56</v>
      </c>
      <c r="I227" s="31" t="s">
        <v>299</v>
      </c>
      <c r="J227" s="31" t="s">
        <v>110</v>
      </c>
      <c r="K227" s="31" t="s">
        <v>849</v>
      </c>
      <c r="L227" s="31" t="s">
        <v>546</v>
      </c>
      <c r="M227" s="32" t="s">
        <v>547</v>
      </c>
      <c r="N227" s="33" t="s">
        <v>850</v>
      </c>
      <c r="O227" s="34" t="s">
        <v>851</v>
      </c>
    </row>
    <row r="228" ht="54.0" customHeight="1">
      <c r="A228" s="30" t="s">
        <v>1281</v>
      </c>
      <c r="B228" s="31" t="s">
        <v>538</v>
      </c>
      <c r="C228" s="31" t="s">
        <v>16</v>
      </c>
      <c r="D228" s="31" t="s">
        <v>527</v>
      </c>
      <c r="E228" s="31" t="s">
        <v>161</v>
      </c>
      <c r="F228" s="31" t="s">
        <v>539</v>
      </c>
      <c r="G228" s="31" t="s">
        <v>1282</v>
      </c>
      <c r="H228" s="31" t="s">
        <v>56</v>
      </c>
      <c r="I228" s="31" t="s">
        <v>299</v>
      </c>
      <c r="J228" s="31" t="s">
        <v>110</v>
      </c>
      <c r="K228" s="31" t="s">
        <v>849</v>
      </c>
      <c r="L228" s="31" t="s">
        <v>546</v>
      </c>
      <c r="M228" s="32" t="s">
        <v>547</v>
      </c>
      <c r="N228" s="33" t="s">
        <v>850</v>
      </c>
      <c r="O228" s="34" t="s">
        <v>851</v>
      </c>
    </row>
    <row r="229" ht="54.0" customHeight="1">
      <c r="A229" s="30" t="s">
        <v>1283</v>
      </c>
      <c r="B229" s="31" t="s">
        <v>538</v>
      </c>
      <c r="C229" s="31" t="s">
        <v>16</v>
      </c>
      <c r="D229" s="31" t="s">
        <v>527</v>
      </c>
      <c r="E229" s="31" t="s">
        <v>161</v>
      </c>
      <c r="F229" s="31" t="s">
        <v>539</v>
      </c>
      <c r="G229" s="31" t="s">
        <v>1284</v>
      </c>
      <c r="H229" s="31" t="s">
        <v>56</v>
      </c>
      <c r="I229" s="31" t="s">
        <v>299</v>
      </c>
      <c r="J229" s="31" t="s">
        <v>110</v>
      </c>
      <c r="K229" s="31" t="s">
        <v>849</v>
      </c>
      <c r="L229" s="31" t="s">
        <v>546</v>
      </c>
      <c r="M229" s="32" t="s">
        <v>547</v>
      </c>
      <c r="N229" s="33" t="s">
        <v>850</v>
      </c>
      <c r="O229" s="34" t="s">
        <v>851</v>
      </c>
    </row>
    <row r="230" ht="54.0" customHeight="1">
      <c r="A230" s="30" t="s">
        <v>1285</v>
      </c>
      <c r="B230" s="31" t="s">
        <v>548</v>
      </c>
      <c r="C230" s="31" t="s">
        <v>16</v>
      </c>
      <c r="D230" s="31" t="s">
        <v>527</v>
      </c>
      <c r="E230" s="31" t="s">
        <v>284</v>
      </c>
      <c r="F230" s="31" t="s">
        <v>549</v>
      </c>
      <c r="G230" s="31" t="s">
        <v>1286</v>
      </c>
      <c r="H230" s="31" t="s">
        <v>56</v>
      </c>
      <c r="I230" s="31" t="s">
        <v>264</v>
      </c>
      <c r="J230" s="31" t="s">
        <v>110</v>
      </c>
      <c r="K230" s="31" t="s">
        <v>849</v>
      </c>
      <c r="L230" s="31" t="s">
        <v>556</v>
      </c>
      <c r="M230" s="32" t="s">
        <v>557</v>
      </c>
      <c r="N230" s="33" t="s">
        <v>850</v>
      </c>
      <c r="O230" s="34" t="s">
        <v>851</v>
      </c>
    </row>
    <row r="231" ht="54.0" customHeight="1">
      <c r="A231" s="30" t="s">
        <v>1287</v>
      </c>
      <c r="B231" s="31" t="s">
        <v>548</v>
      </c>
      <c r="C231" s="31" t="s">
        <v>16</v>
      </c>
      <c r="D231" s="31" t="s">
        <v>527</v>
      </c>
      <c r="E231" s="31" t="s">
        <v>284</v>
      </c>
      <c r="F231" s="31" t="s">
        <v>549</v>
      </c>
      <c r="G231" s="31" t="s">
        <v>1288</v>
      </c>
      <c r="H231" s="31" t="s">
        <v>56</v>
      </c>
      <c r="I231" s="31" t="s">
        <v>264</v>
      </c>
      <c r="J231" s="31" t="s">
        <v>110</v>
      </c>
      <c r="K231" s="31" t="s">
        <v>849</v>
      </c>
      <c r="L231" s="31" t="s">
        <v>556</v>
      </c>
      <c r="M231" s="32" t="s">
        <v>557</v>
      </c>
      <c r="N231" s="33" t="s">
        <v>850</v>
      </c>
      <c r="O231" s="34" t="s">
        <v>851</v>
      </c>
    </row>
    <row r="232" ht="54.0" customHeight="1">
      <c r="A232" s="30" t="s">
        <v>1289</v>
      </c>
      <c r="B232" s="31" t="s">
        <v>548</v>
      </c>
      <c r="C232" s="31" t="s">
        <v>16</v>
      </c>
      <c r="D232" s="31" t="s">
        <v>527</v>
      </c>
      <c r="E232" s="31" t="s">
        <v>284</v>
      </c>
      <c r="F232" s="31" t="s">
        <v>549</v>
      </c>
      <c r="G232" s="31" t="s">
        <v>1290</v>
      </c>
      <c r="H232" s="31" t="s">
        <v>56</v>
      </c>
      <c r="I232" s="31" t="s">
        <v>264</v>
      </c>
      <c r="J232" s="31" t="s">
        <v>110</v>
      </c>
      <c r="K232" s="31" t="s">
        <v>849</v>
      </c>
      <c r="L232" s="31" t="s">
        <v>556</v>
      </c>
      <c r="M232" s="32" t="s">
        <v>557</v>
      </c>
      <c r="N232" s="33" t="s">
        <v>850</v>
      </c>
      <c r="O232" s="34" t="s">
        <v>851</v>
      </c>
    </row>
    <row r="233" ht="54.0" customHeight="1">
      <c r="A233" s="30" t="s">
        <v>1291</v>
      </c>
      <c r="B233" s="31" t="s">
        <v>548</v>
      </c>
      <c r="C233" s="31" t="s">
        <v>16</v>
      </c>
      <c r="D233" s="31" t="s">
        <v>527</v>
      </c>
      <c r="E233" s="31" t="s">
        <v>284</v>
      </c>
      <c r="F233" s="31" t="s">
        <v>549</v>
      </c>
      <c r="G233" s="31" t="s">
        <v>1292</v>
      </c>
      <c r="H233" s="31" t="s">
        <v>56</v>
      </c>
      <c r="I233" s="31" t="s">
        <v>264</v>
      </c>
      <c r="J233" s="31" t="s">
        <v>110</v>
      </c>
      <c r="K233" s="31" t="s">
        <v>849</v>
      </c>
      <c r="L233" s="31" t="s">
        <v>556</v>
      </c>
      <c r="M233" s="32" t="s">
        <v>557</v>
      </c>
      <c r="N233" s="33" t="s">
        <v>850</v>
      </c>
      <c r="O233" s="34" t="s">
        <v>851</v>
      </c>
    </row>
    <row r="234" ht="54.0" customHeight="1">
      <c r="A234" s="30" t="s">
        <v>1293</v>
      </c>
      <c r="B234" s="31" t="s">
        <v>548</v>
      </c>
      <c r="C234" s="31" t="s">
        <v>16</v>
      </c>
      <c r="D234" s="31" t="s">
        <v>527</v>
      </c>
      <c r="E234" s="31" t="s">
        <v>284</v>
      </c>
      <c r="F234" s="31" t="s">
        <v>549</v>
      </c>
      <c r="G234" s="31" t="s">
        <v>1294</v>
      </c>
      <c r="H234" s="31" t="s">
        <v>56</v>
      </c>
      <c r="I234" s="31" t="s">
        <v>264</v>
      </c>
      <c r="J234" s="31" t="s">
        <v>110</v>
      </c>
      <c r="K234" s="31" t="s">
        <v>849</v>
      </c>
      <c r="L234" s="31" t="s">
        <v>556</v>
      </c>
      <c r="M234" s="32" t="s">
        <v>557</v>
      </c>
      <c r="N234" s="33" t="s">
        <v>850</v>
      </c>
      <c r="O234" s="34" t="s">
        <v>851</v>
      </c>
    </row>
    <row r="235" ht="54.0" customHeight="1">
      <c r="A235" s="30" t="s">
        <v>1295</v>
      </c>
      <c r="B235" s="31" t="s">
        <v>548</v>
      </c>
      <c r="C235" s="31" t="s">
        <v>16</v>
      </c>
      <c r="D235" s="31" t="s">
        <v>527</v>
      </c>
      <c r="E235" s="31" t="s">
        <v>284</v>
      </c>
      <c r="F235" s="31" t="s">
        <v>549</v>
      </c>
      <c r="G235" s="31" t="s">
        <v>1296</v>
      </c>
      <c r="H235" s="31" t="s">
        <v>56</v>
      </c>
      <c r="I235" s="31" t="s">
        <v>264</v>
      </c>
      <c r="J235" s="31" t="s">
        <v>110</v>
      </c>
      <c r="K235" s="31" t="s">
        <v>849</v>
      </c>
      <c r="L235" s="31" t="s">
        <v>556</v>
      </c>
      <c r="M235" s="32" t="s">
        <v>557</v>
      </c>
      <c r="N235" s="33" t="s">
        <v>850</v>
      </c>
      <c r="O235" s="34" t="s">
        <v>851</v>
      </c>
    </row>
    <row r="236" ht="54.0" customHeight="1">
      <c r="A236" s="30" t="s">
        <v>1297</v>
      </c>
      <c r="B236" s="31" t="s">
        <v>560</v>
      </c>
      <c r="C236" s="31" t="s">
        <v>16</v>
      </c>
      <c r="D236" s="31" t="s">
        <v>527</v>
      </c>
      <c r="E236" s="31" t="s">
        <v>147</v>
      </c>
      <c r="F236" s="31" t="s">
        <v>561</v>
      </c>
      <c r="G236" s="31" t="s">
        <v>1298</v>
      </c>
      <c r="H236" s="31" t="s">
        <v>60</v>
      </c>
      <c r="I236" s="31" t="s">
        <v>123</v>
      </c>
      <c r="J236" s="31" t="s">
        <v>110</v>
      </c>
      <c r="K236" s="31" t="s">
        <v>849</v>
      </c>
      <c r="L236" s="31" t="s">
        <v>568</v>
      </c>
      <c r="M236" s="32" t="s">
        <v>569</v>
      </c>
      <c r="N236" s="33" t="s">
        <v>850</v>
      </c>
      <c r="O236" s="34" t="s">
        <v>851</v>
      </c>
    </row>
    <row r="237" ht="54.0" customHeight="1">
      <c r="A237" s="30" t="s">
        <v>1299</v>
      </c>
      <c r="B237" s="31" t="s">
        <v>560</v>
      </c>
      <c r="C237" s="31" t="s">
        <v>16</v>
      </c>
      <c r="D237" s="31" t="s">
        <v>527</v>
      </c>
      <c r="E237" s="31" t="s">
        <v>147</v>
      </c>
      <c r="F237" s="31" t="s">
        <v>561</v>
      </c>
      <c r="G237" s="31" t="s">
        <v>1300</v>
      </c>
      <c r="H237" s="31" t="s">
        <v>60</v>
      </c>
      <c r="I237" s="31" t="s">
        <v>123</v>
      </c>
      <c r="J237" s="31" t="s">
        <v>110</v>
      </c>
      <c r="K237" s="31" t="s">
        <v>849</v>
      </c>
      <c r="L237" s="31" t="s">
        <v>568</v>
      </c>
      <c r="M237" s="32" t="s">
        <v>569</v>
      </c>
      <c r="N237" s="33" t="s">
        <v>850</v>
      </c>
      <c r="O237" s="34" t="s">
        <v>851</v>
      </c>
    </row>
    <row r="238" ht="54.0" customHeight="1">
      <c r="A238" s="30" t="s">
        <v>1301</v>
      </c>
      <c r="B238" s="31" t="s">
        <v>560</v>
      </c>
      <c r="C238" s="31" t="s">
        <v>16</v>
      </c>
      <c r="D238" s="31" t="s">
        <v>527</v>
      </c>
      <c r="E238" s="31" t="s">
        <v>147</v>
      </c>
      <c r="F238" s="31" t="s">
        <v>561</v>
      </c>
      <c r="G238" s="31" t="s">
        <v>1302</v>
      </c>
      <c r="H238" s="31" t="s">
        <v>60</v>
      </c>
      <c r="I238" s="31" t="s">
        <v>123</v>
      </c>
      <c r="J238" s="31" t="s">
        <v>110</v>
      </c>
      <c r="K238" s="31" t="s">
        <v>849</v>
      </c>
      <c r="L238" s="31" t="s">
        <v>568</v>
      </c>
      <c r="M238" s="32" t="s">
        <v>569</v>
      </c>
      <c r="N238" s="33" t="s">
        <v>850</v>
      </c>
      <c r="O238" s="34" t="s">
        <v>851</v>
      </c>
    </row>
    <row r="239" ht="54.0" customHeight="1">
      <c r="A239" s="30" t="s">
        <v>1303</v>
      </c>
      <c r="B239" s="31" t="s">
        <v>560</v>
      </c>
      <c r="C239" s="31" t="s">
        <v>16</v>
      </c>
      <c r="D239" s="31" t="s">
        <v>527</v>
      </c>
      <c r="E239" s="31" t="s">
        <v>147</v>
      </c>
      <c r="F239" s="31" t="s">
        <v>561</v>
      </c>
      <c r="G239" s="31" t="s">
        <v>1304</v>
      </c>
      <c r="H239" s="31" t="s">
        <v>60</v>
      </c>
      <c r="I239" s="31" t="s">
        <v>123</v>
      </c>
      <c r="J239" s="31" t="s">
        <v>110</v>
      </c>
      <c r="K239" s="31" t="s">
        <v>849</v>
      </c>
      <c r="L239" s="31" t="s">
        <v>568</v>
      </c>
      <c r="M239" s="32" t="s">
        <v>569</v>
      </c>
      <c r="N239" s="33" t="s">
        <v>850</v>
      </c>
      <c r="O239" s="34" t="s">
        <v>851</v>
      </c>
    </row>
    <row r="240" ht="54.0" customHeight="1">
      <c r="A240" s="30" t="s">
        <v>1305</v>
      </c>
      <c r="B240" s="31" t="s">
        <v>560</v>
      </c>
      <c r="C240" s="31" t="s">
        <v>16</v>
      </c>
      <c r="D240" s="31" t="s">
        <v>527</v>
      </c>
      <c r="E240" s="31" t="s">
        <v>147</v>
      </c>
      <c r="F240" s="31" t="s">
        <v>561</v>
      </c>
      <c r="G240" s="31" t="s">
        <v>1306</v>
      </c>
      <c r="H240" s="31" t="s">
        <v>60</v>
      </c>
      <c r="I240" s="31" t="s">
        <v>123</v>
      </c>
      <c r="J240" s="31" t="s">
        <v>110</v>
      </c>
      <c r="K240" s="31" t="s">
        <v>849</v>
      </c>
      <c r="L240" s="31" t="s">
        <v>568</v>
      </c>
      <c r="M240" s="32" t="s">
        <v>569</v>
      </c>
      <c r="N240" s="33" t="s">
        <v>850</v>
      </c>
      <c r="O240" s="34" t="s">
        <v>851</v>
      </c>
    </row>
    <row r="241" ht="54.0" customHeight="1">
      <c r="A241" s="30" t="s">
        <v>1307</v>
      </c>
      <c r="B241" s="31" t="s">
        <v>560</v>
      </c>
      <c r="C241" s="31" t="s">
        <v>16</v>
      </c>
      <c r="D241" s="31" t="s">
        <v>527</v>
      </c>
      <c r="E241" s="31" t="s">
        <v>147</v>
      </c>
      <c r="F241" s="31" t="s">
        <v>561</v>
      </c>
      <c r="G241" s="31" t="s">
        <v>1308</v>
      </c>
      <c r="H241" s="31" t="s">
        <v>60</v>
      </c>
      <c r="I241" s="31" t="s">
        <v>123</v>
      </c>
      <c r="J241" s="31" t="s">
        <v>110</v>
      </c>
      <c r="K241" s="31" t="s">
        <v>849</v>
      </c>
      <c r="L241" s="31" t="s">
        <v>568</v>
      </c>
      <c r="M241" s="32" t="s">
        <v>569</v>
      </c>
      <c r="N241" s="33" t="s">
        <v>850</v>
      </c>
      <c r="O241" s="34" t="s">
        <v>851</v>
      </c>
    </row>
    <row r="242" ht="54.0" customHeight="1">
      <c r="A242" s="30" t="s">
        <v>1309</v>
      </c>
      <c r="B242" s="31" t="s">
        <v>570</v>
      </c>
      <c r="C242" s="31" t="s">
        <v>16</v>
      </c>
      <c r="D242" s="31" t="s">
        <v>527</v>
      </c>
      <c r="E242" s="31" t="s">
        <v>161</v>
      </c>
      <c r="F242" s="31" t="s">
        <v>571</v>
      </c>
      <c r="G242" s="31" t="s">
        <v>1310</v>
      </c>
      <c r="H242" s="31" t="s">
        <v>56</v>
      </c>
      <c r="I242" s="31" t="s">
        <v>299</v>
      </c>
      <c r="J242" s="31" t="s">
        <v>110</v>
      </c>
      <c r="K242" s="31" t="s">
        <v>849</v>
      </c>
      <c r="L242" s="31" t="s">
        <v>578</v>
      </c>
      <c r="M242" s="32" t="s">
        <v>579</v>
      </c>
      <c r="N242" s="33" t="s">
        <v>850</v>
      </c>
      <c r="O242" s="34" t="s">
        <v>851</v>
      </c>
    </row>
    <row r="243" ht="54.0" customHeight="1">
      <c r="A243" s="30" t="s">
        <v>1311</v>
      </c>
      <c r="B243" s="31" t="s">
        <v>570</v>
      </c>
      <c r="C243" s="31" t="s">
        <v>16</v>
      </c>
      <c r="D243" s="31" t="s">
        <v>527</v>
      </c>
      <c r="E243" s="31" t="s">
        <v>161</v>
      </c>
      <c r="F243" s="31" t="s">
        <v>571</v>
      </c>
      <c r="G243" s="31" t="s">
        <v>1312</v>
      </c>
      <c r="H243" s="31" t="s">
        <v>56</v>
      </c>
      <c r="I243" s="31" t="s">
        <v>299</v>
      </c>
      <c r="J243" s="31" t="s">
        <v>110</v>
      </c>
      <c r="K243" s="31" t="s">
        <v>849</v>
      </c>
      <c r="L243" s="31" t="s">
        <v>578</v>
      </c>
      <c r="M243" s="32" t="s">
        <v>579</v>
      </c>
      <c r="N243" s="33" t="s">
        <v>850</v>
      </c>
      <c r="O243" s="34" t="s">
        <v>851</v>
      </c>
    </row>
    <row r="244" ht="54.0" customHeight="1">
      <c r="A244" s="30" t="s">
        <v>1313</v>
      </c>
      <c r="B244" s="31" t="s">
        <v>570</v>
      </c>
      <c r="C244" s="31" t="s">
        <v>16</v>
      </c>
      <c r="D244" s="31" t="s">
        <v>527</v>
      </c>
      <c r="E244" s="31" t="s">
        <v>161</v>
      </c>
      <c r="F244" s="31" t="s">
        <v>571</v>
      </c>
      <c r="G244" s="31" t="s">
        <v>1314</v>
      </c>
      <c r="H244" s="31" t="s">
        <v>56</v>
      </c>
      <c r="I244" s="31" t="s">
        <v>299</v>
      </c>
      <c r="J244" s="31" t="s">
        <v>110</v>
      </c>
      <c r="K244" s="31" t="s">
        <v>849</v>
      </c>
      <c r="L244" s="31" t="s">
        <v>578</v>
      </c>
      <c r="M244" s="32" t="s">
        <v>579</v>
      </c>
      <c r="N244" s="33" t="s">
        <v>850</v>
      </c>
      <c r="O244" s="34" t="s">
        <v>851</v>
      </c>
    </row>
    <row r="245" ht="54.0" customHeight="1">
      <c r="A245" s="30" t="s">
        <v>1315</v>
      </c>
      <c r="B245" s="31" t="s">
        <v>570</v>
      </c>
      <c r="C245" s="31" t="s">
        <v>16</v>
      </c>
      <c r="D245" s="31" t="s">
        <v>527</v>
      </c>
      <c r="E245" s="31" t="s">
        <v>161</v>
      </c>
      <c r="F245" s="31" t="s">
        <v>571</v>
      </c>
      <c r="G245" s="31" t="s">
        <v>1316</v>
      </c>
      <c r="H245" s="31" t="s">
        <v>56</v>
      </c>
      <c r="I245" s="31" t="s">
        <v>299</v>
      </c>
      <c r="J245" s="31" t="s">
        <v>110</v>
      </c>
      <c r="K245" s="31" t="s">
        <v>849</v>
      </c>
      <c r="L245" s="31" t="s">
        <v>578</v>
      </c>
      <c r="M245" s="32" t="s">
        <v>579</v>
      </c>
      <c r="N245" s="33" t="s">
        <v>850</v>
      </c>
      <c r="O245" s="34" t="s">
        <v>851</v>
      </c>
    </row>
    <row r="246" ht="54.0" customHeight="1">
      <c r="A246" s="30" t="s">
        <v>1317</v>
      </c>
      <c r="B246" s="31" t="s">
        <v>570</v>
      </c>
      <c r="C246" s="31" t="s">
        <v>16</v>
      </c>
      <c r="D246" s="31" t="s">
        <v>527</v>
      </c>
      <c r="E246" s="31" t="s">
        <v>161</v>
      </c>
      <c r="F246" s="31" t="s">
        <v>571</v>
      </c>
      <c r="G246" s="31" t="s">
        <v>1318</v>
      </c>
      <c r="H246" s="31" t="s">
        <v>56</v>
      </c>
      <c r="I246" s="31" t="s">
        <v>299</v>
      </c>
      <c r="J246" s="31" t="s">
        <v>110</v>
      </c>
      <c r="K246" s="31" t="s">
        <v>849</v>
      </c>
      <c r="L246" s="31" t="s">
        <v>578</v>
      </c>
      <c r="M246" s="32" t="s">
        <v>579</v>
      </c>
      <c r="N246" s="33" t="s">
        <v>850</v>
      </c>
      <c r="O246" s="34" t="s">
        <v>851</v>
      </c>
    </row>
    <row r="247" ht="54.0" customHeight="1">
      <c r="A247" s="30" t="s">
        <v>1319</v>
      </c>
      <c r="B247" s="31" t="s">
        <v>570</v>
      </c>
      <c r="C247" s="31" t="s">
        <v>16</v>
      </c>
      <c r="D247" s="31" t="s">
        <v>527</v>
      </c>
      <c r="E247" s="31" t="s">
        <v>161</v>
      </c>
      <c r="F247" s="31" t="s">
        <v>571</v>
      </c>
      <c r="G247" s="31" t="s">
        <v>1320</v>
      </c>
      <c r="H247" s="31" t="s">
        <v>56</v>
      </c>
      <c r="I247" s="31" t="s">
        <v>299</v>
      </c>
      <c r="J247" s="31" t="s">
        <v>110</v>
      </c>
      <c r="K247" s="31" t="s">
        <v>849</v>
      </c>
      <c r="L247" s="31" t="s">
        <v>578</v>
      </c>
      <c r="M247" s="32" t="s">
        <v>579</v>
      </c>
      <c r="N247" s="33" t="s">
        <v>850</v>
      </c>
      <c r="O247" s="34" t="s">
        <v>851</v>
      </c>
    </row>
    <row r="248" ht="54.0" customHeight="1">
      <c r="A248" s="30" t="s">
        <v>1321</v>
      </c>
      <c r="B248" s="31" t="s">
        <v>580</v>
      </c>
      <c r="C248" s="31" t="s">
        <v>16</v>
      </c>
      <c r="D248" s="31" t="s">
        <v>527</v>
      </c>
      <c r="E248" s="31" t="s">
        <v>172</v>
      </c>
      <c r="F248" s="31" t="s">
        <v>581</v>
      </c>
      <c r="G248" s="31" t="s">
        <v>1217</v>
      </c>
      <c r="H248" s="31" t="s">
        <v>60</v>
      </c>
      <c r="I248" s="31" t="s">
        <v>123</v>
      </c>
      <c r="J248" s="31" t="s">
        <v>110</v>
      </c>
      <c r="K248" s="31" t="s">
        <v>849</v>
      </c>
      <c r="L248" s="31" t="s">
        <v>588</v>
      </c>
      <c r="M248" s="32" t="s">
        <v>589</v>
      </c>
      <c r="N248" s="33" t="s">
        <v>850</v>
      </c>
      <c r="O248" s="34" t="s">
        <v>851</v>
      </c>
    </row>
    <row r="249" ht="54.0" customHeight="1">
      <c r="A249" s="30" t="s">
        <v>1322</v>
      </c>
      <c r="B249" s="31" t="s">
        <v>580</v>
      </c>
      <c r="C249" s="31" t="s">
        <v>16</v>
      </c>
      <c r="D249" s="31" t="s">
        <v>527</v>
      </c>
      <c r="E249" s="31" t="s">
        <v>172</v>
      </c>
      <c r="F249" s="31" t="s">
        <v>581</v>
      </c>
      <c r="G249" s="31" t="s">
        <v>1323</v>
      </c>
      <c r="H249" s="31" t="s">
        <v>60</v>
      </c>
      <c r="I249" s="31" t="s">
        <v>123</v>
      </c>
      <c r="J249" s="31" t="s">
        <v>110</v>
      </c>
      <c r="K249" s="31" t="s">
        <v>849</v>
      </c>
      <c r="L249" s="31" t="s">
        <v>588</v>
      </c>
      <c r="M249" s="32" t="s">
        <v>589</v>
      </c>
      <c r="N249" s="33" t="s">
        <v>850</v>
      </c>
      <c r="O249" s="34" t="s">
        <v>851</v>
      </c>
    </row>
    <row r="250" ht="54.0" customHeight="1">
      <c r="A250" s="30" t="s">
        <v>1324</v>
      </c>
      <c r="B250" s="31" t="s">
        <v>580</v>
      </c>
      <c r="C250" s="31" t="s">
        <v>16</v>
      </c>
      <c r="D250" s="31" t="s">
        <v>527</v>
      </c>
      <c r="E250" s="31" t="s">
        <v>172</v>
      </c>
      <c r="F250" s="31" t="s">
        <v>581</v>
      </c>
      <c r="G250" s="31" t="s">
        <v>1325</v>
      </c>
      <c r="H250" s="31" t="s">
        <v>60</v>
      </c>
      <c r="I250" s="31" t="s">
        <v>123</v>
      </c>
      <c r="J250" s="31" t="s">
        <v>110</v>
      </c>
      <c r="K250" s="31" t="s">
        <v>849</v>
      </c>
      <c r="L250" s="31" t="s">
        <v>588</v>
      </c>
      <c r="M250" s="32" t="s">
        <v>589</v>
      </c>
      <c r="N250" s="33" t="s">
        <v>850</v>
      </c>
      <c r="O250" s="34" t="s">
        <v>851</v>
      </c>
    </row>
    <row r="251" ht="54.0" customHeight="1">
      <c r="A251" s="30" t="s">
        <v>1326</v>
      </c>
      <c r="B251" s="31" t="s">
        <v>580</v>
      </c>
      <c r="C251" s="31" t="s">
        <v>16</v>
      </c>
      <c r="D251" s="31" t="s">
        <v>527</v>
      </c>
      <c r="E251" s="31" t="s">
        <v>172</v>
      </c>
      <c r="F251" s="31" t="s">
        <v>581</v>
      </c>
      <c r="G251" s="31" t="s">
        <v>1327</v>
      </c>
      <c r="H251" s="31" t="s">
        <v>60</v>
      </c>
      <c r="I251" s="31" t="s">
        <v>123</v>
      </c>
      <c r="J251" s="31" t="s">
        <v>110</v>
      </c>
      <c r="K251" s="31" t="s">
        <v>849</v>
      </c>
      <c r="L251" s="31" t="s">
        <v>588</v>
      </c>
      <c r="M251" s="32" t="s">
        <v>589</v>
      </c>
      <c r="N251" s="33" t="s">
        <v>850</v>
      </c>
      <c r="O251" s="34" t="s">
        <v>851</v>
      </c>
    </row>
    <row r="252" ht="54.0" customHeight="1">
      <c r="A252" s="30" t="s">
        <v>1328</v>
      </c>
      <c r="B252" s="31" t="s">
        <v>580</v>
      </c>
      <c r="C252" s="31" t="s">
        <v>16</v>
      </c>
      <c r="D252" s="31" t="s">
        <v>527</v>
      </c>
      <c r="E252" s="31" t="s">
        <v>172</v>
      </c>
      <c r="F252" s="31" t="s">
        <v>581</v>
      </c>
      <c r="G252" s="31" t="s">
        <v>1329</v>
      </c>
      <c r="H252" s="31" t="s">
        <v>60</v>
      </c>
      <c r="I252" s="31" t="s">
        <v>123</v>
      </c>
      <c r="J252" s="31" t="s">
        <v>110</v>
      </c>
      <c r="K252" s="31" t="s">
        <v>849</v>
      </c>
      <c r="L252" s="31" t="s">
        <v>588</v>
      </c>
      <c r="M252" s="32" t="s">
        <v>589</v>
      </c>
      <c r="N252" s="33" t="s">
        <v>850</v>
      </c>
      <c r="O252" s="34" t="s">
        <v>851</v>
      </c>
    </row>
    <row r="253" ht="54.0" customHeight="1">
      <c r="A253" s="30" t="s">
        <v>1330</v>
      </c>
      <c r="B253" s="31" t="s">
        <v>580</v>
      </c>
      <c r="C253" s="31" t="s">
        <v>16</v>
      </c>
      <c r="D253" s="31" t="s">
        <v>527</v>
      </c>
      <c r="E253" s="31" t="s">
        <v>172</v>
      </c>
      <c r="F253" s="31" t="s">
        <v>581</v>
      </c>
      <c r="G253" s="31" t="s">
        <v>1331</v>
      </c>
      <c r="H253" s="31" t="s">
        <v>60</v>
      </c>
      <c r="I253" s="31" t="s">
        <v>123</v>
      </c>
      <c r="J253" s="31" t="s">
        <v>110</v>
      </c>
      <c r="K253" s="31" t="s">
        <v>849</v>
      </c>
      <c r="L253" s="31" t="s">
        <v>588</v>
      </c>
      <c r="M253" s="32" t="s">
        <v>589</v>
      </c>
      <c r="N253" s="33" t="s">
        <v>850</v>
      </c>
      <c r="O253" s="34" t="s">
        <v>851</v>
      </c>
    </row>
    <row r="254" ht="54.0" customHeight="1">
      <c r="A254" s="30" t="s">
        <v>1332</v>
      </c>
      <c r="B254" s="31" t="s">
        <v>590</v>
      </c>
      <c r="C254" s="31" t="s">
        <v>16</v>
      </c>
      <c r="D254" s="31" t="s">
        <v>527</v>
      </c>
      <c r="E254" s="31" t="s">
        <v>185</v>
      </c>
      <c r="F254" s="31" t="s">
        <v>591</v>
      </c>
      <c r="G254" s="31" t="s">
        <v>1333</v>
      </c>
      <c r="H254" s="31" t="s">
        <v>68</v>
      </c>
      <c r="I254" s="31" t="s">
        <v>176</v>
      </c>
      <c r="J254" s="31" t="s">
        <v>110</v>
      </c>
      <c r="K254" s="31" t="s">
        <v>849</v>
      </c>
      <c r="L254" s="31" t="s">
        <v>597</v>
      </c>
      <c r="M254" s="32" t="s">
        <v>598</v>
      </c>
      <c r="N254" s="33" t="s">
        <v>850</v>
      </c>
      <c r="O254" s="34" t="s">
        <v>851</v>
      </c>
    </row>
    <row r="255" ht="54.0" customHeight="1">
      <c r="A255" s="30" t="s">
        <v>1334</v>
      </c>
      <c r="B255" s="31" t="s">
        <v>590</v>
      </c>
      <c r="C255" s="31" t="s">
        <v>16</v>
      </c>
      <c r="D255" s="31" t="s">
        <v>527</v>
      </c>
      <c r="E255" s="31" t="s">
        <v>185</v>
      </c>
      <c r="F255" s="31" t="s">
        <v>591</v>
      </c>
      <c r="G255" s="31" t="s">
        <v>1125</v>
      </c>
      <c r="H255" s="31" t="s">
        <v>68</v>
      </c>
      <c r="I255" s="31" t="s">
        <v>176</v>
      </c>
      <c r="J255" s="31" t="s">
        <v>110</v>
      </c>
      <c r="K255" s="31" t="s">
        <v>849</v>
      </c>
      <c r="L255" s="31" t="s">
        <v>597</v>
      </c>
      <c r="M255" s="32" t="s">
        <v>598</v>
      </c>
      <c r="N255" s="33" t="s">
        <v>850</v>
      </c>
      <c r="O255" s="34" t="s">
        <v>851</v>
      </c>
    </row>
    <row r="256" ht="54.0" customHeight="1">
      <c r="A256" s="30" t="s">
        <v>1335</v>
      </c>
      <c r="B256" s="31" t="s">
        <v>590</v>
      </c>
      <c r="C256" s="31" t="s">
        <v>16</v>
      </c>
      <c r="D256" s="31" t="s">
        <v>527</v>
      </c>
      <c r="E256" s="31" t="s">
        <v>185</v>
      </c>
      <c r="F256" s="31" t="s">
        <v>591</v>
      </c>
      <c r="G256" s="31" t="s">
        <v>1336</v>
      </c>
      <c r="H256" s="31" t="s">
        <v>68</v>
      </c>
      <c r="I256" s="31" t="s">
        <v>176</v>
      </c>
      <c r="J256" s="31" t="s">
        <v>110</v>
      </c>
      <c r="K256" s="31" t="s">
        <v>849</v>
      </c>
      <c r="L256" s="31" t="s">
        <v>597</v>
      </c>
      <c r="M256" s="32" t="s">
        <v>598</v>
      </c>
      <c r="N256" s="33" t="s">
        <v>850</v>
      </c>
      <c r="O256" s="34" t="s">
        <v>851</v>
      </c>
    </row>
    <row r="257" ht="54.0" customHeight="1">
      <c r="A257" s="30" t="s">
        <v>1337</v>
      </c>
      <c r="B257" s="31" t="s">
        <v>590</v>
      </c>
      <c r="C257" s="31" t="s">
        <v>16</v>
      </c>
      <c r="D257" s="31" t="s">
        <v>527</v>
      </c>
      <c r="E257" s="31" t="s">
        <v>185</v>
      </c>
      <c r="F257" s="31" t="s">
        <v>591</v>
      </c>
      <c r="G257" s="31" t="s">
        <v>1338</v>
      </c>
      <c r="H257" s="31" t="s">
        <v>68</v>
      </c>
      <c r="I257" s="31" t="s">
        <v>176</v>
      </c>
      <c r="J257" s="31" t="s">
        <v>110</v>
      </c>
      <c r="K257" s="31" t="s">
        <v>849</v>
      </c>
      <c r="L257" s="31" t="s">
        <v>597</v>
      </c>
      <c r="M257" s="32" t="s">
        <v>598</v>
      </c>
      <c r="N257" s="33" t="s">
        <v>850</v>
      </c>
      <c r="O257" s="34" t="s">
        <v>851</v>
      </c>
    </row>
    <row r="258" ht="54.0" customHeight="1">
      <c r="A258" s="30" t="s">
        <v>1339</v>
      </c>
      <c r="B258" s="31" t="s">
        <v>590</v>
      </c>
      <c r="C258" s="31" t="s">
        <v>16</v>
      </c>
      <c r="D258" s="31" t="s">
        <v>527</v>
      </c>
      <c r="E258" s="31" t="s">
        <v>185</v>
      </c>
      <c r="F258" s="31" t="s">
        <v>591</v>
      </c>
      <c r="G258" s="31" t="s">
        <v>1340</v>
      </c>
      <c r="H258" s="31" t="s">
        <v>68</v>
      </c>
      <c r="I258" s="31" t="s">
        <v>176</v>
      </c>
      <c r="J258" s="31" t="s">
        <v>110</v>
      </c>
      <c r="K258" s="31" t="s">
        <v>849</v>
      </c>
      <c r="L258" s="31" t="s">
        <v>597</v>
      </c>
      <c r="M258" s="32" t="s">
        <v>598</v>
      </c>
      <c r="N258" s="33" t="s">
        <v>850</v>
      </c>
      <c r="O258" s="34" t="s">
        <v>851</v>
      </c>
    </row>
    <row r="259" ht="54.0" customHeight="1">
      <c r="A259" s="30" t="s">
        <v>1341</v>
      </c>
      <c r="B259" s="31" t="s">
        <v>590</v>
      </c>
      <c r="C259" s="31" t="s">
        <v>16</v>
      </c>
      <c r="D259" s="31" t="s">
        <v>527</v>
      </c>
      <c r="E259" s="31" t="s">
        <v>185</v>
      </c>
      <c r="F259" s="31" t="s">
        <v>591</v>
      </c>
      <c r="G259" s="31" t="s">
        <v>1342</v>
      </c>
      <c r="H259" s="31" t="s">
        <v>68</v>
      </c>
      <c r="I259" s="31" t="s">
        <v>176</v>
      </c>
      <c r="J259" s="31" t="s">
        <v>110</v>
      </c>
      <c r="K259" s="31" t="s">
        <v>849</v>
      </c>
      <c r="L259" s="31" t="s">
        <v>597</v>
      </c>
      <c r="M259" s="32" t="s">
        <v>598</v>
      </c>
      <c r="N259" s="33" t="s">
        <v>850</v>
      </c>
      <c r="O259" s="34" t="s">
        <v>851</v>
      </c>
    </row>
    <row r="260" ht="54.0" customHeight="1">
      <c r="A260" s="30" t="s">
        <v>1343</v>
      </c>
      <c r="B260" s="31" t="s">
        <v>599</v>
      </c>
      <c r="C260" s="31" t="s">
        <v>16</v>
      </c>
      <c r="D260" s="31" t="s">
        <v>527</v>
      </c>
      <c r="E260" s="31" t="s">
        <v>119</v>
      </c>
      <c r="F260" s="31" t="s">
        <v>600</v>
      </c>
      <c r="G260" s="31" t="s">
        <v>1344</v>
      </c>
      <c r="H260" s="31" t="s">
        <v>70</v>
      </c>
      <c r="I260" s="31" t="s">
        <v>321</v>
      </c>
      <c r="J260" s="31" t="s">
        <v>110</v>
      </c>
      <c r="K260" s="31" t="s">
        <v>849</v>
      </c>
      <c r="L260" s="31" t="s">
        <v>607</v>
      </c>
      <c r="M260" s="32" t="s">
        <v>608</v>
      </c>
      <c r="N260" s="33" t="s">
        <v>850</v>
      </c>
      <c r="O260" s="34" t="s">
        <v>851</v>
      </c>
    </row>
    <row r="261" ht="54.0" customHeight="1">
      <c r="A261" s="30" t="s">
        <v>1345</v>
      </c>
      <c r="B261" s="31" t="s">
        <v>599</v>
      </c>
      <c r="C261" s="31" t="s">
        <v>16</v>
      </c>
      <c r="D261" s="31" t="s">
        <v>527</v>
      </c>
      <c r="E261" s="31" t="s">
        <v>119</v>
      </c>
      <c r="F261" s="31" t="s">
        <v>600</v>
      </c>
      <c r="G261" s="31" t="s">
        <v>1346</v>
      </c>
      <c r="H261" s="31" t="s">
        <v>70</v>
      </c>
      <c r="I261" s="31" t="s">
        <v>321</v>
      </c>
      <c r="J261" s="31" t="s">
        <v>110</v>
      </c>
      <c r="K261" s="31" t="s">
        <v>849</v>
      </c>
      <c r="L261" s="31" t="s">
        <v>607</v>
      </c>
      <c r="M261" s="32" t="s">
        <v>608</v>
      </c>
      <c r="N261" s="33" t="s">
        <v>850</v>
      </c>
      <c r="O261" s="34" t="s">
        <v>851</v>
      </c>
    </row>
    <row r="262" ht="54.0" customHeight="1">
      <c r="A262" s="30" t="s">
        <v>1347</v>
      </c>
      <c r="B262" s="31" t="s">
        <v>599</v>
      </c>
      <c r="C262" s="31" t="s">
        <v>16</v>
      </c>
      <c r="D262" s="31" t="s">
        <v>527</v>
      </c>
      <c r="E262" s="31" t="s">
        <v>119</v>
      </c>
      <c r="F262" s="31" t="s">
        <v>600</v>
      </c>
      <c r="G262" s="31" t="s">
        <v>1348</v>
      </c>
      <c r="H262" s="31" t="s">
        <v>70</v>
      </c>
      <c r="I262" s="31" t="s">
        <v>321</v>
      </c>
      <c r="J262" s="31" t="s">
        <v>110</v>
      </c>
      <c r="K262" s="31" t="s">
        <v>849</v>
      </c>
      <c r="L262" s="31" t="s">
        <v>607</v>
      </c>
      <c r="M262" s="32" t="s">
        <v>608</v>
      </c>
      <c r="N262" s="33" t="s">
        <v>850</v>
      </c>
      <c r="O262" s="34" t="s">
        <v>851</v>
      </c>
    </row>
    <row r="263" ht="54.0" customHeight="1">
      <c r="A263" s="30" t="s">
        <v>1349</v>
      </c>
      <c r="B263" s="31" t="s">
        <v>599</v>
      </c>
      <c r="C263" s="31" t="s">
        <v>16</v>
      </c>
      <c r="D263" s="31" t="s">
        <v>527</v>
      </c>
      <c r="E263" s="31" t="s">
        <v>119</v>
      </c>
      <c r="F263" s="31" t="s">
        <v>600</v>
      </c>
      <c r="G263" s="31" t="s">
        <v>1350</v>
      </c>
      <c r="H263" s="31" t="s">
        <v>70</v>
      </c>
      <c r="I263" s="31" t="s">
        <v>321</v>
      </c>
      <c r="J263" s="31" t="s">
        <v>110</v>
      </c>
      <c r="K263" s="31" t="s">
        <v>849</v>
      </c>
      <c r="L263" s="31" t="s">
        <v>607</v>
      </c>
      <c r="M263" s="32" t="s">
        <v>608</v>
      </c>
      <c r="N263" s="33" t="s">
        <v>850</v>
      </c>
      <c r="O263" s="34" t="s">
        <v>851</v>
      </c>
    </row>
    <row r="264" ht="54.0" customHeight="1">
      <c r="A264" s="30" t="s">
        <v>1351</v>
      </c>
      <c r="B264" s="31" t="s">
        <v>599</v>
      </c>
      <c r="C264" s="31" t="s">
        <v>16</v>
      </c>
      <c r="D264" s="31" t="s">
        <v>527</v>
      </c>
      <c r="E264" s="31" t="s">
        <v>119</v>
      </c>
      <c r="F264" s="31" t="s">
        <v>600</v>
      </c>
      <c r="G264" s="31" t="s">
        <v>1352</v>
      </c>
      <c r="H264" s="31" t="s">
        <v>70</v>
      </c>
      <c r="I264" s="31" t="s">
        <v>321</v>
      </c>
      <c r="J264" s="31" t="s">
        <v>110</v>
      </c>
      <c r="K264" s="31" t="s">
        <v>849</v>
      </c>
      <c r="L264" s="31" t="s">
        <v>607</v>
      </c>
      <c r="M264" s="32" t="s">
        <v>608</v>
      </c>
      <c r="N264" s="33" t="s">
        <v>850</v>
      </c>
      <c r="O264" s="34" t="s">
        <v>851</v>
      </c>
    </row>
    <row r="265" ht="54.0" customHeight="1">
      <c r="A265" s="30" t="s">
        <v>1353</v>
      </c>
      <c r="B265" s="31" t="s">
        <v>599</v>
      </c>
      <c r="C265" s="31" t="s">
        <v>16</v>
      </c>
      <c r="D265" s="31" t="s">
        <v>527</v>
      </c>
      <c r="E265" s="31" t="s">
        <v>119</v>
      </c>
      <c r="F265" s="31" t="s">
        <v>600</v>
      </c>
      <c r="G265" s="31" t="s">
        <v>1354</v>
      </c>
      <c r="H265" s="31" t="s">
        <v>70</v>
      </c>
      <c r="I265" s="31" t="s">
        <v>321</v>
      </c>
      <c r="J265" s="31" t="s">
        <v>110</v>
      </c>
      <c r="K265" s="31" t="s">
        <v>849</v>
      </c>
      <c r="L265" s="31" t="s">
        <v>607</v>
      </c>
      <c r="M265" s="32" t="s">
        <v>608</v>
      </c>
      <c r="N265" s="33" t="s">
        <v>850</v>
      </c>
      <c r="O265" s="34" t="s">
        <v>851</v>
      </c>
    </row>
    <row r="266" ht="54.0" customHeight="1">
      <c r="A266" s="30" t="s">
        <v>1355</v>
      </c>
      <c r="B266" s="31" t="s">
        <v>609</v>
      </c>
      <c r="C266" s="31" t="s">
        <v>16</v>
      </c>
      <c r="D266" s="31" t="s">
        <v>527</v>
      </c>
      <c r="E266" s="31" t="s">
        <v>161</v>
      </c>
      <c r="F266" s="31" t="s">
        <v>610</v>
      </c>
      <c r="G266" s="31" t="s">
        <v>1356</v>
      </c>
      <c r="H266" s="31" t="s">
        <v>56</v>
      </c>
      <c r="I266" s="31" t="s">
        <v>264</v>
      </c>
      <c r="J266" s="31" t="s">
        <v>110</v>
      </c>
      <c r="K266" s="31" t="s">
        <v>849</v>
      </c>
      <c r="L266" s="31" t="s">
        <v>617</v>
      </c>
      <c r="M266" s="32" t="s">
        <v>618</v>
      </c>
      <c r="N266" s="33" t="s">
        <v>850</v>
      </c>
      <c r="O266" s="34" t="s">
        <v>851</v>
      </c>
    </row>
    <row r="267" ht="54.0" customHeight="1">
      <c r="A267" s="30" t="s">
        <v>1357</v>
      </c>
      <c r="B267" s="31" t="s">
        <v>609</v>
      </c>
      <c r="C267" s="31" t="s">
        <v>16</v>
      </c>
      <c r="D267" s="31" t="s">
        <v>527</v>
      </c>
      <c r="E267" s="31" t="s">
        <v>161</v>
      </c>
      <c r="F267" s="31" t="s">
        <v>610</v>
      </c>
      <c r="G267" s="31" t="s">
        <v>1358</v>
      </c>
      <c r="H267" s="31" t="s">
        <v>56</v>
      </c>
      <c r="I267" s="31" t="s">
        <v>264</v>
      </c>
      <c r="J267" s="31" t="s">
        <v>110</v>
      </c>
      <c r="K267" s="31" t="s">
        <v>849</v>
      </c>
      <c r="L267" s="31" t="s">
        <v>617</v>
      </c>
      <c r="M267" s="32" t="s">
        <v>618</v>
      </c>
      <c r="N267" s="33" t="s">
        <v>850</v>
      </c>
      <c r="O267" s="34" t="s">
        <v>851</v>
      </c>
    </row>
    <row r="268" ht="54.0" customHeight="1">
      <c r="A268" s="30" t="s">
        <v>1359</v>
      </c>
      <c r="B268" s="31" t="s">
        <v>609</v>
      </c>
      <c r="C268" s="31" t="s">
        <v>16</v>
      </c>
      <c r="D268" s="31" t="s">
        <v>527</v>
      </c>
      <c r="E268" s="31" t="s">
        <v>161</v>
      </c>
      <c r="F268" s="31" t="s">
        <v>610</v>
      </c>
      <c r="G268" s="31" t="s">
        <v>1360</v>
      </c>
      <c r="H268" s="31" t="s">
        <v>56</v>
      </c>
      <c r="I268" s="31" t="s">
        <v>264</v>
      </c>
      <c r="J268" s="31" t="s">
        <v>110</v>
      </c>
      <c r="K268" s="31" t="s">
        <v>849</v>
      </c>
      <c r="L268" s="31" t="s">
        <v>617</v>
      </c>
      <c r="M268" s="32" t="s">
        <v>618</v>
      </c>
      <c r="N268" s="33" t="s">
        <v>850</v>
      </c>
      <c r="O268" s="34" t="s">
        <v>851</v>
      </c>
    </row>
    <row r="269" ht="54.0" customHeight="1">
      <c r="A269" s="30" t="s">
        <v>1361</v>
      </c>
      <c r="B269" s="31" t="s">
        <v>609</v>
      </c>
      <c r="C269" s="31" t="s">
        <v>16</v>
      </c>
      <c r="D269" s="31" t="s">
        <v>527</v>
      </c>
      <c r="E269" s="31" t="s">
        <v>161</v>
      </c>
      <c r="F269" s="31" t="s">
        <v>610</v>
      </c>
      <c r="G269" s="31" t="s">
        <v>1362</v>
      </c>
      <c r="H269" s="31" t="s">
        <v>56</v>
      </c>
      <c r="I269" s="31" t="s">
        <v>264</v>
      </c>
      <c r="J269" s="31" t="s">
        <v>110</v>
      </c>
      <c r="K269" s="31" t="s">
        <v>849</v>
      </c>
      <c r="L269" s="31" t="s">
        <v>617</v>
      </c>
      <c r="M269" s="32" t="s">
        <v>618</v>
      </c>
      <c r="N269" s="33" t="s">
        <v>850</v>
      </c>
      <c r="O269" s="34" t="s">
        <v>851</v>
      </c>
    </row>
    <row r="270" ht="54.0" customHeight="1">
      <c r="A270" s="30" t="s">
        <v>1363</v>
      </c>
      <c r="B270" s="31" t="s">
        <v>609</v>
      </c>
      <c r="C270" s="31" t="s">
        <v>16</v>
      </c>
      <c r="D270" s="31" t="s">
        <v>527</v>
      </c>
      <c r="E270" s="31" t="s">
        <v>161</v>
      </c>
      <c r="F270" s="31" t="s">
        <v>610</v>
      </c>
      <c r="G270" s="31" t="s">
        <v>1364</v>
      </c>
      <c r="H270" s="31" t="s">
        <v>56</v>
      </c>
      <c r="I270" s="31" t="s">
        <v>264</v>
      </c>
      <c r="J270" s="31" t="s">
        <v>110</v>
      </c>
      <c r="K270" s="31" t="s">
        <v>849</v>
      </c>
      <c r="L270" s="31" t="s">
        <v>617</v>
      </c>
      <c r="M270" s="32" t="s">
        <v>618</v>
      </c>
      <c r="N270" s="33" t="s">
        <v>850</v>
      </c>
      <c r="O270" s="34" t="s">
        <v>851</v>
      </c>
    </row>
    <row r="271" ht="54.0" customHeight="1">
      <c r="A271" s="30" t="s">
        <v>1365</v>
      </c>
      <c r="B271" s="31" t="s">
        <v>609</v>
      </c>
      <c r="C271" s="31" t="s">
        <v>16</v>
      </c>
      <c r="D271" s="31" t="s">
        <v>527</v>
      </c>
      <c r="E271" s="31" t="s">
        <v>161</v>
      </c>
      <c r="F271" s="31" t="s">
        <v>610</v>
      </c>
      <c r="G271" s="31" t="s">
        <v>1121</v>
      </c>
      <c r="H271" s="31" t="s">
        <v>56</v>
      </c>
      <c r="I271" s="31" t="s">
        <v>264</v>
      </c>
      <c r="J271" s="31" t="s">
        <v>110</v>
      </c>
      <c r="K271" s="31" t="s">
        <v>849</v>
      </c>
      <c r="L271" s="31" t="s">
        <v>617</v>
      </c>
      <c r="M271" s="32" t="s">
        <v>618</v>
      </c>
      <c r="N271" s="33" t="s">
        <v>850</v>
      </c>
      <c r="O271" s="34" t="s">
        <v>851</v>
      </c>
    </row>
    <row r="272" ht="54.0" customHeight="1">
      <c r="A272" s="30" t="s">
        <v>1366</v>
      </c>
      <c r="B272" s="31" t="s">
        <v>619</v>
      </c>
      <c r="C272" s="31" t="s">
        <v>16</v>
      </c>
      <c r="D272" s="31" t="s">
        <v>527</v>
      </c>
      <c r="E272" s="31" t="s">
        <v>620</v>
      </c>
      <c r="F272" s="31" t="s">
        <v>621</v>
      </c>
      <c r="G272" s="31" t="s">
        <v>1367</v>
      </c>
      <c r="H272" s="31" t="s">
        <v>64</v>
      </c>
      <c r="I272" s="31" t="s">
        <v>123</v>
      </c>
      <c r="J272" s="31" t="s">
        <v>110</v>
      </c>
      <c r="K272" s="31" t="s">
        <v>849</v>
      </c>
      <c r="L272" s="31" t="s">
        <v>630</v>
      </c>
      <c r="M272" s="32" t="s">
        <v>631</v>
      </c>
      <c r="N272" s="33" t="s">
        <v>850</v>
      </c>
      <c r="O272" s="34" t="s">
        <v>851</v>
      </c>
    </row>
    <row r="273" ht="54.0" customHeight="1">
      <c r="A273" s="30" t="s">
        <v>1368</v>
      </c>
      <c r="B273" s="31" t="s">
        <v>619</v>
      </c>
      <c r="C273" s="31" t="s">
        <v>16</v>
      </c>
      <c r="D273" s="31" t="s">
        <v>527</v>
      </c>
      <c r="E273" s="31" t="s">
        <v>620</v>
      </c>
      <c r="F273" s="31" t="s">
        <v>621</v>
      </c>
      <c r="G273" s="31" t="s">
        <v>1369</v>
      </c>
      <c r="H273" s="31" t="s">
        <v>64</v>
      </c>
      <c r="I273" s="31" t="s">
        <v>123</v>
      </c>
      <c r="J273" s="31" t="s">
        <v>110</v>
      </c>
      <c r="K273" s="31" t="s">
        <v>849</v>
      </c>
      <c r="L273" s="31" t="s">
        <v>630</v>
      </c>
      <c r="M273" s="32" t="s">
        <v>631</v>
      </c>
      <c r="N273" s="33" t="s">
        <v>850</v>
      </c>
      <c r="O273" s="34" t="s">
        <v>851</v>
      </c>
    </row>
    <row r="274" ht="54.0" customHeight="1">
      <c r="A274" s="30" t="s">
        <v>1370</v>
      </c>
      <c r="B274" s="31" t="s">
        <v>619</v>
      </c>
      <c r="C274" s="31" t="s">
        <v>16</v>
      </c>
      <c r="D274" s="31" t="s">
        <v>527</v>
      </c>
      <c r="E274" s="31" t="s">
        <v>620</v>
      </c>
      <c r="F274" s="31" t="s">
        <v>621</v>
      </c>
      <c r="G274" s="31" t="s">
        <v>1371</v>
      </c>
      <c r="H274" s="31" t="s">
        <v>64</v>
      </c>
      <c r="I274" s="31" t="s">
        <v>123</v>
      </c>
      <c r="J274" s="31" t="s">
        <v>110</v>
      </c>
      <c r="K274" s="31" t="s">
        <v>849</v>
      </c>
      <c r="L274" s="31" t="s">
        <v>630</v>
      </c>
      <c r="M274" s="32" t="s">
        <v>631</v>
      </c>
      <c r="N274" s="33" t="s">
        <v>850</v>
      </c>
      <c r="O274" s="34" t="s">
        <v>851</v>
      </c>
    </row>
    <row r="275" ht="54.0" customHeight="1">
      <c r="A275" s="30" t="s">
        <v>1372</v>
      </c>
      <c r="B275" s="31" t="s">
        <v>619</v>
      </c>
      <c r="C275" s="31" t="s">
        <v>16</v>
      </c>
      <c r="D275" s="31" t="s">
        <v>527</v>
      </c>
      <c r="E275" s="31" t="s">
        <v>620</v>
      </c>
      <c r="F275" s="31" t="s">
        <v>621</v>
      </c>
      <c r="G275" s="31" t="s">
        <v>1373</v>
      </c>
      <c r="H275" s="31" t="s">
        <v>64</v>
      </c>
      <c r="I275" s="31" t="s">
        <v>123</v>
      </c>
      <c r="J275" s="31" t="s">
        <v>110</v>
      </c>
      <c r="K275" s="31" t="s">
        <v>849</v>
      </c>
      <c r="L275" s="31" t="s">
        <v>630</v>
      </c>
      <c r="M275" s="32" t="s">
        <v>631</v>
      </c>
      <c r="N275" s="33" t="s">
        <v>850</v>
      </c>
      <c r="O275" s="34" t="s">
        <v>851</v>
      </c>
    </row>
    <row r="276" ht="54.0" customHeight="1">
      <c r="A276" s="30" t="s">
        <v>1374</v>
      </c>
      <c r="B276" s="31" t="s">
        <v>619</v>
      </c>
      <c r="C276" s="31" t="s">
        <v>16</v>
      </c>
      <c r="D276" s="31" t="s">
        <v>527</v>
      </c>
      <c r="E276" s="31" t="s">
        <v>620</v>
      </c>
      <c r="F276" s="31" t="s">
        <v>621</v>
      </c>
      <c r="G276" s="31" t="s">
        <v>1375</v>
      </c>
      <c r="H276" s="31" t="s">
        <v>64</v>
      </c>
      <c r="I276" s="31" t="s">
        <v>123</v>
      </c>
      <c r="J276" s="31" t="s">
        <v>110</v>
      </c>
      <c r="K276" s="31" t="s">
        <v>849</v>
      </c>
      <c r="L276" s="31" t="s">
        <v>630</v>
      </c>
      <c r="M276" s="32" t="s">
        <v>631</v>
      </c>
      <c r="N276" s="33" t="s">
        <v>850</v>
      </c>
      <c r="O276" s="34" t="s">
        <v>851</v>
      </c>
    </row>
    <row r="277" ht="54.0" customHeight="1">
      <c r="A277" s="30" t="s">
        <v>1376</v>
      </c>
      <c r="B277" s="31" t="s">
        <v>619</v>
      </c>
      <c r="C277" s="31" t="s">
        <v>16</v>
      </c>
      <c r="D277" s="31" t="s">
        <v>527</v>
      </c>
      <c r="E277" s="31" t="s">
        <v>620</v>
      </c>
      <c r="F277" s="31" t="s">
        <v>621</v>
      </c>
      <c r="G277" s="31" t="s">
        <v>1377</v>
      </c>
      <c r="H277" s="31" t="s">
        <v>64</v>
      </c>
      <c r="I277" s="31" t="s">
        <v>123</v>
      </c>
      <c r="J277" s="31" t="s">
        <v>110</v>
      </c>
      <c r="K277" s="31" t="s">
        <v>849</v>
      </c>
      <c r="L277" s="31" t="s">
        <v>630</v>
      </c>
      <c r="M277" s="32" t="s">
        <v>631</v>
      </c>
      <c r="N277" s="33" t="s">
        <v>850</v>
      </c>
      <c r="O277" s="34" t="s">
        <v>851</v>
      </c>
    </row>
    <row r="278" ht="54.0" customHeight="1">
      <c r="A278" s="30" t="s">
        <v>1378</v>
      </c>
      <c r="B278" s="31" t="s">
        <v>632</v>
      </c>
      <c r="C278" s="31" t="s">
        <v>16</v>
      </c>
      <c r="D278" s="31" t="s">
        <v>633</v>
      </c>
      <c r="E278" s="31" t="s">
        <v>161</v>
      </c>
      <c r="F278" s="31" t="s">
        <v>634</v>
      </c>
      <c r="G278" s="31" t="s">
        <v>1379</v>
      </c>
      <c r="H278" s="31" t="s">
        <v>68</v>
      </c>
      <c r="I278" s="31" t="s">
        <v>176</v>
      </c>
      <c r="J278" s="31" t="s">
        <v>110</v>
      </c>
      <c r="K278" s="31" t="s">
        <v>849</v>
      </c>
      <c r="L278" s="31" t="s">
        <v>642</v>
      </c>
      <c r="M278" s="32" t="s">
        <v>643</v>
      </c>
      <c r="N278" s="33" t="s">
        <v>850</v>
      </c>
      <c r="O278" s="34" t="s">
        <v>851</v>
      </c>
    </row>
    <row r="279" ht="54.0" customHeight="1">
      <c r="A279" s="30" t="s">
        <v>1380</v>
      </c>
      <c r="B279" s="31" t="s">
        <v>632</v>
      </c>
      <c r="C279" s="31" t="s">
        <v>16</v>
      </c>
      <c r="D279" s="31" t="s">
        <v>633</v>
      </c>
      <c r="E279" s="31" t="s">
        <v>161</v>
      </c>
      <c r="F279" s="31" t="s">
        <v>634</v>
      </c>
      <c r="G279" s="31" t="s">
        <v>1381</v>
      </c>
      <c r="H279" s="31" t="s">
        <v>68</v>
      </c>
      <c r="I279" s="31" t="s">
        <v>176</v>
      </c>
      <c r="J279" s="31" t="s">
        <v>110</v>
      </c>
      <c r="K279" s="31" t="s">
        <v>849</v>
      </c>
      <c r="L279" s="31" t="s">
        <v>642</v>
      </c>
      <c r="M279" s="32" t="s">
        <v>643</v>
      </c>
      <c r="N279" s="33" t="s">
        <v>850</v>
      </c>
      <c r="O279" s="34" t="s">
        <v>851</v>
      </c>
    </row>
    <row r="280" ht="54.0" customHeight="1">
      <c r="A280" s="30" t="s">
        <v>1382</v>
      </c>
      <c r="B280" s="31" t="s">
        <v>632</v>
      </c>
      <c r="C280" s="31" t="s">
        <v>16</v>
      </c>
      <c r="D280" s="31" t="s">
        <v>633</v>
      </c>
      <c r="E280" s="31" t="s">
        <v>161</v>
      </c>
      <c r="F280" s="31" t="s">
        <v>634</v>
      </c>
      <c r="G280" s="31" t="s">
        <v>1383</v>
      </c>
      <c r="H280" s="31" t="s">
        <v>68</v>
      </c>
      <c r="I280" s="31" t="s">
        <v>176</v>
      </c>
      <c r="J280" s="31" t="s">
        <v>110</v>
      </c>
      <c r="K280" s="31" t="s">
        <v>849</v>
      </c>
      <c r="L280" s="31" t="s">
        <v>642</v>
      </c>
      <c r="M280" s="32" t="s">
        <v>643</v>
      </c>
      <c r="N280" s="33" t="s">
        <v>850</v>
      </c>
      <c r="O280" s="34" t="s">
        <v>851</v>
      </c>
    </row>
    <row r="281" ht="54.0" customHeight="1">
      <c r="A281" s="30" t="s">
        <v>1384</v>
      </c>
      <c r="B281" s="31" t="s">
        <v>632</v>
      </c>
      <c r="C281" s="31" t="s">
        <v>16</v>
      </c>
      <c r="D281" s="31" t="s">
        <v>633</v>
      </c>
      <c r="E281" s="31" t="s">
        <v>161</v>
      </c>
      <c r="F281" s="31" t="s">
        <v>634</v>
      </c>
      <c r="G281" s="31" t="s">
        <v>1385</v>
      </c>
      <c r="H281" s="31" t="s">
        <v>68</v>
      </c>
      <c r="I281" s="31" t="s">
        <v>176</v>
      </c>
      <c r="J281" s="31" t="s">
        <v>110</v>
      </c>
      <c r="K281" s="31" t="s">
        <v>849</v>
      </c>
      <c r="L281" s="31" t="s">
        <v>642</v>
      </c>
      <c r="M281" s="32" t="s">
        <v>643</v>
      </c>
      <c r="N281" s="33" t="s">
        <v>850</v>
      </c>
      <c r="O281" s="34" t="s">
        <v>851</v>
      </c>
    </row>
    <row r="282" ht="54.0" customHeight="1">
      <c r="A282" s="30" t="s">
        <v>1386</v>
      </c>
      <c r="B282" s="31" t="s">
        <v>632</v>
      </c>
      <c r="C282" s="31" t="s">
        <v>16</v>
      </c>
      <c r="D282" s="31" t="s">
        <v>633</v>
      </c>
      <c r="E282" s="31" t="s">
        <v>161</v>
      </c>
      <c r="F282" s="31" t="s">
        <v>634</v>
      </c>
      <c r="G282" s="31" t="s">
        <v>1387</v>
      </c>
      <c r="H282" s="31" t="s">
        <v>68</v>
      </c>
      <c r="I282" s="31" t="s">
        <v>176</v>
      </c>
      <c r="J282" s="31" t="s">
        <v>110</v>
      </c>
      <c r="K282" s="31" t="s">
        <v>849</v>
      </c>
      <c r="L282" s="31" t="s">
        <v>642</v>
      </c>
      <c r="M282" s="32" t="s">
        <v>643</v>
      </c>
      <c r="N282" s="33" t="s">
        <v>850</v>
      </c>
      <c r="O282" s="34" t="s">
        <v>851</v>
      </c>
    </row>
    <row r="283" ht="54.0" customHeight="1">
      <c r="A283" s="30" t="s">
        <v>1388</v>
      </c>
      <c r="B283" s="31" t="s">
        <v>632</v>
      </c>
      <c r="C283" s="31" t="s">
        <v>16</v>
      </c>
      <c r="D283" s="31" t="s">
        <v>633</v>
      </c>
      <c r="E283" s="31" t="s">
        <v>161</v>
      </c>
      <c r="F283" s="31" t="s">
        <v>634</v>
      </c>
      <c r="G283" s="31" t="s">
        <v>1389</v>
      </c>
      <c r="H283" s="31" t="s">
        <v>68</v>
      </c>
      <c r="I283" s="31" t="s">
        <v>176</v>
      </c>
      <c r="J283" s="31" t="s">
        <v>110</v>
      </c>
      <c r="K283" s="31" t="s">
        <v>849</v>
      </c>
      <c r="L283" s="31" t="s">
        <v>642</v>
      </c>
      <c r="M283" s="32" t="s">
        <v>643</v>
      </c>
      <c r="N283" s="33" t="s">
        <v>850</v>
      </c>
      <c r="O283" s="34" t="s">
        <v>851</v>
      </c>
    </row>
    <row r="284" ht="54.0" customHeight="1">
      <c r="A284" s="30" t="s">
        <v>1390</v>
      </c>
      <c r="B284" s="31" t="s">
        <v>644</v>
      </c>
      <c r="C284" s="31" t="s">
        <v>16</v>
      </c>
      <c r="D284" s="31" t="s">
        <v>633</v>
      </c>
      <c r="E284" s="31" t="s">
        <v>284</v>
      </c>
      <c r="F284" s="31" t="s">
        <v>645</v>
      </c>
      <c r="G284" s="31" t="s">
        <v>1391</v>
      </c>
      <c r="H284" s="31" t="s">
        <v>60</v>
      </c>
      <c r="I284" s="31" t="s">
        <v>123</v>
      </c>
      <c r="J284" s="31" t="s">
        <v>110</v>
      </c>
      <c r="K284" s="31" t="s">
        <v>849</v>
      </c>
      <c r="L284" s="31" t="s">
        <v>653</v>
      </c>
      <c r="M284" s="32" t="s">
        <v>654</v>
      </c>
      <c r="N284" s="33" t="s">
        <v>850</v>
      </c>
      <c r="O284" s="34" t="s">
        <v>851</v>
      </c>
    </row>
    <row r="285" ht="54.0" customHeight="1">
      <c r="A285" s="30" t="s">
        <v>1392</v>
      </c>
      <c r="B285" s="31" t="s">
        <v>644</v>
      </c>
      <c r="C285" s="31" t="s">
        <v>16</v>
      </c>
      <c r="D285" s="31" t="s">
        <v>633</v>
      </c>
      <c r="E285" s="31" t="s">
        <v>284</v>
      </c>
      <c r="F285" s="31" t="s">
        <v>645</v>
      </c>
      <c r="G285" s="31" t="s">
        <v>1393</v>
      </c>
      <c r="H285" s="31" t="s">
        <v>60</v>
      </c>
      <c r="I285" s="31" t="s">
        <v>123</v>
      </c>
      <c r="J285" s="31" t="s">
        <v>110</v>
      </c>
      <c r="K285" s="31" t="s">
        <v>849</v>
      </c>
      <c r="L285" s="31" t="s">
        <v>653</v>
      </c>
      <c r="M285" s="32" t="s">
        <v>654</v>
      </c>
      <c r="N285" s="33" t="s">
        <v>850</v>
      </c>
      <c r="O285" s="34" t="s">
        <v>851</v>
      </c>
    </row>
    <row r="286" ht="54.0" customHeight="1">
      <c r="A286" s="30" t="s">
        <v>1394</v>
      </c>
      <c r="B286" s="31" t="s">
        <v>644</v>
      </c>
      <c r="C286" s="31" t="s">
        <v>16</v>
      </c>
      <c r="D286" s="31" t="s">
        <v>633</v>
      </c>
      <c r="E286" s="31" t="s">
        <v>284</v>
      </c>
      <c r="F286" s="31" t="s">
        <v>645</v>
      </c>
      <c r="G286" s="31" t="s">
        <v>1395</v>
      </c>
      <c r="H286" s="31" t="s">
        <v>60</v>
      </c>
      <c r="I286" s="31" t="s">
        <v>123</v>
      </c>
      <c r="J286" s="31" t="s">
        <v>110</v>
      </c>
      <c r="K286" s="31" t="s">
        <v>849</v>
      </c>
      <c r="L286" s="31" t="s">
        <v>653</v>
      </c>
      <c r="M286" s="32" t="s">
        <v>654</v>
      </c>
      <c r="N286" s="33" t="s">
        <v>850</v>
      </c>
      <c r="O286" s="34" t="s">
        <v>851</v>
      </c>
    </row>
    <row r="287" ht="54.0" customHeight="1">
      <c r="A287" s="30" t="s">
        <v>1396</v>
      </c>
      <c r="B287" s="31" t="s">
        <v>644</v>
      </c>
      <c r="C287" s="31" t="s">
        <v>16</v>
      </c>
      <c r="D287" s="31" t="s">
        <v>633</v>
      </c>
      <c r="E287" s="31" t="s">
        <v>284</v>
      </c>
      <c r="F287" s="31" t="s">
        <v>645</v>
      </c>
      <c r="G287" s="31" t="s">
        <v>1397</v>
      </c>
      <c r="H287" s="31" t="s">
        <v>60</v>
      </c>
      <c r="I287" s="31" t="s">
        <v>123</v>
      </c>
      <c r="J287" s="31" t="s">
        <v>110</v>
      </c>
      <c r="K287" s="31" t="s">
        <v>849</v>
      </c>
      <c r="L287" s="31" t="s">
        <v>653</v>
      </c>
      <c r="M287" s="32" t="s">
        <v>654</v>
      </c>
      <c r="N287" s="33" t="s">
        <v>850</v>
      </c>
      <c r="O287" s="34" t="s">
        <v>851</v>
      </c>
    </row>
    <row r="288" ht="54.0" customHeight="1">
      <c r="A288" s="30" t="s">
        <v>1398</v>
      </c>
      <c r="B288" s="31" t="s">
        <v>644</v>
      </c>
      <c r="C288" s="31" t="s">
        <v>16</v>
      </c>
      <c r="D288" s="31" t="s">
        <v>633</v>
      </c>
      <c r="E288" s="31" t="s">
        <v>284</v>
      </c>
      <c r="F288" s="31" t="s">
        <v>645</v>
      </c>
      <c r="G288" s="31" t="s">
        <v>1399</v>
      </c>
      <c r="H288" s="31" t="s">
        <v>60</v>
      </c>
      <c r="I288" s="31" t="s">
        <v>123</v>
      </c>
      <c r="J288" s="31" t="s">
        <v>110</v>
      </c>
      <c r="K288" s="31" t="s">
        <v>849</v>
      </c>
      <c r="L288" s="31" t="s">
        <v>653</v>
      </c>
      <c r="M288" s="32" t="s">
        <v>654</v>
      </c>
      <c r="N288" s="33" t="s">
        <v>850</v>
      </c>
      <c r="O288" s="34" t="s">
        <v>851</v>
      </c>
    </row>
    <row r="289" ht="54.0" customHeight="1">
      <c r="A289" s="30" t="s">
        <v>1400</v>
      </c>
      <c r="B289" s="31" t="s">
        <v>655</v>
      </c>
      <c r="C289" s="31" t="s">
        <v>16</v>
      </c>
      <c r="D289" s="31" t="s">
        <v>633</v>
      </c>
      <c r="E289" s="31" t="s">
        <v>284</v>
      </c>
      <c r="F289" s="31" t="s">
        <v>656</v>
      </c>
      <c r="G289" s="31" t="s">
        <v>1401</v>
      </c>
      <c r="H289" s="31" t="s">
        <v>60</v>
      </c>
      <c r="I289" s="31" t="s">
        <v>321</v>
      </c>
      <c r="J289" s="31" t="s">
        <v>110</v>
      </c>
      <c r="K289" s="31" t="s">
        <v>849</v>
      </c>
      <c r="L289" s="31" t="s">
        <v>663</v>
      </c>
      <c r="M289" s="32" t="s">
        <v>664</v>
      </c>
      <c r="N289" s="33" t="s">
        <v>850</v>
      </c>
      <c r="O289" s="34" t="s">
        <v>851</v>
      </c>
    </row>
    <row r="290" ht="54.0" customHeight="1">
      <c r="A290" s="30" t="s">
        <v>1402</v>
      </c>
      <c r="B290" s="31" t="s">
        <v>655</v>
      </c>
      <c r="C290" s="31" t="s">
        <v>16</v>
      </c>
      <c r="D290" s="31" t="s">
        <v>633</v>
      </c>
      <c r="E290" s="31" t="s">
        <v>284</v>
      </c>
      <c r="F290" s="31" t="s">
        <v>656</v>
      </c>
      <c r="G290" s="31" t="s">
        <v>1403</v>
      </c>
      <c r="H290" s="31" t="s">
        <v>60</v>
      </c>
      <c r="I290" s="31" t="s">
        <v>321</v>
      </c>
      <c r="J290" s="31" t="s">
        <v>110</v>
      </c>
      <c r="K290" s="31" t="s">
        <v>849</v>
      </c>
      <c r="L290" s="31" t="s">
        <v>663</v>
      </c>
      <c r="M290" s="32" t="s">
        <v>664</v>
      </c>
      <c r="N290" s="33" t="s">
        <v>850</v>
      </c>
      <c r="O290" s="34" t="s">
        <v>851</v>
      </c>
    </row>
    <row r="291" ht="54.0" customHeight="1">
      <c r="A291" s="30" t="s">
        <v>1404</v>
      </c>
      <c r="B291" s="31" t="s">
        <v>655</v>
      </c>
      <c r="C291" s="31" t="s">
        <v>16</v>
      </c>
      <c r="D291" s="31" t="s">
        <v>633</v>
      </c>
      <c r="E291" s="31" t="s">
        <v>284</v>
      </c>
      <c r="F291" s="31" t="s">
        <v>656</v>
      </c>
      <c r="G291" s="31" t="s">
        <v>1405</v>
      </c>
      <c r="H291" s="31" t="s">
        <v>60</v>
      </c>
      <c r="I291" s="31" t="s">
        <v>321</v>
      </c>
      <c r="J291" s="31" t="s">
        <v>110</v>
      </c>
      <c r="K291" s="31" t="s">
        <v>849</v>
      </c>
      <c r="L291" s="31" t="s">
        <v>663</v>
      </c>
      <c r="M291" s="32" t="s">
        <v>664</v>
      </c>
      <c r="N291" s="33" t="s">
        <v>850</v>
      </c>
      <c r="O291" s="34" t="s">
        <v>851</v>
      </c>
    </row>
    <row r="292" ht="54.0" customHeight="1">
      <c r="A292" s="30" t="s">
        <v>1406</v>
      </c>
      <c r="B292" s="31" t="s">
        <v>655</v>
      </c>
      <c r="C292" s="31" t="s">
        <v>16</v>
      </c>
      <c r="D292" s="31" t="s">
        <v>633</v>
      </c>
      <c r="E292" s="31" t="s">
        <v>284</v>
      </c>
      <c r="F292" s="31" t="s">
        <v>656</v>
      </c>
      <c r="G292" s="31" t="s">
        <v>1407</v>
      </c>
      <c r="H292" s="31" t="s">
        <v>60</v>
      </c>
      <c r="I292" s="31" t="s">
        <v>321</v>
      </c>
      <c r="J292" s="31" t="s">
        <v>110</v>
      </c>
      <c r="K292" s="31" t="s">
        <v>849</v>
      </c>
      <c r="L292" s="31" t="s">
        <v>663</v>
      </c>
      <c r="M292" s="32" t="s">
        <v>664</v>
      </c>
      <c r="N292" s="33" t="s">
        <v>850</v>
      </c>
      <c r="O292" s="34" t="s">
        <v>851</v>
      </c>
    </row>
    <row r="293" ht="54.0" customHeight="1">
      <c r="A293" s="30" t="s">
        <v>1408</v>
      </c>
      <c r="B293" s="31" t="s">
        <v>655</v>
      </c>
      <c r="C293" s="31" t="s">
        <v>16</v>
      </c>
      <c r="D293" s="31" t="s">
        <v>633</v>
      </c>
      <c r="E293" s="31" t="s">
        <v>284</v>
      </c>
      <c r="F293" s="31" t="s">
        <v>656</v>
      </c>
      <c r="G293" s="31" t="s">
        <v>1409</v>
      </c>
      <c r="H293" s="31" t="s">
        <v>60</v>
      </c>
      <c r="I293" s="31" t="s">
        <v>321</v>
      </c>
      <c r="J293" s="31" t="s">
        <v>110</v>
      </c>
      <c r="K293" s="31" t="s">
        <v>849</v>
      </c>
      <c r="L293" s="31" t="s">
        <v>663</v>
      </c>
      <c r="M293" s="32" t="s">
        <v>664</v>
      </c>
      <c r="N293" s="33" t="s">
        <v>850</v>
      </c>
      <c r="O293" s="34" t="s">
        <v>851</v>
      </c>
    </row>
    <row r="294" ht="54.0" customHeight="1">
      <c r="A294" s="30" t="s">
        <v>1410</v>
      </c>
      <c r="B294" s="31" t="s">
        <v>665</v>
      </c>
      <c r="C294" s="31" t="s">
        <v>16</v>
      </c>
      <c r="D294" s="31" t="s">
        <v>633</v>
      </c>
      <c r="E294" s="31" t="s">
        <v>172</v>
      </c>
      <c r="F294" s="31" t="s">
        <v>666</v>
      </c>
      <c r="G294" s="31" t="s">
        <v>1411</v>
      </c>
      <c r="H294" s="31" t="s">
        <v>68</v>
      </c>
      <c r="I294" s="31" t="s">
        <v>341</v>
      </c>
      <c r="J294" s="31" t="s">
        <v>110</v>
      </c>
      <c r="K294" s="31" t="s">
        <v>849</v>
      </c>
      <c r="L294" s="31" t="s">
        <v>673</v>
      </c>
      <c r="M294" s="32" t="s">
        <v>674</v>
      </c>
      <c r="N294" s="33" t="s">
        <v>850</v>
      </c>
      <c r="O294" s="34" t="s">
        <v>851</v>
      </c>
    </row>
    <row r="295" ht="54.0" customHeight="1">
      <c r="A295" s="30" t="s">
        <v>1412</v>
      </c>
      <c r="B295" s="31" t="s">
        <v>665</v>
      </c>
      <c r="C295" s="31" t="s">
        <v>16</v>
      </c>
      <c r="D295" s="31" t="s">
        <v>633</v>
      </c>
      <c r="E295" s="31" t="s">
        <v>172</v>
      </c>
      <c r="F295" s="31" t="s">
        <v>666</v>
      </c>
      <c r="G295" s="31" t="s">
        <v>1413</v>
      </c>
      <c r="H295" s="31" t="s">
        <v>68</v>
      </c>
      <c r="I295" s="31" t="s">
        <v>341</v>
      </c>
      <c r="J295" s="31" t="s">
        <v>110</v>
      </c>
      <c r="K295" s="31" t="s">
        <v>849</v>
      </c>
      <c r="L295" s="31" t="s">
        <v>673</v>
      </c>
      <c r="M295" s="32" t="s">
        <v>674</v>
      </c>
      <c r="N295" s="33" t="s">
        <v>850</v>
      </c>
      <c r="O295" s="34" t="s">
        <v>851</v>
      </c>
    </row>
    <row r="296" ht="54.0" customHeight="1">
      <c r="A296" s="30" t="s">
        <v>1414</v>
      </c>
      <c r="B296" s="31" t="s">
        <v>665</v>
      </c>
      <c r="C296" s="31" t="s">
        <v>16</v>
      </c>
      <c r="D296" s="31" t="s">
        <v>633</v>
      </c>
      <c r="E296" s="31" t="s">
        <v>172</v>
      </c>
      <c r="F296" s="31" t="s">
        <v>666</v>
      </c>
      <c r="G296" s="31" t="s">
        <v>1415</v>
      </c>
      <c r="H296" s="31" t="s">
        <v>68</v>
      </c>
      <c r="I296" s="31" t="s">
        <v>341</v>
      </c>
      <c r="J296" s="31" t="s">
        <v>110</v>
      </c>
      <c r="K296" s="31" t="s">
        <v>849</v>
      </c>
      <c r="L296" s="31" t="s">
        <v>673</v>
      </c>
      <c r="M296" s="32" t="s">
        <v>674</v>
      </c>
      <c r="N296" s="33" t="s">
        <v>850</v>
      </c>
      <c r="O296" s="34" t="s">
        <v>851</v>
      </c>
    </row>
    <row r="297" ht="54.0" customHeight="1">
      <c r="A297" s="30" t="s">
        <v>1416</v>
      </c>
      <c r="B297" s="31" t="s">
        <v>665</v>
      </c>
      <c r="C297" s="31" t="s">
        <v>16</v>
      </c>
      <c r="D297" s="31" t="s">
        <v>633</v>
      </c>
      <c r="E297" s="31" t="s">
        <v>172</v>
      </c>
      <c r="F297" s="31" t="s">
        <v>666</v>
      </c>
      <c r="G297" s="31" t="s">
        <v>1417</v>
      </c>
      <c r="H297" s="31" t="s">
        <v>68</v>
      </c>
      <c r="I297" s="31" t="s">
        <v>341</v>
      </c>
      <c r="J297" s="31" t="s">
        <v>110</v>
      </c>
      <c r="K297" s="31" t="s">
        <v>849</v>
      </c>
      <c r="L297" s="31" t="s">
        <v>673</v>
      </c>
      <c r="M297" s="32" t="s">
        <v>674</v>
      </c>
      <c r="N297" s="33" t="s">
        <v>850</v>
      </c>
      <c r="O297" s="34" t="s">
        <v>851</v>
      </c>
    </row>
    <row r="298" ht="54.0" customHeight="1">
      <c r="A298" s="30" t="s">
        <v>1418</v>
      </c>
      <c r="B298" s="31" t="s">
        <v>665</v>
      </c>
      <c r="C298" s="31" t="s">
        <v>16</v>
      </c>
      <c r="D298" s="31" t="s">
        <v>633</v>
      </c>
      <c r="E298" s="31" t="s">
        <v>172</v>
      </c>
      <c r="F298" s="31" t="s">
        <v>666</v>
      </c>
      <c r="G298" s="31" t="s">
        <v>1419</v>
      </c>
      <c r="H298" s="31" t="s">
        <v>68</v>
      </c>
      <c r="I298" s="31" t="s">
        <v>341</v>
      </c>
      <c r="J298" s="31" t="s">
        <v>110</v>
      </c>
      <c r="K298" s="31" t="s">
        <v>849</v>
      </c>
      <c r="L298" s="31" t="s">
        <v>673</v>
      </c>
      <c r="M298" s="32" t="s">
        <v>674</v>
      </c>
      <c r="N298" s="33" t="s">
        <v>850</v>
      </c>
      <c r="O298" s="34" t="s">
        <v>851</v>
      </c>
    </row>
    <row r="299" ht="54.0" customHeight="1">
      <c r="A299" s="30" t="s">
        <v>1420</v>
      </c>
      <c r="B299" s="31" t="s">
        <v>675</v>
      </c>
      <c r="C299" s="31" t="s">
        <v>16</v>
      </c>
      <c r="D299" s="31" t="s">
        <v>633</v>
      </c>
      <c r="E299" s="31" t="s">
        <v>172</v>
      </c>
      <c r="F299" s="31" t="s">
        <v>676</v>
      </c>
      <c r="G299" s="31" t="s">
        <v>1421</v>
      </c>
      <c r="H299" s="31" t="s">
        <v>56</v>
      </c>
      <c r="I299" s="31" t="s">
        <v>264</v>
      </c>
      <c r="J299" s="31" t="s">
        <v>110</v>
      </c>
      <c r="K299" s="31" t="s">
        <v>849</v>
      </c>
      <c r="L299" s="31" t="s">
        <v>683</v>
      </c>
      <c r="M299" s="32" t="s">
        <v>684</v>
      </c>
      <c r="N299" s="33" t="s">
        <v>850</v>
      </c>
      <c r="O299" s="34" t="s">
        <v>851</v>
      </c>
    </row>
    <row r="300" ht="54.0" customHeight="1">
      <c r="A300" s="30" t="s">
        <v>1422</v>
      </c>
      <c r="B300" s="31" t="s">
        <v>675</v>
      </c>
      <c r="C300" s="31" t="s">
        <v>16</v>
      </c>
      <c r="D300" s="31" t="s">
        <v>633</v>
      </c>
      <c r="E300" s="31" t="s">
        <v>172</v>
      </c>
      <c r="F300" s="31" t="s">
        <v>676</v>
      </c>
      <c r="G300" s="31" t="s">
        <v>1423</v>
      </c>
      <c r="H300" s="31" t="s">
        <v>56</v>
      </c>
      <c r="I300" s="31" t="s">
        <v>264</v>
      </c>
      <c r="J300" s="31" t="s">
        <v>110</v>
      </c>
      <c r="K300" s="31" t="s">
        <v>849</v>
      </c>
      <c r="L300" s="31" t="s">
        <v>683</v>
      </c>
      <c r="M300" s="32" t="s">
        <v>684</v>
      </c>
      <c r="N300" s="33" t="s">
        <v>850</v>
      </c>
      <c r="O300" s="34" t="s">
        <v>851</v>
      </c>
    </row>
    <row r="301" ht="54.0" customHeight="1">
      <c r="A301" s="30" t="s">
        <v>1424</v>
      </c>
      <c r="B301" s="31" t="s">
        <v>675</v>
      </c>
      <c r="C301" s="31" t="s">
        <v>16</v>
      </c>
      <c r="D301" s="31" t="s">
        <v>633</v>
      </c>
      <c r="E301" s="31" t="s">
        <v>172</v>
      </c>
      <c r="F301" s="31" t="s">
        <v>676</v>
      </c>
      <c r="G301" s="31" t="s">
        <v>1425</v>
      </c>
      <c r="H301" s="31" t="s">
        <v>56</v>
      </c>
      <c r="I301" s="31" t="s">
        <v>264</v>
      </c>
      <c r="J301" s="31" t="s">
        <v>110</v>
      </c>
      <c r="K301" s="31" t="s">
        <v>849</v>
      </c>
      <c r="L301" s="31" t="s">
        <v>683</v>
      </c>
      <c r="M301" s="32" t="s">
        <v>684</v>
      </c>
      <c r="N301" s="33" t="s">
        <v>850</v>
      </c>
      <c r="O301" s="34" t="s">
        <v>851</v>
      </c>
    </row>
    <row r="302" ht="54.0" customHeight="1">
      <c r="A302" s="30" t="s">
        <v>1426</v>
      </c>
      <c r="B302" s="31" t="s">
        <v>675</v>
      </c>
      <c r="C302" s="31" t="s">
        <v>16</v>
      </c>
      <c r="D302" s="31" t="s">
        <v>633</v>
      </c>
      <c r="E302" s="31" t="s">
        <v>172</v>
      </c>
      <c r="F302" s="31" t="s">
        <v>676</v>
      </c>
      <c r="G302" s="31" t="s">
        <v>1427</v>
      </c>
      <c r="H302" s="31" t="s">
        <v>56</v>
      </c>
      <c r="I302" s="31" t="s">
        <v>264</v>
      </c>
      <c r="J302" s="31" t="s">
        <v>110</v>
      </c>
      <c r="K302" s="31" t="s">
        <v>849</v>
      </c>
      <c r="L302" s="31" t="s">
        <v>683</v>
      </c>
      <c r="M302" s="32" t="s">
        <v>684</v>
      </c>
      <c r="N302" s="33" t="s">
        <v>850</v>
      </c>
      <c r="O302" s="34" t="s">
        <v>851</v>
      </c>
    </row>
    <row r="303" ht="54.0" customHeight="1">
      <c r="A303" s="30" t="s">
        <v>1428</v>
      </c>
      <c r="B303" s="31" t="s">
        <v>675</v>
      </c>
      <c r="C303" s="31" t="s">
        <v>16</v>
      </c>
      <c r="D303" s="31" t="s">
        <v>633</v>
      </c>
      <c r="E303" s="31" t="s">
        <v>172</v>
      </c>
      <c r="F303" s="31" t="s">
        <v>676</v>
      </c>
      <c r="G303" s="31" t="s">
        <v>1429</v>
      </c>
      <c r="H303" s="31" t="s">
        <v>56</v>
      </c>
      <c r="I303" s="31" t="s">
        <v>264</v>
      </c>
      <c r="J303" s="31" t="s">
        <v>110</v>
      </c>
      <c r="K303" s="31" t="s">
        <v>849</v>
      </c>
      <c r="L303" s="31" t="s">
        <v>683</v>
      </c>
      <c r="M303" s="32" t="s">
        <v>684</v>
      </c>
      <c r="N303" s="33" t="s">
        <v>850</v>
      </c>
      <c r="O303" s="34" t="s">
        <v>851</v>
      </c>
    </row>
    <row r="304" ht="54.0" customHeight="1">
      <c r="A304" s="30" t="s">
        <v>1430</v>
      </c>
      <c r="B304" s="31" t="s">
        <v>685</v>
      </c>
      <c r="C304" s="31" t="s">
        <v>16</v>
      </c>
      <c r="D304" s="31" t="s">
        <v>633</v>
      </c>
      <c r="E304" s="31" t="s">
        <v>172</v>
      </c>
      <c r="F304" s="31" t="s">
        <v>686</v>
      </c>
      <c r="G304" s="31" t="s">
        <v>1431</v>
      </c>
      <c r="H304" s="31" t="s">
        <v>60</v>
      </c>
      <c r="I304" s="31" t="s">
        <v>299</v>
      </c>
      <c r="J304" s="31" t="s">
        <v>110</v>
      </c>
      <c r="K304" s="31" t="s">
        <v>849</v>
      </c>
      <c r="L304" s="31" t="s">
        <v>693</v>
      </c>
      <c r="M304" s="32" t="s">
        <v>694</v>
      </c>
      <c r="N304" s="33" t="s">
        <v>850</v>
      </c>
      <c r="O304" s="34" t="s">
        <v>851</v>
      </c>
    </row>
    <row r="305" ht="54.0" customHeight="1">
      <c r="A305" s="30" t="s">
        <v>1432</v>
      </c>
      <c r="B305" s="31" t="s">
        <v>685</v>
      </c>
      <c r="C305" s="31" t="s">
        <v>16</v>
      </c>
      <c r="D305" s="31" t="s">
        <v>633</v>
      </c>
      <c r="E305" s="31" t="s">
        <v>172</v>
      </c>
      <c r="F305" s="31" t="s">
        <v>686</v>
      </c>
      <c r="G305" s="31" t="s">
        <v>1433</v>
      </c>
      <c r="H305" s="31" t="s">
        <v>60</v>
      </c>
      <c r="I305" s="31" t="s">
        <v>299</v>
      </c>
      <c r="J305" s="31" t="s">
        <v>110</v>
      </c>
      <c r="K305" s="31" t="s">
        <v>849</v>
      </c>
      <c r="L305" s="31" t="s">
        <v>693</v>
      </c>
      <c r="M305" s="32" t="s">
        <v>694</v>
      </c>
      <c r="N305" s="33" t="s">
        <v>850</v>
      </c>
      <c r="O305" s="34" t="s">
        <v>851</v>
      </c>
    </row>
    <row r="306" ht="54.0" customHeight="1">
      <c r="A306" s="30" t="s">
        <v>1434</v>
      </c>
      <c r="B306" s="31" t="s">
        <v>685</v>
      </c>
      <c r="C306" s="31" t="s">
        <v>16</v>
      </c>
      <c r="D306" s="31" t="s">
        <v>633</v>
      </c>
      <c r="E306" s="31" t="s">
        <v>172</v>
      </c>
      <c r="F306" s="31" t="s">
        <v>686</v>
      </c>
      <c r="G306" s="31" t="s">
        <v>1435</v>
      </c>
      <c r="H306" s="31" t="s">
        <v>60</v>
      </c>
      <c r="I306" s="31" t="s">
        <v>299</v>
      </c>
      <c r="J306" s="31" t="s">
        <v>110</v>
      </c>
      <c r="K306" s="31" t="s">
        <v>849</v>
      </c>
      <c r="L306" s="31" t="s">
        <v>693</v>
      </c>
      <c r="M306" s="32" t="s">
        <v>694</v>
      </c>
      <c r="N306" s="33" t="s">
        <v>850</v>
      </c>
      <c r="O306" s="34" t="s">
        <v>851</v>
      </c>
    </row>
    <row r="307" ht="54.0" customHeight="1">
      <c r="A307" s="30" t="s">
        <v>1436</v>
      </c>
      <c r="B307" s="31" t="s">
        <v>685</v>
      </c>
      <c r="C307" s="31" t="s">
        <v>16</v>
      </c>
      <c r="D307" s="31" t="s">
        <v>633</v>
      </c>
      <c r="E307" s="31" t="s">
        <v>172</v>
      </c>
      <c r="F307" s="31" t="s">
        <v>686</v>
      </c>
      <c r="G307" s="31" t="s">
        <v>1437</v>
      </c>
      <c r="H307" s="31" t="s">
        <v>60</v>
      </c>
      <c r="I307" s="31" t="s">
        <v>299</v>
      </c>
      <c r="J307" s="31" t="s">
        <v>110</v>
      </c>
      <c r="K307" s="31" t="s">
        <v>849</v>
      </c>
      <c r="L307" s="31" t="s">
        <v>693</v>
      </c>
      <c r="M307" s="32" t="s">
        <v>694</v>
      </c>
      <c r="N307" s="33" t="s">
        <v>850</v>
      </c>
      <c r="O307" s="34" t="s">
        <v>851</v>
      </c>
    </row>
    <row r="308" ht="54.0" customHeight="1">
      <c r="A308" s="30" t="s">
        <v>1438</v>
      </c>
      <c r="B308" s="31" t="s">
        <v>685</v>
      </c>
      <c r="C308" s="31" t="s">
        <v>16</v>
      </c>
      <c r="D308" s="31" t="s">
        <v>633</v>
      </c>
      <c r="E308" s="31" t="s">
        <v>172</v>
      </c>
      <c r="F308" s="31" t="s">
        <v>686</v>
      </c>
      <c r="G308" s="31" t="s">
        <v>1187</v>
      </c>
      <c r="H308" s="31" t="s">
        <v>60</v>
      </c>
      <c r="I308" s="31" t="s">
        <v>299</v>
      </c>
      <c r="J308" s="31" t="s">
        <v>110</v>
      </c>
      <c r="K308" s="31" t="s">
        <v>849</v>
      </c>
      <c r="L308" s="31" t="s">
        <v>693</v>
      </c>
      <c r="M308" s="32" t="s">
        <v>694</v>
      </c>
      <c r="N308" s="33" t="s">
        <v>850</v>
      </c>
      <c r="O308" s="34" t="s">
        <v>851</v>
      </c>
    </row>
    <row r="309" ht="54.0" customHeight="1">
      <c r="A309" s="30" t="s">
        <v>1439</v>
      </c>
      <c r="B309" s="31" t="s">
        <v>685</v>
      </c>
      <c r="C309" s="31" t="s">
        <v>16</v>
      </c>
      <c r="D309" s="31" t="s">
        <v>633</v>
      </c>
      <c r="E309" s="31" t="s">
        <v>172</v>
      </c>
      <c r="F309" s="31" t="s">
        <v>686</v>
      </c>
      <c r="G309" s="31" t="s">
        <v>1191</v>
      </c>
      <c r="H309" s="31" t="s">
        <v>60</v>
      </c>
      <c r="I309" s="31" t="s">
        <v>299</v>
      </c>
      <c r="J309" s="31" t="s">
        <v>110</v>
      </c>
      <c r="K309" s="31" t="s">
        <v>849</v>
      </c>
      <c r="L309" s="31" t="s">
        <v>693</v>
      </c>
      <c r="M309" s="32" t="s">
        <v>694</v>
      </c>
      <c r="N309" s="33" t="s">
        <v>850</v>
      </c>
      <c r="O309" s="34" t="s">
        <v>851</v>
      </c>
    </row>
    <row r="310" ht="54.0" customHeight="1">
      <c r="A310" s="30" t="s">
        <v>1440</v>
      </c>
      <c r="B310" s="31" t="s">
        <v>695</v>
      </c>
      <c r="C310" s="31" t="s">
        <v>16</v>
      </c>
      <c r="D310" s="31" t="s">
        <v>633</v>
      </c>
      <c r="E310" s="31" t="s">
        <v>185</v>
      </c>
      <c r="F310" s="31" t="s">
        <v>696</v>
      </c>
      <c r="G310" s="31" t="s">
        <v>1441</v>
      </c>
      <c r="H310" s="31" t="s">
        <v>68</v>
      </c>
      <c r="I310" s="31" t="s">
        <v>176</v>
      </c>
      <c r="J310" s="31" t="s">
        <v>110</v>
      </c>
      <c r="K310" s="31" t="s">
        <v>849</v>
      </c>
      <c r="L310" s="31" t="s">
        <v>704</v>
      </c>
      <c r="M310" s="32" t="s">
        <v>705</v>
      </c>
      <c r="N310" s="33" t="s">
        <v>850</v>
      </c>
      <c r="O310" s="34" t="s">
        <v>851</v>
      </c>
    </row>
    <row r="311" ht="54.0" customHeight="1">
      <c r="A311" s="30" t="s">
        <v>1442</v>
      </c>
      <c r="B311" s="31" t="s">
        <v>695</v>
      </c>
      <c r="C311" s="31" t="s">
        <v>16</v>
      </c>
      <c r="D311" s="31" t="s">
        <v>633</v>
      </c>
      <c r="E311" s="31" t="s">
        <v>185</v>
      </c>
      <c r="F311" s="31" t="s">
        <v>696</v>
      </c>
      <c r="G311" s="31" t="s">
        <v>1443</v>
      </c>
      <c r="H311" s="31" t="s">
        <v>68</v>
      </c>
      <c r="I311" s="31" t="s">
        <v>176</v>
      </c>
      <c r="J311" s="31" t="s">
        <v>110</v>
      </c>
      <c r="K311" s="31" t="s">
        <v>849</v>
      </c>
      <c r="L311" s="31" t="s">
        <v>704</v>
      </c>
      <c r="M311" s="32" t="s">
        <v>705</v>
      </c>
      <c r="N311" s="33" t="s">
        <v>850</v>
      </c>
      <c r="O311" s="34" t="s">
        <v>851</v>
      </c>
    </row>
    <row r="312" ht="54.0" customHeight="1">
      <c r="A312" s="30" t="s">
        <v>1444</v>
      </c>
      <c r="B312" s="31" t="s">
        <v>695</v>
      </c>
      <c r="C312" s="31" t="s">
        <v>16</v>
      </c>
      <c r="D312" s="31" t="s">
        <v>633</v>
      </c>
      <c r="E312" s="31" t="s">
        <v>185</v>
      </c>
      <c r="F312" s="31" t="s">
        <v>696</v>
      </c>
      <c r="G312" s="31" t="s">
        <v>1445</v>
      </c>
      <c r="H312" s="31" t="s">
        <v>68</v>
      </c>
      <c r="I312" s="31" t="s">
        <v>176</v>
      </c>
      <c r="J312" s="31" t="s">
        <v>110</v>
      </c>
      <c r="K312" s="31" t="s">
        <v>849</v>
      </c>
      <c r="L312" s="31" t="s">
        <v>704</v>
      </c>
      <c r="M312" s="32" t="s">
        <v>705</v>
      </c>
      <c r="N312" s="33" t="s">
        <v>850</v>
      </c>
      <c r="O312" s="34" t="s">
        <v>851</v>
      </c>
    </row>
    <row r="313" ht="54.0" customHeight="1">
      <c r="A313" s="30" t="s">
        <v>1446</v>
      </c>
      <c r="B313" s="31" t="s">
        <v>695</v>
      </c>
      <c r="C313" s="31" t="s">
        <v>16</v>
      </c>
      <c r="D313" s="31" t="s">
        <v>633</v>
      </c>
      <c r="E313" s="31" t="s">
        <v>185</v>
      </c>
      <c r="F313" s="31" t="s">
        <v>696</v>
      </c>
      <c r="G313" s="31" t="s">
        <v>1125</v>
      </c>
      <c r="H313" s="31" t="s">
        <v>68</v>
      </c>
      <c r="I313" s="31" t="s">
        <v>176</v>
      </c>
      <c r="J313" s="31" t="s">
        <v>110</v>
      </c>
      <c r="K313" s="31" t="s">
        <v>849</v>
      </c>
      <c r="L313" s="31" t="s">
        <v>704</v>
      </c>
      <c r="M313" s="32" t="s">
        <v>705</v>
      </c>
      <c r="N313" s="33" t="s">
        <v>850</v>
      </c>
      <c r="O313" s="34" t="s">
        <v>851</v>
      </c>
    </row>
    <row r="314" ht="54.0" customHeight="1">
      <c r="A314" s="30" t="s">
        <v>1447</v>
      </c>
      <c r="B314" s="31" t="s">
        <v>695</v>
      </c>
      <c r="C314" s="31" t="s">
        <v>16</v>
      </c>
      <c r="D314" s="31" t="s">
        <v>633</v>
      </c>
      <c r="E314" s="31" t="s">
        <v>185</v>
      </c>
      <c r="F314" s="31" t="s">
        <v>696</v>
      </c>
      <c r="G314" s="31" t="s">
        <v>1448</v>
      </c>
      <c r="H314" s="31" t="s">
        <v>68</v>
      </c>
      <c r="I314" s="31" t="s">
        <v>176</v>
      </c>
      <c r="J314" s="31" t="s">
        <v>110</v>
      </c>
      <c r="K314" s="31" t="s">
        <v>849</v>
      </c>
      <c r="L314" s="31" t="s">
        <v>704</v>
      </c>
      <c r="M314" s="32" t="s">
        <v>705</v>
      </c>
      <c r="N314" s="33" t="s">
        <v>850</v>
      </c>
      <c r="O314" s="34" t="s">
        <v>851</v>
      </c>
    </row>
    <row r="315" ht="54.0" customHeight="1">
      <c r="A315" s="30" t="s">
        <v>1449</v>
      </c>
      <c r="B315" s="31" t="s">
        <v>706</v>
      </c>
      <c r="C315" s="31" t="s">
        <v>16</v>
      </c>
      <c r="D315" s="31" t="s">
        <v>633</v>
      </c>
      <c r="E315" s="31" t="s">
        <v>185</v>
      </c>
      <c r="F315" s="31" t="s">
        <v>707</v>
      </c>
      <c r="G315" s="31" t="s">
        <v>1450</v>
      </c>
      <c r="H315" s="31" t="s">
        <v>68</v>
      </c>
      <c r="I315" s="31" t="s">
        <v>254</v>
      </c>
      <c r="J315" s="31" t="s">
        <v>110</v>
      </c>
      <c r="K315" s="31" t="s">
        <v>849</v>
      </c>
      <c r="L315" s="31" t="s">
        <v>714</v>
      </c>
      <c r="M315" s="32" t="s">
        <v>715</v>
      </c>
      <c r="N315" s="33" t="s">
        <v>850</v>
      </c>
      <c r="O315" s="34" t="s">
        <v>851</v>
      </c>
    </row>
    <row r="316" ht="54.0" customHeight="1">
      <c r="A316" s="30" t="s">
        <v>1451</v>
      </c>
      <c r="B316" s="31" t="s">
        <v>706</v>
      </c>
      <c r="C316" s="31" t="s">
        <v>16</v>
      </c>
      <c r="D316" s="31" t="s">
        <v>633</v>
      </c>
      <c r="E316" s="31" t="s">
        <v>185</v>
      </c>
      <c r="F316" s="31" t="s">
        <v>707</v>
      </c>
      <c r="G316" s="31" t="s">
        <v>1452</v>
      </c>
      <c r="H316" s="31" t="s">
        <v>68</v>
      </c>
      <c r="I316" s="31" t="s">
        <v>254</v>
      </c>
      <c r="J316" s="31" t="s">
        <v>110</v>
      </c>
      <c r="K316" s="31" t="s">
        <v>849</v>
      </c>
      <c r="L316" s="31" t="s">
        <v>714</v>
      </c>
      <c r="M316" s="32" t="s">
        <v>715</v>
      </c>
      <c r="N316" s="33" t="s">
        <v>850</v>
      </c>
      <c r="O316" s="34" t="s">
        <v>851</v>
      </c>
    </row>
    <row r="317" ht="54.0" customHeight="1">
      <c r="A317" s="30" t="s">
        <v>1453</v>
      </c>
      <c r="B317" s="31" t="s">
        <v>706</v>
      </c>
      <c r="C317" s="31" t="s">
        <v>16</v>
      </c>
      <c r="D317" s="31" t="s">
        <v>633</v>
      </c>
      <c r="E317" s="31" t="s">
        <v>185</v>
      </c>
      <c r="F317" s="31" t="s">
        <v>707</v>
      </c>
      <c r="G317" s="31" t="s">
        <v>1454</v>
      </c>
      <c r="H317" s="31" t="s">
        <v>68</v>
      </c>
      <c r="I317" s="31" t="s">
        <v>254</v>
      </c>
      <c r="J317" s="31" t="s">
        <v>110</v>
      </c>
      <c r="K317" s="31" t="s">
        <v>849</v>
      </c>
      <c r="L317" s="31" t="s">
        <v>714</v>
      </c>
      <c r="M317" s="32" t="s">
        <v>715</v>
      </c>
      <c r="N317" s="33" t="s">
        <v>850</v>
      </c>
      <c r="O317" s="34" t="s">
        <v>851</v>
      </c>
    </row>
    <row r="318" ht="54.0" customHeight="1">
      <c r="A318" s="30" t="s">
        <v>1455</v>
      </c>
      <c r="B318" s="31" t="s">
        <v>706</v>
      </c>
      <c r="C318" s="31" t="s">
        <v>16</v>
      </c>
      <c r="D318" s="31" t="s">
        <v>633</v>
      </c>
      <c r="E318" s="31" t="s">
        <v>185</v>
      </c>
      <c r="F318" s="31" t="s">
        <v>707</v>
      </c>
      <c r="G318" s="31" t="s">
        <v>1456</v>
      </c>
      <c r="H318" s="31" t="s">
        <v>68</v>
      </c>
      <c r="I318" s="31" t="s">
        <v>254</v>
      </c>
      <c r="J318" s="31" t="s">
        <v>110</v>
      </c>
      <c r="K318" s="31" t="s">
        <v>849</v>
      </c>
      <c r="L318" s="31" t="s">
        <v>714</v>
      </c>
      <c r="M318" s="32" t="s">
        <v>715</v>
      </c>
      <c r="N318" s="33" t="s">
        <v>850</v>
      </c>
      <c r="O318" s="34" t="s">
        <v>851</v>
      </c>
    </row>
    <row r="319" ht="54.0" customHeight="1">
      <c r="A319" s="30" t="s">
        <v>1457</v>
      </c>
      <c r="B319" s="31" t="s">
        <v>706</v>
      </c>
      <c r="C319" s="31" t="s">
        <v>16</v>
      </c>
      <c r="D319" s="31" t="s">
        <v>633</v>
      </c>
      <c r="E319" s="31" t="s">
        <v>185</v>
      </c>
      <c r="F319" s="31" t="s">
        <v>707</v>
      </c>
      <c r="G319" s="31" t="s">
        <v>1458</v>
      </c>
      <c r="H319" s="31" t="s">
        <v>68</v>
      </c>
      <c r="I319" s="31" t="s">
        <v>254</v>
      </c>
      <c r="J319" s="31" t="s">
        <v>110</v>
      </c>
      <c r="K319" s="31" t="s">
        <v>849</v>
      </c>
      <c r="L319" s="31" t="s">
        <v>714</v>
      </c>
      <c r="M319" s="32" t="s">
        <v>715</v>
      </c>
      <c r="N319" s="33" t="s">
        <v>850</v>
      </c>
      <c r="O319" s="34" t="s">
        <v>851</v>
      </c>
    </row>
    <row r="320" ht="54.0" customHeight="1">
      <c r="A320" s="30" t="s">
        <v>1459</v>
      </c>
      <c r="B320" s="31" t="s">
        <v>706</v>
      </c>
      <c r="C320" s="31" t="s">
        <v>16</v>
      </c>
      <c r="D320" s="31" t="s">
        <v>633</v>
      </c>
      <c r="E320" s="31" t="s">
        <v>185</v>
      </c>
      <c r="F320" s="31" t="s">
        <v>707</v>
      </c>
      <c r="G320" s="31" t="s">
        <v>1460</v>
      </c>
      <c r="H320" s="31" t="s">
        <v>68</v>
      </c>
      <c r="I320" s="31" t="s">
        <v>254</v>
      </c>
      <c r="J320" s="31" t="s">
        <v>110</v>
      </c>
      <c r="K320" s="31" t="s">
        <v>849</v>
      </c>
      <c r="L320" s="31" t="s">
        <v>714</v>
      </c>
      <c r="M320" s="32" t="s">
        <v>715</v>
      </c>
      <c r="N320" s="33" t="s">
        <v>850</v>
      </c>
      <c r="O320" s="34" t="s">
        <v>851</v>
      </c>
    </row>
    <row r="321" ht="54.0" customHeight="1">
      <c r="A321" s="30" t="s">
        <v>1461</v>
      </c>
      <c r="B321" s="31" t="s">
        <v>716</v>
      </c>
      <c r="C321" s="31" t="s">
        <v>16</v>
      </c>
      <c r="D321" s="31" t="s">
        <v>633</v>
      </c>
      <c r="E321" s="31" t="s">
        <v>620</v>
      </c>
      <c r="F321" s="31" t="s">
        <v>717</v>
      </c>
      <c r="G321" s="31" t="s">
        <v>1462</v>
      </c>
      <c r="H321" s="31" t="s">
        <v>68</v>
      </c>
      <c r="I321" s="31" t="s">
        <v>531</v>
      </c>
      <c r="J321" s="31" t="s">
        <v>110</v>
      </c>
      <c r="K321" s="31" t="s">
        <v>849</v>
      </c>
      <c r="L321" s="31" t="s">
        <v>725</v>
      </c>
      <c r="M321" s="32" t="s">
        <v>726</v>
      </c>
      <c r="N321" s="33" t="s">
        <v>850</v>
      </c>
      <c r="O321" s="34" t="s">
        <v>851</v>
      </c>
    </row>
    <row r="322" ht="54.0" customHeight="1">
      <c r="A322" s="30" t="s">
        <v>1463</v>
      </c>
      <c r="B322" s="31" t="s">
        <v>716</v>
      </c>
      <c r="C322" s="31" t="s">
        <v>16</v>
      </c>
      <c r="D322" s="31" t="s">
        <v>633</v>
      </c>
      <c r="E322" s="31" t="s">
        <v>620</v>
      </c>
      <c r="F322" s="31" t="s">
        <v>717</v>
      </c>
      <c r="G322" s="31" t="s">
        <v>1464</v>
      </c>
      <c r="H322" s="31" t="s">
        <v>68</v>
      </c>
      <c r="I322" s="31" t="s">
        <v>531</v>
      </c>
      <c r="J322" s="31" t="s">
        <v>110</v>
      </c>
      <c r="K322" s="31" t="s">
        <v>849</v>
      </c>
      <c r="L322" s="31" t="s">
        <v>725</v>
      </c>
      <c r="M322" s="32" t="s">
        <v>726</v>
      </c>
      <c r="N322" s="33" t="s">
        <v>850</v>
      </c>
      <c r="O322" s="34" t="s">
        <v>851</v>
      </c>
    </row>
    <row r="323" ht="54.0" customHeight="1">
      <c r="A323" s="30" t="s">
        <v>1465</v>
      </c>
      <c r="B323" s="31" t="s">
        <v>716</v>
      </c>
      <c r="C323" s="31" t="s">
        <v>16</v>
      </c>
      <c r="D323" s="31" t="s">
        <v>633</v>
      </c>
      <c r="E323" s="31" t="s">
        <v>620</v>
      </c>
      <c r="F323" s="31" t="s">
        <v>717</v>
      </c>
      <c r="G323" s="31" t="s">
        <v>1466</v>
      </c>
      <c r="H323" s="31" t="s">
        <v>68</v>
      </c>
      <c r="I323" s="31" t="s">
        <v>531</v>
      </c>
      <c r="J323" s="31" t="s">
        <v>110</v>
      </c>
      <c r="K323" s="31" t="s">
        <v>849</v>
      </c>
      <c r="L323" s="31" t="s">
        <v>725</v>
      </c>
      <c r="M323" s="32" t="s">
        <v>726</v>
      </c>
      <c r="N323" s="33" t="s">
        <v>850</v>
      </c>
      <c r="O323" s="34" t="s">
        <v>851</v>
      </c>
    </row>
    <row r="324" ht="54.0" customHeight="1">
      <c r="A324" s="30" t="s">
        <v>1467</v>
      </c>
      <c r="B324" s="31" t="s">
        <v>716</v>
      </c>
      <c r="C324" s="31" t="s">
        <v>16</v>
      </c>
      <c r="D324" s="31" t="s">
        <v>633</v>
      </c>
      <c r="E324" s="31" t="s">
        <v>620</v>
      </c>
      <c r="F324" s="31" t="s">
        <v>717</v>
      </c>
      <c r="G324" s="31" t="s">
        <v>1468</v>
      </c>
      <c r="H324" s="31" t="s">
        <v>68</v>
      </c>
      <c r="I324" s="31" t="s">
        <v>531</v>
      </c>
      <c r="J324" s="31" t="s">
        <v>110</v>
      </c>
      <c r="K324" s="31" t="s">
        <v>849</v>
      </c>
      <c r="L324" s="31" t="s">
        <v>725</v>
      </c>
      <c r="M324" s="32" t="s">
        <v>726</v>
      </c>
      <c r="N324" s="33" t="s">
        <v>850</v>
      </c>
      <c r="O324" s="34" t="s">
        <v>851</v>
      </c>
    </row>
    <row r="325" ht="54.0" customHeight="1">
      <c r="A325" s="30" t="s">
        <v>1469</v>
      </c>
      <c r="B325" s="31" t="s">
        <v>716</v>
      </c>
      <c r="C325" s="31" t="s">
        <v>16</v>
      </c>
      <c r="D325" s="31" t="s">
        <v>633</v>
      </c>
      <c r="E325" s="31" t="s">
        <v>620</v>
      </c>
      <c r="F325" s="31" t="s">
        <v>717</v>
      </c>
      <c r="G325" s="31" t="s">
        <v>1470</v>
      </c>
      <c r="H325" s="31" t="s">
        <v>68</v>
      </c>
      <c r="I325" s="31" t="s">
        <v>531</v>
      </c>
      <c r="J325" s="31" t="s">
        <v>110</v>
      </c>
      <c r="K325" s="31" t="s">
        <v>849</v>
      </c>
      <c r="L325" s="31" t="s">
        <v>725</v>
      </c>
      <c r="M325" s="32" t="s">
        <v>726</v>
      </c>
      <c r="N325" s="33" t="s">
        <v>850</v>
      </c>
      <c r="O325" s="34" t="s">
        <v>851</v>
      </c>
    </row>
    <row r="326" ht="54.0" customHeight="1">
      <c r="A326" s="30" t="s">
        <v>1471</v>
      </c>
      <c r="B326" s="31" t="s">
        <v>716</v>
      </c>
      <c r="C326" s="31" t="s">
        <v>16</v>
      </c>
      <c r="D326" s="31" t="s">
        <v>633</v>
      </c>
      <c r="E326" s="31" t="s">
        <v>620</v>
      </c>
      <c r="F326" s="31" t="s">
        <v>717</v>
      </c>
      <c r="G326" s="31" t="s">
        <v>1472</v>
      </c>
      <c r="H326" s="31" t="s">
        <v>68</v>
      </c>
      <c r="I326" s="31" t="s">
        <v>531</v>
      </c>
      <c r="J326" s="31" t="s">
        <v>110</v>
      </c>
      <c r="K326" s="31" t="s">
        <v>849</v>
      </c>
      <c r="L326" s="31" t="s">
        <v>725</v>
      </c>
      <c r="M326" s="32" t="s">
        <v>726</v>
      </c>
      <c r="N326" s="33" t="s">
        <v>850</v>
      </c>
      <c r="O326" s="34" t="s">
        <v>851</v>
      </c>
    </row>
    <row r="327" ht="54.0" customHeight="1">
      <c r="A327" s="30" t="s">
        <v>1473</v>
      </c>
      <c r="B327" s="31" t="s">
        <v>716</v>
      </c>
      <c r="C327" s="31" t="s">
        <v>16</v>
      </c>
      <c r="D327" s="31" t="s">
        <v>633</v>
      </c>
      <c r="E327" s="31" t="s">
        <v>620</v>
      </c>
      <c r="F327" s="31" t="s">
        <v>717</v>
      </c>
      <c r="G327" s="31" t="s">
        <v>1474</v>
      </c>
      <c r="H327" s="31" t="s">
        <v>68</v>
      </c>
      <c r="I327" s="31" t="s">
        <v>531</v>
      </c>
      <c r="J327" s="31" t="s">
        <v>110</v>
      </c>
      <c r="K327" s="31" t="s">
        <v>849</v>
      </c>
      <c r="L327" s="31" t="s">
        <v>725</v>
      </c>
      <c r="M327" s="32" t="s">
        <v>726</v>
      </c>
      <c r="N327" s="33" t="s">
        <v>850</v>
      </c>
      <c r="O327" s="34" t="s">
        <v>851</v>
      </c>
    </row>
    <row r="328" ht="54.0" customHeight="1">
      <c r="A328" s="30" t="s">
        <v>1475</v>
      </c>
      <c r="B328" s="31" t="s">
        <v>727</v>
      </c>
      <c r="C328" s="31" t="s">
        <v>16</v>
      </c>
      <c r="D328" s="31" t="s">
        <v>633</v>
      </c>
      <c r="E328" s="31" t="s">
        <v>728</v>
      </c>
      <c r="F328" s="31" t="s">
        <v>729</v>
      </c>
      <c r="G328" s="31" t="s">
        <v>1476</v>
      </c>
      <c r="H328" s="31" t="s">
        <v>64</v>
      </c>
      <c r="I328" s="31" t="s">
        <v>123</v>
      </c>
      <c r="J328" s="31" t="s">
        <v>110</v>
      </c>
      <c r="K328" s="31" t="s">
        <v>849</v>
      </c>
      <c r="L328" s="31" t="s">
        <v>737</v>
      </c>
      <c r="M328" s="32" t="s">
        <v>738</v>
      </c>
      <c r="N328" s="33" t="s">
        <v>850</v>
      </c>
      <c r="O328" s="34" t="s">
        <v>851</v>
      </c>
    </row>
    <row r="329" ht="54.0" customHeight="1">
      <c r="A329" s="30" t="s">
        <v>1477</v>
      </c>
      <c r="B329" s="31" t="s">
        <v>727</v>
      </c>
      <c r="C329" s="31" t="s">
        <v>16</v>
      </c>
      <c r="D329" s="31" t="s">
        <v>633</v>
      </c>
      <c r="E329" s="31" t="s">
        <v>728</v>
      </c>
      <c r="F329" s="31" t="s">
        <v>729</v>
      </c>
      <c r="G329" s="31" t="s">
        <v>1478</v>
      </c>
      <c r="H329" s="31" t="s">
        <v>64</v>
      </c>
      <c r="I329" s="31" t="s">
        <v>123</v>
      </c>
      <c r="J329" s="31" t="s">
        <v>110</v>
      </c>
      <c r="K329" s="31" t="s">
        <v>849</v>
      </c>
      <c r="L329" s="31" t="s">
        <v>737</v>
      </c>
      <c r="M329" s="32" t="s">
        <v>738</v>
      </c>
      <c r="N329" s="33" t="s">
        <v>850</v>
      </c>
      <c r="O329" s="34" t="s">
        <v>851</v>
      </c>
    </row>
    <row r="330" ht="54.0" customHeight="1">
      <c r="A330" s="30" t="s">
        <v>1479</v>
      </c>
      <c r="B330" s="31" t="s">
        <v>727</v>
      </c>
      <c r="C330" s="31" t="s">
        <v>16</v>
      </c>
      <c r="D330" s="31" t="s">
        <v>633</v>
      </c>
      <c r="E330" s="31" t="s">
        <v>728</v>
      </c>
      <c r="F330" s="31" t="s">
        <v>729</v>
      </c>
      <c r="G330" s="31" t="s">
        <v>1480</v>
      </c>
      <c r="H330" s="31" t="s">
        <v>64</v>
      </c>
      <c r="I330" s="31" t="s">
        <v>123</v>
      </c>
      <c r="J330" s="31" t="s">
        <v>110</v>
      </c>
      <c r="K330" s="31" t="s">
        <v>849</v>
      </c>
      <c r="L330" s="31" t="s">
        <v>737</v>
      </c>
      <c r="M330" s="32" t="s">
        <v>738</v>
      </c>
      <c r="N330" s="33" t="s">
        <v>850</v>
      </c>
      <c r="O330" s="34" t="s">
        <v>851</v>
      </c>
    </row>
    <row r="331" ht="54.0" customHeight="1">
      <c r="A331" s="30" t="s">
        <v>1481</v>
      </c>
      <c r="B331" s="31" t="s">
        <v>727</v>
      </c>
      <c r="C331" s="31" t="s">
        <v>16</v>
      </c>
      <c r="D331" s="31" t="s">
        <v>633</v>
      </c>
      <c r="E331" s="31" t="s">
        <v>728</v>
      </c>
      <c r="F331" s="31" t="s">
        <v>729</v>
      </c>
      <c r="G331" s="31" t="s">
        <v>1482</v>
      </c>
      <c r="H331" s="31" t="s">
        <v>64</v>
      </c>
      <c r="I331" s="31" t="s">
        <v>123</v>
      </c>
      <c r="J331" s="31" t="s">
        <v>110</v>
      </c>
      <c r="K331" s="31" t="s">
        <v>849</v>
      </c>
      <c r="L331" s="31" t="s">
        <v>737</v>
      </c>
      <c r="M331" s="32" t="s">
        <v>738</v>
      </c>
      <c r="N331" s="33" t="s">
        <v>850</v>
      </c>
      <c r="O331" s="34" t="s">
        <v>851</v>
      </c>
    </row>
    <row r="332" ht="54.0" customHeight="1">
      <c r="A332" s="30" t="s">
        <v>1483</v>
      </c>
      <c r="B332" s="31" t="s">
        <v>727</v>
      </c>
      <c r="C332" s="31" t="s">
        <v>16</v>
      </c>
      <c r="D332" s="31" t="s">
        <v>633</v>
      </c>
      <c r="E332" s="31" t="s">
        <v>728</v>
      </c>
      <c r="F332" s="31" t="s">
        <v>729</v>
      </c>
      <c r="G332" s="31" t="s">
        <v>1484</v>
      </c>
      <c r="H332" s="31" t="s">
        <v>64</v>
      </c>
      <c r="I332" s="31" t="s">
        <v>123</v>
      </c>
      <c r="J332" s="31" t="s">
        <v>110</v>
      </c>
      <c r="K332" s="31" t="s">
        <v>849</v>
      </c>
      <c r="L332" s="31" t="s">
        <v>737</v>
      </c>
      <c r="M332" s="32" t="s">
        <v>738</v>
      </c>
      <c r="N332" s="33" t="s">
        <v>850</v>
      </c>
      <c r="O332" s="34" t="s">
        <v>851</v>
      </c>
    </row>
    <row r="333" ht="54.0" customHeight="1">
      <c r="A333" s="30" t="s">
        <v>1485</v>
      </c>
      <c r="B333" s="31" t="s">
        <v>727</v>
      </c>
      <c r="C333" s="31" t="s">
        <v>16</v>
      </c>
      <c r="D333" s="31" t="s">
        <v>633</v>
      </c>
      <c r="E333" s="31" t="s">
        <v>728</v>
      </c>
      <c r="F333" s="31" t="s">
        <v>729</v>
      </c>
      <c r="G333" s="31" t="s">
        <v>1486</v>
      </c>
      <c r="H333" s="31" t="s">
        <v>64</v>
      </c>
      <c r="I333" s="31" t="s">
        <v>123</v>
      </c>
      <c r="J333" s="31" t="s">
        <v>110</v>
      </c>
      <c r="K333" s="31" t="s">
        <v>849</v>
      </c>
      <c r="L333" s="31" t="s">
        <v>737</v>
      </c>
      <c r="M333" s="32" t="s">
        <v>738</v>
      </c>
      <c r="N333" s="33" t="s">
        <v>850</v>
      </c>
      <c r="O333" s="34" t="s">
        <v>851</v>
      </c>
    </row>
    <row r="334" ht="54.0" customHeight="1">
      <c r="A334" s="30" t="s">
        <v>1487</v>
      </c>
      <c r="B334" s="31" t="s">
        <v>727</v>
      </c>
      <c r="C334" s="31" t="s">
        <v>16</v>
      </c>
      <c r="D334" s="31" t="s">
        <v>633</v>
      </c>
      <c r="E334" s="31" t="s">
        <v>728</v>
      </c>
      <c r="F334" s="31" t="s">
        <v>729</v>
      </c>
      <c r="G334" s="31" t="s">
        <v>1488</v>
      </c>
      <c r="H334" s="31" t="s">
        <v>64</v>
      </c>
      <c r="I334" s="31" t="s">
        <v>123</v>
      </c>
      <c r="J334" s="31" t="s">
        <v>110</v>
      </c>
      <c r="K334" s="31" t="s">
        <v>849</v>
      </c>
      <c r="L334" s="31" t="s">
        <v>737</v>
      </c>
      <c r="M334" s="32" t="s">
        <v>738</v>
      </c>
      <c r="N334" s="33" t="s">
        <v>850</v>
      </c>
      <c r="O334" s="34" t="s">
        <v>851</v>
      </c>
    </row>
    <row r="335" ht="54.0" customHeight="1">
      <c r="A335" s="30" t="s">
        <v>1489</v>
      </c>
      <c r="B335" s="31" t="s">
        <v>739</v>
      </c>
      <c r="C335" s="31" t="s">
        <v>10</v>
      </c>
      <c r="D335" s="31" t="s">
        <v>740</v>
      </c>
      <c r="E335" s="31" t="s">
        <v>119</v>
      </c>
      <c r="F335" s="31" t="s">
        <v>741</v>
      </c>
      <c r="G335" s="31" t="s">
        <v>1490</v>
      </c>
      <c r="H335" s="31" t="s">
        <v>68</v>
      </c>
      <c r="I335" s="31" t="s">
        <v>531</v>
      </c>
      <c r="J335" s="31" t="s">
        <v>110</v>
      </c>
      <c r="K335" s="31" t="s">
        <v>849</v>
      </c>
      <c r="L335" s="31" t="s">
        <v>749</v>
      </c>
      <c r="M335" s="32" t="s">
        <v>750</v>
      </c>
      <c r="N335" s="33" t="s">
        <v>850</v>
      </c>
      <c r="O335" s="34" t="s">
        <v>851</v>
      </c>
    </row>
    <row r="336" ht="54.0" customHeight="1">
      <c r="A336" s="30" t="s">
        <v>1491</v>
      </c>
      <c r="B336" s="31" t="s">
        <v>739</v>
      </c>
      <c r="C336" s="31" t="s">
        <v>10</v>
      </c>
      <c r="D336" s="31" t="s">
        <v>740</v>
      </c>
      <c r="E336" s="31" t="s">
        <v>119</v>
      </c>
      <c r="F336" s="31" t="s">
        <v>741</v>
      </c>
      <c r="G336" s="31" t="s">
        <v>1492</v>
      </c>
      <c r="H336" s="31" t="s">
        <v>68</v>
      </c>
      <c r="I336" s="31" t="s">
        <v>531</v>
      </c>
      <c r="J336" s="31" t="s">
        <v>110</v>
      </c>
      <c r="K336" s="31" t="s">
        <v>849</v>
      </c>
      <c r="L336" s="31" t="s">
        <v>749</v>
      </c>
      <c r="M336" s="32" t="s">
        <v>750</v>
      </c>
      <c r="N336" s="33" t="s">
        <v>850</v>
      </c>
      <c r="O336" s="34" t="s">
        <v>851</v>
      </c>
    </row>
    <row r="337" ht="54.0" customHeight="1">
      <c r="A337" s="30" t="s">
        <v>1493</v>
      </c>
      <c r="B337" s="31" t="s">
        <v>739</v>
      </c>
      <c r="C337" s="31" t="s">
        <v>10</v>
      </c>
      <c r="D337" s="31" t="s">
        <v>740</v>
      </c>
      <c r="E337" s="31" t="s">
        <v>119</v>
      </c>
      <c r="F337" s="31" t="s">
        <v>741</v>
      </c>
      <c r="G337" s="31" t="s">
        <v>1494</v>
      </c>
      <c r="H337" s="31" t="s">
        <v>68</v>
      </c>
      <c r="I337" s="31" t="s">
        <v>531</v>
      </c>
      <c r="J337" s="31" t="s">
        <v>110</v>
      </c>
      <c r="K337" s="31" t="s">
        <v>849</v>
      </c>
      <c r="L337" s="31" t="s">
        <v>749</v>
      </c>
      <c r="M337" s="32" t="s">
        <v>750</v>
      </c>
      <c r="N337" s="33" t="s">
        <v>850</v>
      </c>
      <c r="O337" s="34" t="s">
        <v>851</v>
      </c>
    </row>
    <row r="338" ht="54.0" customHeight="1">
      <c r="A338" s="30" t="s">
        <v>1495</v>
      </c>
      <c r="B338" s="31" t="s">
        <v>739</v>
      </c>
      <c r="C338" s="31" t="s">
        <v>10</v>
      </c>
      <c r="D338" s="31" t="s">
        <v>740</v>
      </c>
      <c r="E338" s="31" t="s">
        <v>119</v>
      </c>
      <c r="F338" s="31" t="s">
        <v>741</v>
      </c>
      <c r="G338" s="31" t="s">
        <v>867</v>
      </c>
      <c r="H338" s="31" t="s">
        <v>68</v>
      </c>
      <c r="I338" s="31" t="s">
        <v>531</v>
      </c>
      <c r="J338" s="31" t="s">
        <v>110</v>
      </c>
      <c r="K338" s="31" t="s">
        <v>849</v>
      </c>
      <c r="L338" s="31" t="s">
        <v>749</v>
      </c>
      <c r="M338" s="32" t="s">
        <v>750</v>
      </c>
      <c r="N338" s="33" t="s">
        <v>850</v>
      </c>
      <c r="O338" s="34" t="s">
        <v>851</v>
      </c>
    </row>
    <row r="339" ht="54.0" customHeight="1">
      <c r="A339" s="30" t="s">
        <v>1496</v>
      </c>
      <c r="B339" s="31" t="s">
        <v>739</v>
      </c>
      <c r="C339" s="31" t="s">
        <v>10</v>
      </c>
      <c r="D339" s="31" t="s">
        <v>740</v>
      </c>
      <c r="E339" s="31" t="s">
        <v>119</v>
      </c>
      <c r="F339" s="31" t="s">
        <v>741</v>
      </c>
      <c r="G339" s="31" t="s">
        <v>1497</v>
      </c>
      <c r="H339" s="31" t="s">
        <v>68</v>
      </c>
      <c r="I339" s="31" t="s">
        <v>531</v>
      </c>
      <c r="J339" s="31" t="s">
        <v>110</v>
      </c>
      <c r="K339" s="31" t="s">
        <v>849</v>
      </c>
      <c r="L339" s="31" t="s">
        <v>749</v>
      </c>
      <c r="M339" s="32" t="s">
        <v>750</v>
      </c>
      <c r="N339" s="33" t="s">
        <v>850</v>
      </c>
      <c r="O339" s="34" t="s">
        <v>851</v>
      </c>
    </row>
    <row r="340" ht="54.0" customHeight="1">
      <c r="A340" s="30" t="s">
        <v>1498</v>
      </c>
      <c r="B340" s="31" t="s">
        <v>739</v>
      </c>
      <c r="C340" s="31" t="s">
        <v>10</v>
      </c>
      <c r="D340" s="31" t="s">
        <v>740</v>
      </c>
      <c r="E340" s="31" t="s">
        <v>119</v>
      </c>
      <c r="F340" s="31" t="s">
        <v>741</v>
      </c>
      <c r="G340" s="31" t="s">
        <v>1499</v>
      </c>
      <c r="H340" s="31" t="s">
        <v>68</v>
      </c>
      <c r="I340" s="31" t="s">
        <v>531</v>
      </c>
      <c r="J340" s="31" t="s">
        <v>110</v>
      </c>
      <c r="K340" s="31" t="s">
        <v>849</v>
      </c>
      <c r="L340" s="31" t="s">
        <v>749</v>
      </c>
      <c r="M340" s="32" t="s">
        <v>750</v>
      </c>
      <c r="N340" s="33" t="s">
        <v>850</v>
      </c>
      <c r="O340" s="34" t="s">
        <v>851</v>
      </c>
    </row>
    <row r="341" ht="54.0" customHeight="1">
      <c r="A341" s="30" t="s">
        <v>1500</v>
      </c>
      <c r="B341" s="31" t="s">
        <v>739</v>
      </c>
      <c r="C341" s="31" t="s">
        <v>10</v>
      </c>
      <c r="D341" s="31" t="s">
        <v>740</v>
      </c>
      <c r="E341" s="31" t="s">
        <v>119</v>
      </c>
      <c r="F341" s="31" t="s">
        <v>741</v>
      </c>
      <c r="G341" s="31" t="s">
        <v>1501</v>
      </c>
      <c r="H341" s="31" t="s">
        <v>68</v>
      </c>
      <c r="I341" s="31" t="s">
        <v>531</v>
      </c>
      <c r="J341" s="31" t="s">
        <v>110</v>
      </c>
      <c r="K341" s="31" t="s">
        <v>849</v>
      </c>
      <c r="L341" s="31" t="s">
        <v>749</v>
      </c>
      <c r="M341" s="32" t="s">
        <v>750</v>
      </c>
      <c r="N341" s="33" t="s">
        <v>850</v>
      </c>
      <c r="O341" s="34" t="s">
        <v>851</v>
      </c>
    </row>
    <row r="342" ht="54.0" customHeight="1">
      <c r="A342" s="30" t="s">
        <v>1502</v>
      </c>
      <c r="B342" s="31" t="s">
        <v>751</v>
      </c>
      <c r="C342" s="31" t="s">
        <v>10</v>
      </c>
      <c r="D342" s="31" t="s">
        <v>740</v>
      </c>
      <c r="E342" s="31" t="s">
        <v>196</v>
      </c>
      <c r="F342" s="31" t="s">
        <v>752</v>
      </c>
      <c r="G342" s="31" t="s">
        <v>1503</v>
      </c>
      <c r="H342" s="31" t="s">
        <v>56</v>
      </c>
      <c r="I342" s="31" t="s">
        <v>394</v>
      </c>
      <c r="J342" s="31" t="s">
        <v>110</v>
      </c>
      <c r="K342" s="31" t="s">
        <v>849</v>
      </c>
      <c r="L342" s="31" t="s">
        <v>759</v>
      </c>
      <c r="M342" s="32" t="s">
        <v>760</v>
      </c>
      <c r="N342" s="33" t="s">
        <v>850</v>
      </c>
      <c r="O342" s="34" t="s">
        <v>851</v>
      </c>
    </row>
    <row r="343" ht="54.0" customHeight="1">
      <c r="A343" s="30" t="s">
        <v>1504</v>
      </c>
      <c r="B343" s="31" t="s">
        <v>751</v>
      </c>
      <c r="C343" s="31" t="s">
        <v>10</v>
      </c>
      <c r="D343" s="31" t="s">
        <v>740</v>
      </c>
      <c r="E343" s="31" t="s">
        <v>196</v>
      </c>
      <c r="F343" s="31" t="s">
        <v>752</v>
      </c>
      <c r="G343" s="31" t="s">
        <v>1300</v>
      </c>
      <c r="H343" s="31" t="s">
        <v>56</v>
      </c>
      <c r="I343" s="31" t="s">
        <v>394</v>
      </c>
      <c r="J343" s="31" t="s">
        <v>110</v>
      </c>
      <c r="K343" s="31" t="s">
        <v>849</v>
      </c>
      <c r="L343" s="31" t="s">
        <v>759</v>
      </c>
      <c r="M343" s="32" t="s">
        <v>760</v>
      </c>
      <c r="N343" s="33" t="s">
        <v>850</v>
      </c>
      <c r="O343" s="34" t="s">
        <v>851</v>
      </c>
    </row>
    <row r="344" ht="54.0" customHeight="1">
      <c r="A344" s="30" t="s">
        <v>1505</v>
      </c>
      <c r="B344" s="31" t="s">
        <v>751</v>
      </c>
      <c r="C344" s="31" t="s">
        <v>10</v>
      </c>
      <c r="D344" s="31" t="s">
        <v>740</v>
      </c>
      <c r="E344" s="31" t="s">
        <v>196</v>
      </c>
      <c r="F344" s="31" t="s">
        <v>752</v>
      </c>
      <c r="G344" s="31" t="s">
        <v>1506</v>
      </c>
      <c r="H344" s="31" t="s">
        <v>56</v>
      </c>
      <c r="I344" s="31" t="s">
        <v>394</v>
      </c>
      <c r="J344" s="31" t="s">
        <v>110</v>
      </c>
      <c r="K344" s="31" t="s">
        <v>849</v>
      </c>
      <c r="L344" s="31" t="s">
        <v>759</v>
      </c>
      <c r="M344" s="32" t="s">
        <v>760</v>
      </c>
      <c r="N344" s="33" t="s">
        <v>850</v>
      </c>
      <c r="O344" s="34" t="s">
        <v>851</v>
      </c>
    </row>
    <row r="345" ht="54.0" customHeight="1">
      <c r="A345" s="30" t="s">
        <v>1507</v>
      </c>
      <c r="B345" s="31" t="s">
        <v>751</v>
      </c>
      <c r="C345" s="31" t="s">
        <v>10</v>
      </c>
      <c r="D345" s="31" t="s">
        <v>740</v>
      </c>
      <c r="E345" s="31" t="s">
        <v>196</v>
      </c>
      <c r="F345" s="31" t="s">
        <v>752</v>
      </c>
      <c r="G345" s="31" t="s">
        <v>1508</v>
      </c>
      <c r="H345" s="31" t="s">
        <v>56</v>
      </c>
      <c r="I345" s="31" t="s">
        <v>394</v>
      </c>
      <c r="J345" s="31" t="s">
        <v>110</v>
      </c>
      <c r="K345" s="31" t="s">
        <v>849</v>
      </c>
      <c r="L345" s="31" t="s">
        <v>759</v>
      </c>
      <c r="M345" s="32" t="s">
        <v>760</v>
      </c>
      <c r="N345" s="33" t="s">
        <v>850</v>
      </c>
      <c r="O345" s="34" t="s">
        <v>851</v>
      </c>
    </row>
    <row r="346" ht="54.0" customHeight="1">
      <c r="A346" s="30" t="s">
        <v>1509</v>
      </c>
      <c r="B346" s="31" t="s">
        <v>751</v>
      </c>
      <c r="C346" s="31" t="s">
        <v>10</v>
      </c>
      <c r="D346" s="31" t="s">
        <v>740</v>
      </c>
      <c r="E346" s="31" t="s">
        <v>196</v>
      </c>
      <c r="F346" s="31" t="s">
        <v>752</v>
      </c>
      <c r="G346" s="31" t="s">
        <v>1510</v>
      </c>
      <c r="H346" s="31" t="s">
        <v>56</v>
      </c>
      <c r="I346" s="31" t="s">
        <v>394</v>
      </c>
      <c r="J346" s="31" t="s">
        <v>110</v>
      </c>
      <c r="K346" s="31" t="s">
        <v>849</v>
      </c>
      <c r="L346" s="31" t="s">
        <v>759</v>
      </c>
      <c r="M346" s="32" t="s">
        <v>760</v>
      </c>
      <c r="N346" s="33" t="s">
        <v>850</v>
      </c>
      <c r="O346" s="34" t="s">
        <v>851</v>
      </c>
    </row>
    <row r="347" ht="54.0" customHeight="1">
      <c r="A347" s="30" t="s">
        <v>1511</v>
      </c>
      <c r="B347" s="31" t="s">
        <v>751</v>
      </c>
      <c r="C347" s="31" t="s">
        <v>10</v>
      </c>
      <c r="D347" s="31" t="s">
        <v>740</v>
      </c>
      <c r="E347" s="31" t="s">
        <v>196</v>
      </c>
      <c r="F347" s="31" t="s">
        <v>752</v>
      </c>
      <c r="G347" s="31" t="s">
        <v>1512</v>
      </c>
      <c r="H347" s="31" t="s">
        <v>56</v>
      </c>
      <c r="I347" s="31" t="s">
        <v>394</v>
      </c>
      <c r="J347" s="31" t="s">
        <v>110</v>
      </c>
      <c r="K347" s="31" t="s">
        <v>849</v>
      </c>
      <c r="L347" s="31" t="s">
        <v>759</v>
      </c>
      <c r="M347" s="32" t="s">
        <v>760</v>
      </c>
      <c r="N347" s="33" t="s">
        <v>850</v>
      </c>
      <c r="O347" s="34" t="s">
        <v>851</v>
      </c>
    </row>
    <row r="348" ht="54.0" customHeight="1">
      <c r="A348" s="30" t="s">
        <v>1513</v>
      </c>
      <c r="B348" s="31" t="s">
        <v>751</v>
      </c>
      <c r="C348" s="31" t="s">
        <v>10</v>
      </c>
      <c r="D348" s="31" t="s">
        <v>740</v>
      </c>
      <c r="E348" s="31" t="s">
        <v>196</v>
      </c>
      <c r="F348" s="31" t="s">
        <v>752</v>
      </c>
      <c r="G348" s="31" t="s">
        <v>1514</v>
      </c>
      <c r="H348" s="31" t="s">
        <v>56</v>
      </c>
      <c r="I348" s="31" t="s">
        <v>394</v>
      </c>
      <c r="J348" s="31" t="s">
        <v>110</v>
      </c>
      <c r="K348" s="31" t="s">
        <v>849</v>
      </c>
      <c r="L348" s="31" t="s">
        <v>759</v>
      </c>
      <c r="M348" s="32" t="s">
        <v>760</v>
      </c>
      <c r="N348" s="33" t="s">
        <v>850</v>
      </c>
      <c r="O348" s="34" t="s">
        <v>851</v>
      </c>
    </row>
    <row r="349" ht="54.0" customHeight="1">
      <c r="A349" s="30" t="s">
        <v>1515</v>
      </c>
      <c r="B349" s="31" t="s">
        <v>761</v>
      </c>
      <c r="C349" s="31" t="s">
        <v>10</v>
      </c>
      <c r="D349" s="31" t="s">
        <v>740</v>
      </c>
      <c r="E349" s="31" t="s">
        <v>147</v>
      </c>
      <c r="F349" s="31" t="s">
        <v>762</v>
      </c>
      <c r="G349" s="31" t="s">
        <v>1516</v>
      </c>
      <c r="H349" s="31" t="s">
        <v>56</v>
      </c>
      <c r="I349" s="31" t="s">
        <v>765</v>
      </c>
      <c r="J349" s="31" t="s">
        <v>110</v>
      </c>
      <c r="K349" s="31" t="s">
        <v>849</v>
      </c>
      <c r="L349" s="31" t="s">
        <v>759</v>
      </c>
      <c r="M349" s="32" t="s">
        <v>768</v>
      </c>
      <c r="N349" s="33" t="s">
        <v>850</v>
      </c>
      <c r="O349" s="34" t="s">
        <v>851</v>
      </c>
    </row>
    <row r="350" ht="54.0" customHeight="1">
      <c r="A350" s="30" t="s">
        <v>1517</v>
      </c>
      <c r="B350" s="31" t="s">
        <v>761</v>
      </c>
      <c r="C350" s="31" t="s">
        <v>10</v>
      </c>
      <c r="D350" s="31" t="s">
        <v>740</v>
      </c>
      <c r="E350" s="31" t="s">
        <v>147</v>
      </c>
      <c r="F350" s="31" t="s">
        <v>762</v>
      </c>
      <c r="G350" s="31" t="s">
        <v>1518</v>
      </c>
      <c r="H350" s="31" t="s">
        <v>56</v>
      </c>
      <c r="I350" s="31" t="s">
        <v>765</v>
      </c>
      <c r="J350" s="31" t="s">
        <v>110</v>
      </c>
      <c r="K350" s="31" t="s">
        <v>849</v>
      </c>
      <c r="L350" s="31" t="s">
        <v>759</v>
      </c>
      <c r="M350" s="32" t="s">
        <v>768</v>
      </c>
      <c r="N350" s="33" t="s">
        <v>850</v>
      </c>
      <c r="O350" s="34" t="s">
        <v>851</v>
      </c>
    </row>
    <row r="351" ht="54.0" customHeight="1">
      <c r="A351" s="30" t="s">
        <v>1519</v>
      </c>
      <c r="B351" s="31" t="s">
        <v>761</v>
      </c>
      <c r="C351" s="31" t="s">
        <v>10</v>
      </c>
      <c r="D351" s="31" t="s">
        <v>740</v>
      </c>
      <c r="E351" s="31" t="s">
        <v>147</v>
      </c>
      <c r="F351" s="31" t="s">
        <v>762</v>
      </c>
      <c r="G351" s="31" t="s">
        <v>1520</v>
      </c>
      <c r="H351" s="31" t="s">
        <v>56</v>
      </c>
      <c r="I351" s="31" t="s">
        <v>765</v>
      </c>
      <c r="J351" s="31" t="s">
        <v>110</v>
      </c>
      <c r="K351" s="31" t="s">
        <v>849</v>
      </c>
      <c r="L351" s="31" t="s">
        <v>759</v>
      </c>
      <c r="M351" s="32" t="s">
        <v>768</v>
      </c>
      <c r="N351" s="33" t="s">
        <v>850</v>
      </c>
      <c r="O351" s="34" t="s">
        <v>851</v>
      </c>
    </row>
    <row r="352" ht="54.0" customHeight="1">
      <c r="A352" s="30" t="s">
        <v>1521</v>
      </c>
      <c r="B352" s="31" t="s">
        <v>761</v>
      </c>
      <c r="C352" s="31" t="s">
        <v>10</v>
      </c>
      <c r="D352" s="31" t="s">
        <v>740</v>
      </c>
      <c r="E352" s="31" t="s">
        <v>147</v>
      </c>
      <c r="F352" s="31" t="s">
        <v>762</v>
      </c>
      <c r="G352" s="31" t="s">
        <v>1522</v>
      </c>
      <c r="H352" s="31" t="s">
        <v>56</v>
      </c>
      <c r="I352" s="31" t="s">
        <v>765</v>
      </c>
      <c r="J352" s="31" t="s">
        <v>110</v>
      </c>
      <c r="K352" s="31" t="s">
        <v>849</v>
      </c>
      <c r="L352" s="31" t="s">
        <v>759</v>
      </c>
      <c r="M352" s="32" t="s">
        <v>768</v>
      </c>
      <c r="N352" s="33" t="s">
        <v>850</v>
      </c>
      <c r="O352" s="34" t="s">
        <v>851</v>
      </c>
    </row>
    <row r="353" ht="54.0" customHeight="1">
      <c r="A353" s="30" t="s">
        <v>1523</v>
      </c>
      <c r="B353" s="31" t="s">
        <v>761</v>
      </c>
      <c r="C353" s="31" t="s">
        <v>10</v>
      </c>
      <c r="D353" s="31" t="s">
        <v>740</v>
      </c>
      <c r="E353" s="31" t="s">
        <v>147</v>
      </c>
      <c r="F353" s="31" t="s">
        <v>762</v>
      </c>
      <c r="G353" s="31" t="s">
        <v>1524</v>
      </c>
      <c r="H353" s="31" t="s">
        <v>56</v>
      </c>
      <c r="I353" s="31" t="s">
        <v>765</v>
      </c>
      <c r="J353" s="31" t="s">
        <v>110</v>
      </c>
      <c r="K353" s="31" t="s">
        <v>849</v>
      </c>
      <c r="L353" s="31" t="s">
        <v>759</v>
      </c>
      <c r="M353" s="32" t="s">
        <v>768</v>
      </c>
      <c r="N353" s="33" t="s">
        <v>850</v>
      </c>
      <c r="O353" s="34" t="s">
        <v>851</v>
      </c>
    </row>
    <row r="354" ht="54.0" customHeight="1">
      <c r="A354" s="30" t="s">
        <v>1525</v>
      </c>
      <c r="B354" s="31" t="s">
        <v>761</v>
      </c>
      <c r="C354" s="31" t="s">
        <v>10</v>
      </c>
      <c r="D354" s="31" t="s">
        <v>740</v>
      </c>
      <c r="E354" s="31" t="s">
        <v>147</v>
      </c>
      <c r="F354" s="31" t="s">
        <v>762</v>
      </c>
      <c r="G354" s="31" t="s">
        <v>1526</v>
      </c>
      <c r="H354" s="31" t="s">
        <v>56</v>
      </c>
      <c r="I354" s="31" t="s">
        <v>765</v>
      </c>
      <c r="J354" s="31" t="s">
        <v>110</v>
      </c>
      <c r="K354" s="31" t="s">
        <v>849</v>
      </c>
      <c r="L354" s="31" t="s">
        <v>759</v>
      </c>
      <c r="M354" s="32" t="s">
        <v>768</v>
      </c>
      <c r="N354" s="33" t="s">
        <v>850</v>
      </c>
      <c r="O354" s="34" t="s">
        <v>851</v>
      </c>
    </row>
    <row r="355" ht="54.0" customHeight="1">
      <c r="A355" s="30" t="s">
        <v>1527</v>
      </c>
      <c r="B355" s="31" t="s">
        <v>769</v>
      </c>
      <c r="C355" s="31" t="s">
        <v>10</v>
      </c>
      <c r="D355" s="31" t="s">
        <v>740</v>
      </c>
      <c r="E355" s="31" t="s">
        <v>196</v>
      </c>
      <c r="F355" s="31" t="s">
        <v>770</v>
      </c>
      <c r="G355" s="31" t="s">
        <v>1113</v>
      </c>
      <c r="H355" s="31" t="s">
        <v>56</v>
      </c>
      <c r="I355" s="31" t="s">
        <v>487</v>
      </c>
      <c r="J355" s="31" t="s">
        <v>110</v>
      </c>
      <c r="K355" s="31" t="s">
        <v>849</v>
      </c>
      <c r="L355" s="31" t="s">
        <v>776</v>
      </c>
      <c r="M355" s="32" t="s">
        <v>777</v>
      </c>
      <c r="N355" s="33" t="s">
        <v>850</v>
      </c>
      <c r="O355" s="34" t="s">
        <v>851</v>
      </c>
    </row>
    <row r="356" ht="54.0" customHeight="1">
      <c r="A356" s="30" t="s">
        <v>1528</v>
      </c>
      <c r="B356" s="31" t="s">
        <v>769</v>
      </c>
      <c r="C356" s="31" t="s">
        <v>10</v>
      </c>
      <c r="D356" s="31" t="s">
        <v>740</v>
      </c>
      <c r="E356" s="31" t="s">
        <v>196</v>
      </c>
      <c r="F356" s="31" t="s">
        <v>770</v>
      </c>
      <c r="G356" s="31" t="s">
        <v>1529</v>
      </c>
      <c r="H356" s="31" t="s">
        <v>56</v>
      </c>
      <c r="I356" s="31" t="s">
        <v>487</v>
      </c>
      <c r="J356" s="31" t="s">
        <v>110</v>
      </c>
      <c r="K356" s="31" t="s">
        <v>849</v>
      </c>
      <c r="L356" s="31" t="s">
        <v>776</v>
      </c>
      <c r="M356" s="32" t="s">
        <v>777</v>
      </c>
      <c r="N356" s="33" t="s">
        <v>850</v>
      </c>
      <c r="O356" s="34" t="s">
        <v>851</v>
      </c>
    </row>
    <row r="357" ht="54.0" customHeight="1">
      <c r="A357" s="30" t="s">
        <v>1530</v>
      </c>
      <c r="B357" s="31" t="s">
        <v>769</v>
      </c>
      <c r="C357" s="31" t="s">
        <v>10</v>
      </c>
      <c r="D357" s="31" t="s">
        <v>740</v>
      </c>
      <c r="E357" s="31" t="s">
        <v>196</v>
      </c>
      <c r="F357" s="31" t="s">
        <v>770</v>
      </c>
      <c r="G357" s="31" t="s">
        <v>1531</v>
      </c>
      <c r="H357" s="31" t="s">
        <v>56</v>
      </c>
      <c r="I357" s="31" t="s">
        <v>487</v>
      </c>
      <c r="J357" s="31" t="s">
        <v>110</v>
      </c>
      <c r="K357" s="31" t="s">
        <v>849</v>
      </c>
      <c r="L357" s="31" t="s">
        <v>776</v>
      </c>
      <c r="M357" s="32" t="s">
        <v>777</v>
      </c>
      <c r="N357" s="33" t="s">
        <v>850</v>
      </c>
      <c r="O357" s="34" t="s">
        <v>851</v>
      </c>
    </row>
    <row r="358" ht="54.0" customHeight="1">
      <c r="A358" s="30" t="s">
        <v>1532</v>
      </c>
      <c r="B358" s="31" t="s">
        <v>769</v>
      </c>
      <c r="C358" s="31" t="s">
        <v>10</v>
      </c>
      <c r="D358" s="31" t="s">
        <v>740</v>
      </c>
      <c r="E358" s="31" t="s">
        <v>196</v>
      </c>
      <c r="F358" s="31" t="s">
        <v>770</v>
      </c>
      <c r="G358" s="31" t="s">
        <v>1533</v>
      </c>
      <c r="H358" s="31" t="s">
        <v>56</v>
      </c>
      <c r="I358" s="31" t="s">
        <v>487</v>
      </c>
      <c r="J358" s="31" t="s">
        <v>110</v>
      </c>
      <c r="K358" s="31" t="s">
        <v>849</v>
      </c>
      <c r="L358" s="31" t="s">
        <v>776</v>
      </c>
      <c r="M358" s="32" t="s">
        <v>777</v>
      </c>
      <c r="N358" s="33" t="s">
        <v>850</v>
      </c>
      <c r="O358" s="34" t="s">
        <v>851</v>
      </c>
    </row>
    <row r="359" ht="54.0" customHeight="1">
      <c r="A359" s="30" t="s">
        <v>1534</v>
      </c>
      <c r="B359" s="31" t="s">
        <v>769</v>
      </c>
      <c r="C359" s="31" t="s">
        <v>10</v>
      </c>
      <c r="D359" s="31" t="s">
        <v>740</v>
      </c>
      <c r="E359" s="31" t="s">
        <v>196</v>
      </c>
      <c r="F359" s="31" t="s">
        <v>770</v>
      </c>
      <c r="G359" s="31" t="s">
        <v>1109</v>
      </c>
      <c r="H359" s="31" t="s">
        <v>56</v>
      </c>
      <c r="I359" s="31" t="s">
        <v>487</v>
      </c>
      <c r="J359" s="31" t="s">
        <v>110</v>
      </c>
      <c r="K359" s="31" t="s">
        <v>849</v>
      </c>
      <c r="L359" s="31" t="s">
        <v>776</v>
      </c>
      <c r="M359" s="32" t="s">
        <v>777</v>
      </c>
      <c r="N359" s="33" t="s">
        <v>850</v>
      </c>
      <c r="O359" s="34" t="s">
        <v>851</v>
      </c>
    </row>
    <row r="360" ht="54.0" customHeight="1">
      <c r="A360" s="30" t="s">
        <v>1535</v>
      </c>
      <c r="B360" s="31" t="s">
        <v>769</v>
      </c>
      <c r="C360" s="31" t="s">
        <v>10</v>
      </c>
      <c r="D360" s="31" t="s">
        <v>740</v>
      </c>
      <c r="E360" s="31" t="s">
        <v>196</v>
      </c>
      <c r="F360" s="31" t="s">
        <v>770</v>
      </c>
      <c r="G360" s="31" t="s">
        <v>1536</v>
      </c>
      <c r="H360" s="31" t="s">
        <v>56</v>
      </c>
      <c r="I360" s="31" t="s">
        <v>487</v>
      </c>
      <c r="J360" s="31" t="s">
        <v>110</v>
      </c>
      <c r="K360" s="31" t="s">
        <v>849</v>
      </c>
      <c r="L360" s="31" t="s">
        <v>776</v>
      </c>
      <c r="M360" s="32" t="s">
        <v>777</v>
      </c>
      <c r="N360" s="33" t="s">
        <v>850</v>
      </c>
      <c r="O360" s="34" t="s">
        <v>851</v>
      </c>
    </row>
    <row r="361" ht="54.0" customHeight="1">
      <c r="A361" s="30" t="s">
        <v>1537</v>
      </c>
      <c r="B361" s="31" t="s">
        <v>778</v>
      </c>
      <c r="C361" s="31" t="s">
        <v>10</v>
      </c>
      <c r="D361" s="31" t="s">
        <v>740</v>
      </c>
      <c r="E361" s="31" t="s">
        <v>172</v>
      </c>
      <c r="F361" s="31" t="s">
        <v>779</v>
      </c>
      <c r="G361" s="31" t="s">
        <v>1109</v>
      </c>
      <c r="H361" s="31" t="s">
        <v>64</v>
      </c>
      <c r="I361" s="31" t="s">
        <v>264</v>
      </c>
      <c r="J361" s="31" t="s">
        <v>110</v>
      </c>
      <c r="K361" s="31" t="s">
        <v>849</v>
      </c>
      <c r="L361" s="31" t="s">
        <v>786</v>
      </c>
      <c r="M361" s="32" t="s">
        <v>787</v>
      </c>
      <c r="N361" s="33" t="s">
        <v>850</v>
      </c>
      <c r="O361" s="34" t="s">
        <v>851</v>
      </c>
    </row>
    <row r="362" ht="54.0" customHeight="1">
      <c r="A362" s="30" t="s">
        <v>1538</v>
      </c>
      <c r="B362" s="31" t="s">
        <v>778</v>
      </c>
      <c r="C362" s="31" t="s">
        <v>10</v>
      </c>
      <c r="D362" s="31" t="s">
        <v>740</v>
      </c>
      <c r="E362" s="31" t="s">
        <v>172</v>
      </c>
      <c r="F362" s="31" t="s">
        <v>779</v>
      </c>
      <c r="G362" s="31" t="s">
        <v>1539</v>
      </c>
      <c r="H362" s="31" t="s">
        <v>64</v>
      </c>
      <c r="I362" s="31" t="s">
        <v>264</v>
      </c>
      <c r="J362" s="31" t="s">
        <v>110</v>
      </c>
      <c r="K362" s="31" t="s">
        <v>849</v>
      </c>
      <c r="L362" s="31" t="s">
        <v>786</v>
      </c>
      <c r="M362" s="32" t="s">
        <v>787</v>
      </c>
      <c r="N362" s="33" t="s">
        <v>850</v>
      </c>
      <c r="O362" s="34" t="s">
        <v>851</v>
      </c>
    </row>
    <row r="363" ht="54.0" customHeight="1">
      <c r="A363" s="30" t="s">
        <v>1540</v>
      </c>
      <c r="B363" s="31" t="s">
        <v>778</v>
      </c>
      <c r="C363" s="31" t="s">
        <v>10</v>
      </c>
      <c r="D363" s="31" t="s">
        <v>740</v>
      </c>
      <c r="E363" s="31" t="s">
        <v>172</v>
      </c>
      <c r="F363" s="31" t="s">
        <v>779</v>
      </c>
      <c r="G363" s="31" t="s">
        <v>1541</v>
      </c>
      <c r="H363" s="31" t="s">
        <v>64</v>
      </c>
      <c r="I363" s="31" t="s">
        <v>264</v>
      </c>
      <c r="J363" s="31" t="s">
        <v>110</v>
      </c>
      <c r="K363" s="31" t="s">
        <v>849</v>
      </c>
      <c r="L363" s="31" t="s">
        <v>786</v>
      </c>
      <c r="M363" s="32" t="s">
        <v>787</v>
      </c>
      <c r="N363" s="33" t="s">
        <v>850</v>
      </c>
      <c r="O363" s="34" t="s">
        <v>851</v>
      </c>
    </row>
    <row r="364" ht="54.0" customHeight="1">
      <c r="A364" s="30" t="s">
        <v>1542</v>
      </c>
      <c r="B364" s="31" t="s">
        <v>778</v>
      </c>
      <c r="C364" s="31" t="s">
        <v>10</v>
      </c>
      <c r="D364" s="31" t="s">
        <v>740</v>
      </c>
      <c r="E364" s="31" t="s">
        <v>172</v>
      </c>
      <c r="F364" s="31" t="s">
        <v>779</v>
      </c>
      <c r="G364" s="31" t="s">
        <v>1543</v>
      </c>
      <c r="H364" s="31" t="s">
        <v>64</v>
      </c>
      <c r="I364" s="31" t="s">
        <v>264</v>
      </c>
      <c r="J364" s="31" t="s">
        <v>110</v>
      </c>
      <c r="K364" s="31" t="s">
        <v>849</v>
      </c>
      <c r="L364" s="31" t="s">
        <v>786</v>
      </c>
      <c r="M364" s="32" t="s">
        <v>787</v>
      </c>
      <c r="N364" s="33" t="s">
        <v>850</v>
      </c>
      <c r="O364" s="34" t="s">
        <v>851</v>
      </c>
    </row>
    <row r="365" ht="54.0" customHeight="1">
      <c r="A365" s="30" t="s">
        <v>1544</v>
      </c>
      <c r="B365" s="31" t="s">
        <v>778</v>
      </c>
      <c r="C365" s="31" t="s">
        <v>10</v>
      </c>
      <c r="D365" s="31" t="s">
        <v>740</v>
      </c>
      <c r="E365" s="31" t="s">
        <v>172</v>
      </c>
      <c r="F365" s="31" t="s">
        <v>779</v>
      </c>
      <c r="G365" s="31" t="s">
        <v>1545</v>
      </c>
      <c r="H365" s="31" t="s">
        <v>64</v>
      </c>
      <c r="I365" s="31" t="s">
        <v>264</v>
      </c>
      <c r="J365" s="31" t="s">
        <v>110</v>
      </c>
      <c r="K365" s="31" t="s">
        <v>849</v>
      </c>
      <c r="L365" s="31" t="s">
        <v>786</v>
      </c>
      <c r="M365" s="32" t="s">
        <v>787</v>
      </c>
      <c r="N365" s="33" t="s">
        <v>850</v>
      </c>
      <c r="O365" s="34" t="s">
        <v>851</v>
      </c>
    </row>
    <row r="366" ht="54.0" customHeight="1">
      <c r="A366" s="30" t="s">
        <v>1546</v>
      </c>
      <c r="B366" s="31" t="s">
        <v>778</v>
      </c>
      <c r="C366" s="31" t="s">
        <v>10</v>
      </c>
      <c r="D366" s="31" t="s">
        <v>740</v>
      </c>
      <c r="E366" s="31" t="s">
        <v>172</v>
      </c>
      <c r="F366" s="31" t="s">
        <v>779</v>
      </c>
      <c r="G366" s="31" t="s">
        <v>1547</v>
      </c>
      <c r="H366" s="31" t="s">
        <v>64</v>
      </c>
      <c r="I366" s="31" t="s">
        <v>264</v>
      </c>
      <c r="J366" s="31" t="s">
        <v>110</v>
      </c>
      <c r="K366" s="31" t="s">
        <v>849</v>
      </c>
      <c r="L366" s="31" t="s">
        <v>786</v>
      </c>
      <c r="M366" s="32" t="s">
        <v>787</v>
      </c>
      <c r="N366" s="33" t="s">
        <v>850</v>
      </c>
      <c r="O366" s="34" t="s">
        <v>851</v>
      </c>
    </row>
    <row r="367" ht="54.0" customHeight="1">
      <c r="A367" s="30" t="s">
        <v>1548</v>
      </c>
      <c r="B367" s="31" t="s">
        <v>778</v>
      </c>
      <c r="C367" s="31" t="s">
        <v>10</v>
      </c>
      <c r="D367" s="31" t="s">
        <v>740</v>
      </c>
      <c r="E367" s="31" t="s">
        <v>172</v>
      </c>
      <c r="F367" s="31" t="s">
        <v>779</v>
      </c>
      <c r="G367" s="31" t="s">
        <v>1549</v>
      </c>
      <c r="H367" s="31" t="s">
        <v>64</v>
      </c>
      <c r="I367" s="31" t="s">
        <v>264</v>
      </c>
      <c r="J367" s="31" t="s">
        <v>110</v>
      </c>
      <c r="K367" s="31" t="s">
        <v>849</v>
      </c>
      <c r="L367" s="31" t="s">
        <v>786</v>
      </c>
      <c r="M367" s="32" t="s">
        <v>787</v>
      </c>
      <c r="N367" s="33" t="s">
        <v>850</v>
      </c>
      <c r="O367" s="34" t="s">
        <v>851</v>
      </c>
    </row>
    <row r="368" ht="54.0" customHeight="1">
      <c r="A368" s="30" t="s">
        <v>1550</v>
      </c>
      <c r="B368" s="31" t="s">
        <v>788</v>
      </c>
      <c r="C368" s="31" t="s">
        <v>10</v>
      </c>
      <c r="D368" s="31" t="s">
        <v>740</v>
      </c>
      <c r="E368" s="31" t="s">
        <v>196</v>
      </c>
      <c r="F368" s="31" t="s">
        <v>789</v>
      </c>
      <c r="G368" s="31" t="s">
        <v>1551</v>
      </c>
      <c r="H368" s="31" t="s">
        <v>68</v>
      </c>
      <c r="I368" s="31" t="s">
        <v>792</v>
      </c>
      <c r="J368" s="31" t="s">
        <v>110</v>
      </c>
      <c r="K368" s="31" t="s">
        <v>849</v>
      </c>
      <c r="L368" s="31" t="s">
        <v>796</v>
      </c>
      <c r="M368" s="32" t="s">
        <v>797</v>
      </c>
      <c r="N368" s="33" t="s">
        <v>850</v>
      </c>
      <c r="O368" s="34" t="s">
        <v>851</v>
      </c>
    </row>
    <row r="369" ht="54.0" customHeight="1">
      <c r="A369" s="30" t="s">
        <v>1552</v>
      </c>
      <c r="B369" s="31" t="s">
        <v>788</v>
      </c>
      <c r="C369" s="31" t="s">
        <v>10</v>
      </c>
      <c r="D369" s="31" t="s">
        <v>740</v>
      </c>
      <c r="E369" s="31" t="s">
        <v>196</v>
      </c>
      <c r="F369" s="31" t="s">
        <v>789</v>
      </c>
      <c r="G369" s="31" t="s">
        <v>1553</v>
      </c>
      <c r="H369" s="31" t="s">
        <v>68</v>
      </c>
      <c r="I369" s="31" t="s">
        <v>792</v>
      </c>
      <c r="J369" s="31" t="s">
        <v>110</v>
      </c>
      <c r="K369" s="31" t="s">
        <v>849</v>
      </c>
      <c r="L369" s="31" t="s">
        <v>796</v>
      </c>
      <c r="M369" s="32" t="s">
        <v>797</v>
      </c>
      <c r="N369" s="33" t="s">
        <v>850</v>
      </c>
      <c r="O369" s="34" t="s">
        <v>851</v>
      </c>
    </row>
    <row r="370" ht="54.0" customHeight="1">
      <c r="A370" s="30" t="s">
        <v>1554</v>
      </c>
      <c r="B370" s="31" t="s">
        <v>788</v>
      </c>
      <c r="C370" s="31" t="s">
        <v>10</v>
      </c>
      <c r="D370" s="31" t="s">
        <v>740</v>
      </c>
      <c r="E370" s="31" t="s">
        <v>196</v>
      </c>
      <c r="F370" s="31" t="s">
        <v>789</v>
      </c>
      <c r="G370" s="31" t="s">
        <v>1555</v>
      </c>
      <c r="H370" s="31" t="s">
        <v>68</v>
      </c>
      <c r="I370" s="31" t="s">
        <v>792</v>
      </c>
      <c r="J370" s="31" t="s">
        <v>110</v>
      </c>
      <c r="K370" s="31" t="s">
        <v>849</v>
      </c>
      <c r="L370" s="31" t="s">
        <v>796</v>
      </c>
      <c r="M370" s="32" t="s">
        <v>797</v>
      </c>
      <c r="N370" s="33" t="s">
        <v>850</v>
      </c>
      <c r="O370" s="34" t="s">
        <v>851</v>
      </c>
    </row>
    <row r="371" ht="54.0" customHeight="1">
      <c r="A371" s="30" t="s">
        <v>1556</v>
      </c>
      <c r="B371" s="31" t="s">
        <v>788</v>
      </c>
      <c r="C371" s="31" t="s">
        <v>10</v>
      </c>
      <c r="D371" s="31" t="s">
        <v>740</v>
      </c>
      <c r="E371" s="31" t="s">
        <v>196</v>
      </c>
      <c r="F371" s="31" t="s">
        <v>789</v>
      </c>
      <c r="G371" s="31" t="s">
        <v>1557</v>
      </c>
      <c r="H371" s="31" t="s">
        <v>68</v>
      </c>
      <c r="I371" s="31" t="s">
        <v>792</v>
      </c>
      <c r="J371" s="31" t="s">
        <v>110</v>
      </c>
      <c r="K371" s="31" t="s">
        <v>849</v>
      </c>
      <c r="L371" s="31" t="s">
        <v>796</v>
      </c>
      <c r="M371" s="32" t="s">
        <v>797</v>
      </c>
      <c r="N371" s="33" t="s">
        <v>850</v>
      </c>
      <c r="O371" s="34" t="s">
        <v>851</v>
      </c>
    </row>
    <row r="372" ht="54.0" customHeight="1">
      <c r="A372" s="30" t="s">
        <v>1558</v>
      </c>
      <c r="B372" s="31" t="s">
        <v>788</v>
      </c>
      <c r="C372" s="31" t="s">
        <v>10</v>
      </c>
      <c r="D372" s="31" t="s">
        <v>740</v>
      </c>
      <c r="E372" s="31" t="s">
        <v>196</v>
      </c>
      <c r="F372" s="31" t="s">
        <v>789</v>
      </c>
      <c r="G372" s="31" t="s">
        <v>1559</v>
      </c>
      <c r="H372" s="31" t="s">
        <v>68</v>
      </c>
      <c r="I372" s="31" t="s">
        <v>792</v>
      </c>
      <c r="J372" s="31" t="s">
        <v>110</v>
      </c>
      <c r="K372" s="31" t="s">
        <v>849</v>
      </c>
      <c r="L372" s="31" t="s">
        <v>796</v>
      </c>
      <c r="M372" s="32" t="s">
        <v>797</v>
      </c>
      <c r="N372" s="33" t="s">
        <v>850</v>
      </c>
      <c r="O372" s="34" t="s">
        <v>851</v>
      </c>
    </row>
    <row r="373" ht="54.0" customHeight="1">
      <c r="A373" s="30" t="s">
        <v>1560</v>
      </c>
      <c r="B373" s="31" t="s">
        <v>788</v>
      </c>
      <c r="C373" s="31" t="s">
        <v>10</v>
      </c>
      <c r="D373" s="31" t="s">
        <v>740</v>
      </c>
      <c r="E373" s="31" t="s">
        <v>196</v>
      </c>
      <c r="F373" s="31" t="s">
        <v>789</v>
      </c>
      <c r="G373" s="31" t="s">
        <v>1561</v>
      </c>
      <c r="H373" s="31" t="s">
        <v>68</v>
      </c>
      <c r="I373" s="31" t="s">
        <v>792</v>
      </c>
      <c r="J373" s="31" t="s">
        <v>110</v>
      </c>
      <c r="K373" s="31" t="s">
        <v>849</v>
      </c>
      <c r="L373" s="31" t="s">
        <v>796</v>
      </c>
      <c r="M373" s="32" t="s">
        <v>797</v>
      </c>
      <c r="N373" s="33" t="s">
        <v>850</v>
      </c>
      <c r="O373" s="34" t="s">
        <v>851</v>
      </c>
    </row>
    <row r="374" ht="54.0" customHeight="1">
      <c r="A374" s="30" t="s">
        <v>1562</v>
      </c>
      <c r="B374" s="31" t="s">
        <v>788</v>
      </c>
      <c r="C374" s="31" t="s">
        <v>10</v>
      </c>
      <c r="D374" s="31" t="s">
        <v>740</v>
      </c>
      <c r="E374" s="31" t="s">
        <v>196</v>
      </c>
      <c r="F374" s="31" t="s">
        <v>789</v>
      </c>
      <c r="G374" s="31" t="s">
        <v>1563</v>
      </c>
      <c r="H374" s="31" t="s">
        <v>68</v>
      </c>
      <c r="I374" s="31" t="s">
        <v>792</v>
      </c>
      <c r="J374" s="31" t="s">
        <v>110</v>
      </c>
      <c r="K374" s="31" t="s">
        <v>849</v>
      </c>
      <c r="L374" s="31" t="s">
        <v>796</v>
      </c>
      <c r="M374" s="32" t="s">
        <v>797</v>
      </c>
      <c r="N374" s="33" t="s">
        <v>850</v>
      </c>
      <c r="O374" s="34" t="s">
        <v>851</v>
      </c>
    </row>
    <row r="375" ht="54.0" customHeight="1">
      <c r="A375" s="30" t="s">
        <v>1564</v>
      </c>
      <c r="B375" s="31" t="s">
        <v>798</v>
      </c>
      <c r="C375" s="31" t="s">
        <v>10</v>
      </c>
      <c r="D375" s="31" t="s">
        <v>740</v>
      </c>
      <c r="E375" s="31" t="s">
        <v>185</v>
      </c>
      <c r="F375" s="31" t="s">
        <v>799</v>
      </c>
      <c r="G375" s="31" t="s">
        <v>1565</v>
      </c>
      <c r="H375" s="31" t="s">
        <v>68</v>
      </c>
      <c r="I375" s="31" t="s">
        <v>176</v>
      </c>
      <c r="J375" s="31" t="s">
        <v>110</v>
      </c>
      <c r="K375" s="31" t="s">
        <v>849</v>
      </c>
      <c r="L375" s="31" t="s">
        <v>759</v>
      </c>
      <c r="M375" s="32" t="s">
        <v>805</v>
      </c>
      <c r="N375" s="33" t="s">
        <v>850</v>
      </c>
      <c r="O375" s="34" t="s">
        <v>851</v>
      </c>
    </row>
    <row r="376" ht="54.0" customHeight="1">
      <c r="A376" s="30" t="s">
        <v>1566</v>
      </c>
      <c r="B376" s="31" t="s">
        <v>798</v>
      </c>
      <c r="C376" s="31" t="s">
        <v>10</v>
      </c>
      <c r="D376" s="31" t="s">
        <v>740</v>
      </c>
      <c r="E376" s="31" t="s">
        <v>185</v>
      </c>
      <c r="F376" s="31" t="s">
        <v>799</v>
      </c>
      <c r="G376" s="31" t="s">
        <v>1244</v>
      </c>
      <c r="H376" s="31" t="s">
        <v>68</v>
      </c>
      <c r="I376" s="31" t="s">
        <v>176</v>
      </c>
      <c r="J376" s="31" t="s">
        <v>110</v>
      </c>
      <c r="K376" s="31" t="s">
        <v>849</v>
      </c>
      <c r="L376" s="31" t="s">
        <v>759</v>
      </c>
      <c r="M376" s="32" t="s">
        <v>805</v>
      </c>
      <c r="N376" s="33" t="s">
        <v>850</v>
      </c>
      <c r="O376" s="34" t="s">
        <v>851</v>
      </c>
    </row>
    <row r="377" ht="54.0" customHeight="1">
      <c r="A377" s="30" t="s">
        <v>1567</v>
      </c>
      <c r="B377" s="31" t="s">
        <v>798</v>
      </c>
      <c r="C377" s="31" t="s">
        <v>10</v>
      </c>
      <c r="D377" s="31" t="s">
        <v>740</v>
      </c>
      <c r="E377" s="31" t="s">
        <v>185</v>
      </c>
      <c r="F377" s="31" t="s">
        <v>799</v>
      </c>
      <c r="G377" s="31" t="s">
        <v>1568</v>
      </c>
      <c r="H377" s="31" t="s">
        <v>68</v>
      </c>
      <c r="I377" s="31" t="s">
        <v>176</v>
      </c>
      <c r="J377" s="31" t="s">
        <v>110</v>
      </c>
      <c r="K377" s="31" t="s">
        <v>849</v>
      </c>
      <c r="L377" s="31" t="s">
        <v>759</v>
      </c>
      <c r="M377" s="32" t="s">
        <v>805</v>
      </c>
      <c r="N377" s="33" t="s">
        <v>850</v>
      </c>
      <c r="O377" s="34" t="s">
        <v>851</v>
      </c>
    </row>
    <row r="378" ht="54.0" customHeight="1">
      <c r="A378" s="30" t="s">
        <v>1569</v>
      </c>
      <c r="B378" s="31" t="s">
        <v>798</v>
      </c>
      <c r="C378" s="31" t="s">
        <v>10</v>
      </c>
      <c r="D378" s="31" t="s">
        <v>740</v>
      </c>
      <c r="E378" s="31" t="s">
        <v>185</v>
      </c>
      <c r="F378" s="31" t="s">
        <v>799</v>
      </c>
      <c r="G378" s="31" t="s">
        <v>1570</v>
      </c>
      <c r="H378" s="31" t="s">
        <v>68</v>
      </c>
      <c r="I378" s="31" t="s">
        <v>176</v>
      </c>
      <c r="J378" s="31" t="s">
        <v>110</v>
      </c>
      <c r="K378" s="31" t="s">
        <v>849</v>
      </c>
      <c r="L378" s="31" t="s">
        <v>759</v>
      </c>
      <c r="M378" s="32" t="s">
        <v>805</v>
      </c>
      <c r="N378" s="33" t="s">
        <v>850</v>
      </c>
      <c r="O378" s="34" t="s">
        <v>851</v>
      </c>
    </row>
    <row r="379" ht="54.0" customHeight="1">
      <c r="A379" s="30" t="s">
        <v>1571</v>
      </c>
      <c r="B379" s="31" t="s">
        <v>798</v>
      </c>
      <c r="C379" s="31" t="s">
        <v>10</v>
      </c>
      <c r="D379" s="31" t="s">
        <v>740</v>
      </c>
      <c r="E379" s="31" t="s">
        <v>185</v>
      </c>
      <c r="F379" s="31" t="s">
        <v>799</v>
      </c>
      <c r="G379" s="31" t="s">
        <v>1572</v>
      </c>
      <c r="H379" s="31" t="s">
        <v>68</v>
      </c>
      <c r="I379" s="31" t="s">
        <v>176</v>
      </c>
      <c r="J379" s="31" t="s">
        <v>110</v>
      </c>
      <c r="K379" s="31" t="s">
        <v>849</v>
      </c>
      <c r="L379" s="31" t="s">
        <v>759</v>
      </c>
      <c r="M379" s="32" t="s">
        <v>805</v>
      </c>
      <c r="N379" s="33" t="s">
        <v>850</v>
      </c>
      <c r="O379" s="34" t="s">
        <v>851</v>
      </c>
    </row>
    <row r="380" ht="54.0" customHeight="1">
      <c r="A380" s="30" t="s">
        <v>1573</v>
      </c>
      <c r="B380" s="31" t="s">
        <v>798</v>
      </c>
      <c r="C380" s="31" t="s">
        <v>10</v>
      </c>
      <c r="D380" s="31" t="s">
        <v>740</v>
      </c>
      <c r="E380" s="31" t="s">
        <v>185</v>
      </c>
      <c r="F380" s="31" t="s">
        <v>799</v>
      </c>
      <c r="G380" s="31" t="s">
        <v>1574</v>
      </c>
      <c r="H380" s="31" t="s">
        <v>68</v>
      </c>
      <c r="I380" s="31" t="s">
        <v>176</v>
      </c>
      <c r="J380" s="31" t="s">
        <v>110</v>
      </c>
      <c r="K380" s="31" t="s">
        <v>849</v>
      </c>
      <c r="L380" s="31" t="s">
        <v>759</v>
      </c>
      <c r="M380" s="32" t="s">
        <v>805</v>
      </c>
      <c r="N380" s="33" t="s">
        <v>850</v>
      </c>
      <c r="O380" s="34" t="s">
        <v>851</v>
      </c>
    </row>
    <row r="381" ht="54.0" customHeight="1">
      <c r="A381" s="30" t="s">
        <v>1575</v>
      </c>
      <c r="B381" s="31" t="s">
        <v>806</v>
      </c>
      <c r="C381" s="31" t="s">
        <v>10</v>
      </c>
      <c r="D381" s="31" t="s">
        <v>740</v>
      </c>
      <c r="E381" s="31" t="s">
        <v>185</v>
      </c>
      <c r="F381" s="31" t="s">
        <v>807</v>
      </c>
      <c r="G381" s="31" t="s">
        <v>1027</v>
      </c>
      <c r="H381" s="31" t="s">
        <v>68</v>
      </c>
      <c r="I381" s="31" t="s">
        <v>341</v>
      </c>
      <c r="J381" s="31" t="s">
        <v>110</v>
      </c>
      <c r="K381" s="31" t="s">
        <v>849</v>
      </c>
      <c r="L381" s="31" t="s">
        <v>814</v>
      </c>
      <c r="M381" s="32" t="s">
        <v>815</v>
      </c>
      <c r="N381" s="33" t="s">
        <v>850</v>
      </c>
      <c r="O381" s="34" t="s">
        <v>851</v>
      </c>
    </row>
    <row r="382" ht="54.0" customHeight="1">
      <c r="A382" s="30" t="s">
        <v>1576</v>
      </c>
      <c r="B382" s="31" t="s">
        <v>806</v>
      </c>
      <c r="C382" s="31" t="s">
        <v>10</v>
      </c>
      <c r="D382" s="31" t="s">
        <v>740</v>
      </c>
      <c r="E382" s="31" t="s">
        <v>185</v>
      </c>
      <c r="F382" s="31" t="s">
        <v>807</v>
      </c>
      <c r="G382" s="31" t="s">
        <v>1577</v>
      </c>
      <c r="H382" s="31" t="s">
        <v>68</v>
      </c>
      <c r="I382" s="31" t="s">
        <v>341</v>
      </c>
      <c r="J382" s="31" t="s">
        <v>110</v>
      </c>
      <c r="K382" s="31" t="s">
        <v>849</v>
      </c>
      <c r="L382" s="31" t="s">
        <v>814</v>
      </c>
      <c r="M382" s="32" t="s">
        <v>815</v>
      </c>
      <c r="N382" s="33" t="s">
        <v>850</v>
      </c>
      <c r="O382" s="34" t="s">
        <v>851</v>
      </c>
    </row>
    <row r="383" ht="54.0" customHeight="1">
      <c r="A383" s="30" t="s">
        <v>1578</v>
      </c>
      <c r="B383" s="31" t="s">
        <v>806</v>
      </c>
      <c r="C383" s="31" t="s">
        <v>10</v>
      </c>
      <c r="D383" s="31" t="s">
        <v>740</v>
      </c>
      <c r="E383" s="31" t="s">
        <v>185</v>
      </c>
      <c r="F383" s="31" t="s">
        <v>807</v>
      </c>
      <c r="G383" s="31" t="s">
        <v>1579</v>
      </c>
      <c r="H383" s="31" t="s">
        <v>68</v>
      </c>
      <c r="I383" s="31" t="s">
        <v>341</v>
      </c>
      <c r="J383" s="31" t="s">
        <v>110</v>
      </c>
      <c r="K383" s="31" t="s">
        <v>849</v>
      </c>
      <c r="L383" s="31" t="s">
        <v>814</v>
      </c>
      <c r="M383" s="32" t="s">
        <v>815</v>
      </c>
      <c r="N383" s="33" t="s">
        <v>850</v>
      </c>
      <c r="O383" s="34" t="s">
        <v>851</v>
      </c>
    </row>
    <row r="384" ht="54.0" customHeight="1">
      <c r="A384" s="30" t="s">
        <v>1580</v>
      </c>
      <c r="B384" s="31" t="s">
        <v>806</v>
      </c>
      <c r="C384" s="31" t="s">
        <v>10</v>
      </c>
      <c r="D384" s="31" t="s">
        <v>740</v>
      </c>
      <c r="E384" s="31" t="s">
        <v>185</v>
      </c>
      <c r="F384" s="31" t="s">
        <v>807</v>
      </c>
      <c r="G384" s="31" t="s">
        <v>1581</v>
      </c>
      <c r="H384" s="31" t="s">
        <v>68</v>
      </c>
      <c r="I384" s="31" t="s">
        <v>341</v>
      </c>
      <c r="J384" s="31" t="s">
        <v>110</v>
      </c>
      <c r="K384" s="31" t="s">
        <v>849</v>
      </c>
      <c r="L384" s="31" t="s">
        <v>814</v>
      </c>
      <c r="M384" s="32" t="s">
        <v>815</v>
      </c>
      <c r="N384" s="33" t="s">
        <v>850</v>
      </c>
      <c r="O384" s="34" t="s">
        <v>851</v>
      </c>
    </row>
    <row r="385" ht="54.0" customHeight="1">
      <c r="A385" s="30" t="s">
        <v>1582</v>
      </c>
      <c r="B385" s="31" t="s">
        <v>806</v>
      </c>
      <c r="C385" s="31" t="s">
        <v>10</v>
      </c>
      <c r="D385" s="31" t="s">
        <v>740</v>
      </c>
      <c r="E385" s="31" t="s">
        <v>185</v>
      </c>
      <c r="F385" s="31" t="s">
        <v>807</v>
      </c>
      <c r="G385" s="31" t="s">
        <v>1583</v>
      </c>
      <c r="H385" s="31" t="s">
        <v>68</v>
      </c>
      <c r="I385" s="31" t="s">
        <v>341</v>
      </c>
      <c r="J385" s="31" t="s">
        <v>110</v>
      </c>
      <c r="K385" s="31" t="s">
        <v>849</v>
      </c>
      <c r="L385" s="31" t="s">
        <v>814</v>
      </c>
      <c r="M385" s="32" t="s">
        <v>815</v>
      </c>
      <c r="N385" s="33" t="s">
        <v>850</v>
      </c>
      <c r="O385" s="34" t="s">
        <v>851</v>
      </c>
    </row>
    <row r="386" ht="54.0" customHeight="1">
      <c r="A386" s="30" t="s">
        <v>1584</v>
      </c>
      <c r="B386" s="31" t="s">
        <v>816</v>
      </c>
      <c r="C386" s="31" t="s">
        <v>10</v>
      </c>
      <c r="D386" s="31" t="s">
        <v>740</v>
      </c>
      <c r="E386" s="31" t="s">
        <v>728</v>
      </c>
      <c r="F386" s="31" t="s">
        <v>817</v>
      </c>
      <c r="G386" s="31" t="s">
        <v>1585</v>
      </c>
      <c r="H386" s="31" t="s">
        <v>64</v>
      </c>
      <c r="I386" s="31" t="s">
        <v>123</v>
      </c>
      <c r="J386" s="31" t="s">
        <v>110</v>
      </c>
      <c r="K386" s="31" t="s">
        <v>849</v>
      </c>
      <c r="L386" s="31" t="s">
        <v>824</v>
      </c>
      <c r="M386" s="32" t="s">
        <v>825</v>
      </c>
      <c r="N386" s="33" t="s">
        <v>850</v>
      </c>
      <c r="O386" s="34" t="s">
        <v>851</v>
      </c>
    </row>
    <row r="387" ht="54.0" customHeight="1">
      <c r="A387" s="30" t="s">
        <v>1586</v>
      </c>
      <c r="B387" s="31" t="s">
        <v>816</v>
      </c>
      <c r="C387" s="31" t="s">
        <v>10</v>
      </c>
      <c r="D387" s="31" t="s">
        <v>740</v>
      </c>
      <c r="E387" s="31" t="s">
        <v>728</v>
      </c>
      <c r="F387" s="31" t="s">
        <v>817</v>
      </c>
      <c r="G387" s="31" t="s">
        <v>1587</v>
      </c>
      <c r="H387" s="31" t="s">
        <v>64</v>
      </c>
      <c r="I387" s="31" t="s">
        <v>123</v>
      </c>
      <c r="J387" s="31" t="s">
        <v>110</v>
      </c>
      <c r="K387" s="31" t="s">
        <v>849</v>
      </c>
      <c r="L387" s="31" t="s">
        <v>824</v>
      </c>
      <c r="M387" s="32" t="s">
        <v>825</v>
      </c>
      <c r="N387" s="33" t="s">
        <v>850</v>
      </c>
      <c r="O387" s="34" t="s">
        <v>851</v>
      </c>
    </row>
    <row r="388" ht="54.0" customHeight="1">
      <c r="A388" s="30" t="s">
        <v>1588</v>
      </c>
      <c r="B388" s="31" t="s">
        <v>816</v>
      </c>
      <c r="C388" s="31" t="s">
        <v>10</v>
      </c>
      <c r="D388" s="31" t="s">
        <v>740</v>
      </c>
      <c r="E388" s="31" t="s">
        <v>728</v>
      </c>
      <c r="F388" s="31" t="s">
        <v>817</v>
      </c>
      <c r="G388" s="31" t="s">
        <v>1589</v>
      </c>
      <c r="H388" s="31" t="s">
        <v>64</v>
      </c>
      <c r="I388" s="31" t="s">
        <v>123</v>
      </c>
      <c r="J388" s="31" t="s">
        <v>110</v>
      </c>
      <c r="K388" s="31" t="s">
        <v>849</v>
      </c>
      <c r="L388" s="31" t="s">
        <v>824</v>
      </c>
      <c r="M388" s="32" t="s">
        <v>825</v>
      </c>
      <c r="N388" s="33" t="s">
        <v>850</v>
      </c>
      <c r="O388" s="34" t="s">
        <v>851</v>
      </c>
    </row>
    <row r="389" ht="54.0" customHeight="1">
      <c r="A389" s="30" t="s">
        <v>1590</v>
      </c>
      <c r="B389" s="31" t="s">
        <v>816</v>
      </c>
      <c r="C389" s="31" t="s">
        <v>10</v>
      </c>
      <c r="D389" s="31" t="s">
        <v>740</v>
      </c>
      <c r="E389" s="31" t="s">
        <v>728</v>
      </c>
      <c r="F389" s="31" t="s">
        <v>817</v>
      </c>
      <c r="G389" s="31" t="s">
        <v>1591</v>
      </c>
      <c r="H389" s="31" t="s">
        <v>64</v>
      </c>
      <c r="I389" s="31" t="s">
        <v>123</v>
      </c>
      <c r="J389" s="31" t="s">
        <v>110</v>
      </c>
      <c r="K389" s="31" t="s">
        <v>849</v>
      </c>
      <c r="L389" s="31" t="s">
        <v>824</v>
      </c>
      <c r="M389" s="32" t="s">
        <v>825</v>
      </c>
      <c r="N389" s="33" t="s">
        <v>850</v>
      </c>
      <c r="O389" s="34" t="s">
        <v>851</v>
      </c>
    </row>
    <row r="390" ht="54.0" customHeight="1">
      <c r="A390" s="30" t="s">
        <v>1592</v>
      </c>
      <c r="B390" s="31" t="s">
        <v>816</v>
      </c>
      <c r="C390" s="31" t="s">
        <v>10</v>
      </c>
      <c r="D390" s="31" t="s">
        <v>740</v>
      </c>
      <c r="E390" s="31" t="s">
        <v>728</v>
      </c>
      <c r="F390" s="31" t="s">
        <v>817</v>
      </c>
      <c r="G390" s="31" t="s">
        <v>1593</v>
      </c>
      <c r="H390" s="31" t="s">
        <v>64</v>
      </c>
      <c r="I390" s="31" t="s">
        <v>123</v>
      </c>
      <c r="J390" s="31" t="s">
        <v>110</v>
      </c>
      <c r="K390" s="31" t="s">
        <v>849</v>
      </c>
      <c r="L390" s="31" t="s">
        <v>824</v>
      </c>
      <c r="M390" s="32" t="s">
        <v>825</v>
      </c>
      <c r="N390" s="33" t="s">
        <v>850</v>
      </c>
      <c r="O390" s="34" t="s">
        <v>851</v>
      </c>
    </row>
    <row r="391" ht="54.0" customHeight="1">
      <c r="A391" s="30" t="s">
        <v>1594</v>
      </c>
      <c r="B391" s="31" t="s">
        <v>816</v>
      </c>
      <c r="C391" s="31" t="s">
        <v>10</v>
      </c>
      <c r="D391" s="31" t="s">
        <v>740</v>
      </c>
      <c r="E391" s="31" t="s">
        <v>728</v>
      </c>
      <c r="F391" s="31" t="s">
        <v>817</v>
      </c>
      <c r="G391" s="31" t="s">
        <v>869</v>
      </c>
      <c r="H391" s="31" t="s">
        <v>64</v>
      </c>
      <c r="I391" s="31" t="s">
        <v>123</v>
      </c>
      <c r="J391" s="31" t="s">
        <v>110</v>
      </c>
      <c r="K391" s="31" t="s">
        <v>849</v>
      </c>
      <c r="L391" s="31" t="s">
        <v>824</v>
      </c>
      <c r="M391" s="32" t="s">
        <v>825</v>
      </c>
      <c r="N391" s="33" t="s">
        <v>850</v>
      </c>
      <c r="O391" s="34" t="s">
        <v>851</v>
      </c>
    </row>
    <row r="392" ht="54.0" customHeight="1">
      <c r="A392" s="30" t="s">
        <v>1595</v>
      </c>
      <c r="B392" s="31" t="s">
        <v>816</v>
      </c>
      <c r="C392" s="31" t="s">
        <v>10</v>
      </c>
      <c r="D392" s="31" t="s">
        <v>740</v>
      </c>
      <c r="E392" s="31" t="s">
        <v>728</v>
      </c>
      <c r="F392" s="31" t="s">
        <v>817</v>
      </c>
      <c r="G392" s="31" t="s">
        <v>1596</v>
      </c>
      <c r="H392" s="31" t="s">
        <v>64</v>
      </c>
      <c r="I392" s="31" t="s">
        <v>123</v>
      </c>
      <c r="J392" s="31" t="s">
        <v>110</v>
      </c>
      <c r="K392" s="31" t="s">
        <v>849</v>
      </c>
      <c r="L392" s="31" t="s">
        <v>824</v>
      </c>
      <c r="M392" s="32" t="s">
        <v>825</v>
      </c>
      <c r="N392" s="33" t="s">
        <v>850</v>
      </c>
      <c r="O392" s="34" t="s">
        <v>851</v>
      </c>
    </row>
    <row r="393" ht="54.0" customHeight="1">
      <c r="A393" s="30" t="s">
        <v>1597</v>
      </c>
      <c r="B393" s="31" t="s">
        <v>826</v>
      </c>
      <c r="C393" s="31" t="s">
        <v>10</v>
      </c>
      <c r="D393" s="31" t="s">
        <v>740</v>
      </c>
      <c r="E393" s="31" t="s">
        <v>99</v>
      </c>
      <c r="F393" s="31" t="s">
        <v>827</v>
      </c>
      <c r="G393" s="31" t="s">
        <v>1598</v>
      </c>
      <c r="H393" s="31" t="s">
        <v>70</v>
      </c>
      <c r="I393" s="31" t="s">
        <v>321</v>
      </c>
      <c r="J393" s="31" t="s">
        <v>110</v>
      </c>
      <c r="K393" s="31" t="s">
        <v>849</v>
      </c>
      <c r="L393" s="31" t="s">
        <v>834</v>
      </c>
      <c r="M393" s="32" t="s">
        <v>835</v>
      </c>
      <c r="N393" s="33" t="s">
        <v>850</v>
      </c>
      <c r="O393" s="34" t="s">
        <v>851</v>
      </c>
    </row>
    <row r="394" ht="54.0" customHeight="1">
      <c r="A394" s="30" t="s">
        <v>1599</v>
      </c>
      <c r="B394" s="31" t="s">
        <v>826</v>
      </c>
      <c r="C394" s="31" t="s">
        <v>10</v>
      </c>
      <c r="D394" s="31" t="s">
        <v>740</v>
      </c>
      <c r="E394" s="31" t="s">
        <v>99</v>
      </c>
      <c r="F394" s="31" t="s">
        <v>827</v>
      </c>
      <c r="G394" s="31" t="s">
        <v>1600</v>
      </c>
      <c r="H394" s="31" t="s">
        <v>70</v>
      </c>
      <c r="I394" s="31" t="s">
        <v>321</v>
      </c>
      <c r="J394" s="31" t="s">
        <v>110</v>
      </c>
      <c r="K394" s="31" t="s">
        <v>849</v>
      </c>
      <c r="L394" s="31" t="s">
        <v>834</v>
      </c>
      <c r="M394" s="32" t="s">
        <v>835</v>
      </c>
      <c r="N394" s="33" t="s">
        <v>850</v>
      </c>
      <c r="O394" s="34" t="s">
        <v>851</v>
      </c>
    </row>
    <row r="395" ht="54.0" customHeight="1">
      <c r="A395" s="30" t="s">
        <v>1601</v>
      </c>
      <c r="B395" s="31" t="s">
        <v>826</v>
      </c>
      <c r="C395" s="31" t="s">
        <v>10</v>
      </c>
      <c r="D395" s="31" t="s">
        <v>740</v>
      </c>
      <c r="E395" s="31" t="s">
        <v>99</v>
      </c>
      <c r="F395" s="31" t="s">
        <v>827</v>
      </c>
      <c r="G395" s="31" t="s">
        <v>1602</v>
      </c>
      <c r="H395" s="31" t="s">
        <v>70</v>
      </c>
      <c r="I395" s="31" t="s">
        <v>321</v>
      </c>
      <c r="J395" s="31" t="s">
        <v>110</v>
      </c>
      <c r="K395" s="31" t="s">
        <v>849</v>
      </c>
      <c r="L395" s="31" t="s">
        <v>834</v>
      </c>
      <c r="M395" s="32" t="s">
        <v>835</v>
      </c>
      <c r="N395" s="33" t="s">
        <v>850</v>
      </c>
      <c r="O395" s="34" t="s">
        <v>851</v>
      </c>
    </row>
    <row r="396" ht="54.0" customHeight="1">
      <c r="A396" s="30" t="s">
        <v>1603</v>
      </c>
      <c r="B396" s="31" t="s">
        <v>826</v>
      </c>
      <c r="C396" s="31" t="s">
        <v>10</v>
      </c>
      <c r="D396" s="31" t="s">
        <v>740</v>
      </c>
      <c r="E396" s="31" t="s">
        <v>99</v>
      </c>
      <c r="F396" s="31" t="s">
        <v>827</v>
      </c>
      <c r="G396" s="31" t="s">
        <v>1604</v>
      </c>
      <c r="H396" s="31" t="s">
        <v>70</v>
      </c>
      <c r="I396" s="31" t="s">
        <v>321</v>
      </c>
      <c r="J396" s="31" t="s">
        <v>110</v>
      </c>
      <c r="K396" s="31" t="s">
        <v>849</v>
      </c>
      <c r="L396" s="31" t="s">
        <v>834</v>
      </c>
      <c r="M396" s="32" t="s">
        <v>835</v>
      </c>
      <c r="N396" s="33" t="s">
        <v>850</v>
      </c>
      <c r="O396" s="34" t="s">
        <v>851</v>
      </c>
    </row>
    <row r="397" ht="54.0" customHeight="1">
      <c r="A397" s="30" t="s">
        <v>1605</v>
      </c>
      <c r="B397" s="31" t="s">
        <v>826</v>
      </c>
      <c r="C397" s="31" t="s">
        <v>10</v>
      </c>
      <c r="D397" s="31" t="s">
        <v>740</v>
      </c>
      <c r="E397" s="31" t="s">
        <v>99</v>
      </c>
      <c r="F397" s="31" t="s">
        <v>827</v>
      </c>
      <c r="G397" s="31" t="s">
        <v>1606</v>
      </c>
      <c r="H397" s="31" t="s">
        <v>70</v>
      </c>
      <c r="I397" s="31" t="s">
        <v>321</v>
      </c>
      <c r="J397" s="31" t="s">
        <v>110</v>
      </c>
      <c r="K397" s="31" t="s">
        <v>849</v>
      </c>
      <c r="L397" s="31" t="s">
        <v>834</v>
      </c>
      <c r="M397" s="32" t="s">
        <v>835</v>
      </c>
      <c r="N397" s="33" t="s">
        <v>850</v>
      </c>
      <c r="O397" s="34" t="s">
        <v>851</v>
      </c>
    </row>
    <row r="398" ht="54.0" customHeight="1">
      <c r="A398" s="30" t="s">
        <v>1607</v>
      </c>
      <c r="B398" s="31" t="s">
        <v>826</v>
      </c>
      <c r="C398" s="31" t="s">
        <v>10</v>
      </c>
      <c r="D398" s="31" t="s">
        <v>740</v>
      </c>
      <c r="E398" s="31" t="s">
        <v>99</v>
      </c>
      <c r="F398" s="31" t="s">
        <v>827</v>
      </c>
      <c r="G398" s="31" t="s">
        <v>1608</v>
      </c>
      <c r="H398" s="31" t="s">
        <v>70</v>
      </c>
      <c r="I398" s="31" t="s">
        <v>321</v>
      </c>
      <c r="J398" s="31" t="s">
        <v>110</v>
      </c>
      <c r="K398" s="31" t="s">
        <v>849</v>
      </c>
      <c r="L398" s="31" t="s">
        <v>834</v>
      </c>
      <c r="M398" s="32" t="s">
        <v>835</v>
      </c>
      <c r="N398" s="33" t="s">
        <v>850</v>
      </c>
      <c r="O398" s="34" t="s">
        <v>851</v>
      </c>
    </row>
    <row r="399" ht="54.0" customHeight="1">
      <c r="A399" s="35" t="s">
        <v>1609</v>
      </c>
      <c r="B399" s="36" t="s">
        <v>826</v>
      </c>
      <c r="C399" s="36" t="s">
        <v>10</v>
      </c>
      <c r="D399" s="36" t="s">
        <v>740</v>
      </c>
      <c r="E399" s="36" t="s">
        <v>99</v>
      </c>
      <c r="F399" s="36" t="s">
        <v>827</v>
      </c>
      <c r="G399" s="36" t="s">
        <v>1610</v>
      </c>
      <c r="H399" s="36" t="s">
        <v>70</v>
      </c>
      <c r="I399" s="36" t="s">
        <v>321</v>
      </c>
      <c r="J399" s="36" t="s">
        <v>110</v>
      </c>
      <c r="K399" s="36" t="s">
        <v>849</v>
      </c>
      <c r="L399" s="36" t="s">
        <v>834</v>
      </c>
      <c r="M399" s="37" t="s">
        <v>835</v>
      </c>
      <c r="N399" s="38" t="s">
        <v>850</v>
      </c>
      <c r="O399" s="39" t="s">
        <v>851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6.0"/>
    <col customWidth="1" min="4" max="4" width="32.0"/>
    <col customWidth="1" min="5" max="5" width="44.0"/>
    <col customWidth="1" min="6" max="6" width="24.0"/>
    <col customWidth="1" min="7" max="7" width="42.0"/>
    <col customWidth="1" min="8" max="8" width="50.0"/>
    <col customWidth="1" min="9" max="9" width="62.0"/>
    <col customWidth="1" min="10" max="10" width="42.0"/>
    <col customWidth="1" min="11" max="26" width="8.63"/>
  </cols>
  <sheetData>
    <row r="1" ht="27.75" customHeight="1">
      <c r="A1" s="2" t="s">
        <v>1611</v>
      </c>
    </row>
    <row r="2" ht="36.0" customHeight="1">
      <c r="A2" s="4" t="s">
        <v>1612</v>
      </c>
    </row>
    <row r="4">
      <c r="A4" s="40" t="s">
        <v>1613</v>
      </c>
      <c r="B4" s="41" t="s">
        <v>76</v>
      </c>
      <c r="C4" s="41" t="s">
        <v>4</v>
      </c>
      <c r="D4" s="41" t="s">
        <v>80</v>
      </c>
      <c r="E4" s="41" t="s">
        <v>1614</v>
      </c>
      <c r="F4" s="41" t="s">
        <v>1615</v>
      </c>
      <c r="G4" s="41" t="s">
        <v>1616</v>
      </c>
      <c r="H4" s="41" t="s">
        <v>1617</v>
      </c>
      <c r="I4" s="41" t="s">
        <v>1618</v>
      </c>
      <c r="J4" s="42" t="s">
        <v>1619</v>
      </c>
    </row>
    <row r="5" ht="63.75" customHeight="1">
      <c r="A5" s="30" t="s">
        <v>1620</v>
      </c>
      <c r="B5" s="31" t="s">
        <v>97</v>
      </c>
      <c r="C5" s="31" t="s">
        <v>1621</v>
      </c>
      <c r="D5" s="31" t="s">
        <v>100</v>
      </c>
      <c r="E5" s="31" t="s">
        <v>1622</v>
      </c>
      <c r="F5" s="31" t="s">
        <v>1623</v>
      </c>
      <c r="G5" s="31" t="s">
        <v>109</v>
      </c>
      <c r="H5" s="31" t="s">
        <v>1624</v>
      </c>
      <c r="I5" s="31"/>
      <c r="J5" s="32" t="s">
        <v>1625</v>
      </c>
    </row>
    <row r="6" ht="63.75" customHeight="1">
      <c r="A6" s="30" t="s">
        <v>1626</v>
      </c>
      <c r="B6" s="31" t="s">
        <v>118</v>
      </c>
      <c r="C6" s="31" t="s">
        <v>1621</v>
      </c>
      <c r="D6" s="31" t="s">
        <v>120</v>
      </c>
      <c r="E6" s="31" t="s">
        <v>1627</v>
      </c>
      <c r="F6" s="31" t="s">
        <v>1628</v>
      </c>
      <c r="G6" s="31" t="s">
        <v>128</v>
      </c>
      <c r="H6" s="31" t="s">
        <v>1629</v>
      </c>
      <c r="I6" s="31" t="s">
        <v>1630</v>
      </c>
      <c r="J6" s="32" t="s">
        <v>1631</v>
      </c>
    </row>
    <row r="7" ht="63.75" customHeight="1">
      <c r="A7" s="30" t="s">
        <v>1632</v>
      </c>
      <c r="B7" s="31" t="s">
        <v>118</v>
      </c>
      <c r="C7" s="31" t="s">
        <v>1621</v>
      </c>
      <c r="D7" s="31" t="s">
        <v>120</v>
      </c>
      <c r="E7" s="31" t="s">
        <v>1633</v>
      </c>
      <c r="F7" s="31" t="s">
        <v>1634</v>
      </c>
      <c r="G7" s="31" t="s">
        <v>128</v>
      </c>
      <c r="H7" s="31" t="s">
        <v>1635</v>
      </c>
      <c r="I7" s="31" t="s">
        <v>1636</v>
      </c>
      <c r="J7" s="32" t="s">
        <v>1637</v>
      </c>
    </row>
    <row r="8" ht="63.75" customHeight="1">
      <c r="A8" s="30" t="s">
        <v>1638</v>
      </c>
      <c r="B8" s="31" t="s">
        <v>134</v>
      </c>
      <c r="C8" s="31" t="s">
        <v>1621</v>
      </c>
      <c r="D8" s="31" t="s">
        <v>135</v>
      </c>
      <c r="E8" s="31" t="s">
        <v>1627</v>
      </c>
      <c r="F8" s="31" t="s">
        <v>1628</v>
      </c>
      <c r="G8" s="31" t="s">
        <v>142</v>
      </c>
      <c r="H8" s="31" t="s">
        <v>1629</v>
      </c>
      <c r="I8" s="31" t="s">
        <v>1630</v>
      </c>
      <c r="J8" s="32" t="s">
        <v>1631</v>
      </c>
    </row>
    <row r="9" ht="63.75" customHeight="1">
      <c r="A9" s="30" t="s">
        <v>1639</v>
      </c>
      <c r="B9" s="31" t="s">
        <v>134</v>
      </c>
      <c r="C9" s="31" t="s">
        <v>1621</v>
      </c>
      <c r="D9" s="31" t="s">
        <v>135</v>
      </c>
      <c r="E9" s="31" t="s">
        <v>1633</v>
      </c>
      <c r="F9" s="31" t="s">
        <v>1634</v>
      </c>
      <c r="G9" s="31" t="s">
        <v>142</v>
      </c>
      <c r="H9" s="31" t="s">
        <v>1635</v>
      </c>
      <c r="I9" s="31" t="s">
        <v>1636</v>
      </c>
      <c r="J9" s="32" t="s">
        <v>1637</v>
      </c>
    </row>
    <row r="10" ht="63.75" customHeight="1">
      <c r="A10" s="30" t="s">
        <v>1640</v>
      </c>
      <c r="B10" s="31" t="s">
        <v>146</v>
      </c>
      <c r="C10" s="31" t="s">
        <v>1621</v>
      </c>
      <c r="D10" s="31" t="s">
        <v>148</v>
      </c>
      <c r="E10" s="31" t="s">
        <v>1627</v>
      </c>
      <c r="F10" s="31" t="s">
        <v>1628</v>
      </c>
      <c r="G10" s="31" t="s">
        <v>156</v>
      </c>
      <c r="H10" s="31" t="s">
        <v>1629</v>
      </c>
      <c r="I10" s="31" t="s">
        <v>1630</v>
      </c>
      <c r="J10" s="32" t="s">
        <v>1631</v>
      </c>
    </row>
    <row r="11" ht="63.75" customHeight="1">
      <c r="A11" s="30" t="s">
        <v>1641</v>
      </c>
      <c r="B11" s="31" t="s">
        <v>146</v>
      </c>
      <c r="C11" s="31" t="s">
        <v>1621</v>
      </c>
      <c r="D11" s="31" t="s">
        <v>148</v>
      </c>
      <c r="E11" s="31" t="s">
        <v>1633</v>
      </c>
      <c r="F11" s="31" t="s">
        <v>1634</v>
      </c>
      <c r="G11" s="31" t="s">
        <v>156</v>
      </c>
      <c r="H11" s="31" t="s">
        <v>1635</v>
      </c>
      <c r="I11" s="31" t="s">
        <v>1636</v>
      </c>
      <c r="J11" s="32" t="s">
        <v>1637</v>
      </c>
    </row>
    <row r="12" ht="63.75" customHeight="1">
      <c r="A12" s="30" t="s">
        <v>1642</v>
      </c>
      <c r="B12" s="31" t="s">
        <v>160</v>
      </c>
      <c r="C12" s="31" t="s">
        <v>1621</v>
      </c>
      <c r="D12" s="31" t="s">
        <v>162</v>
      </c>
      <c r="E12" s="31" t="s">
        <v>1627</v>
      </c>
      <c r="F12" s="31" t="s">
        <v>1628</v>
      </c>
      <c r="G12" s="31" t="s">
        <v>168</v>
      </c>
      <c r="H12" s="31" t="s">
        <v>1629</v>
      </c>
      <c r="I12" s="31" t="s">
        <v>1630</v>
      </c>
      <c r="J12" s="32" t="s">
        <v>1631</v>
      </c>
    </row>
    <row r="13" ht="63.75" customHeight="1">
      <c r="A13" s="30" t="s">
        <v>1643</v>
      </c>
      <c r="B13" s="31" t="s">
        <v>160</v>
      </c>
      <c r="C13" s="31" t="s">
        <v>1621</v>
      </c>
      <c r="D13" s="31" t="s">
        <v>162</v>
      </c>
      <c r="E13" s="31" t="s">
        <v>1633</v>
      </c>
      <c r="F13" s="31" t="s">
        <v>1634</v>
      </c>
      <c r="G13" s="31" t="s">
        <v>168</v>
      </c>
      <c r="H13" s="31" t="s">
        <v>1635</v>
      </c>
      <c r="I13" s="31" t="s">
        <v>1636</v>
      </c>
      <c r="J13" s="32" t="s">
        <v>1637</v>
      </c>
    </row>
    <row r="14" ht="63.75" customHeight="1">
      <c r="A14" s="30" t="s">
        <v>1644</v>
      </c>
      <c r="B14" s="31" t="s">
        <v>171</v>
      </c>
      <c r="C14" s="31" t="s">
        <v>1621</v>
      </c>
      <c r="D14" s="31" t="s">
        <v>173</v>
      </c>
      <c r="E14" s="31" t="s">
        <v>1627</v>
      </c>
      <c r="F14" s="31" t="s">
        <v>1628</v>
      </c>
      <c r="G14" s="31" t="s">
        <v>180</v>
      </c>
      <c r="H14" s="31" t="s">
        <v>1629</v>
      </c>
      <c r="I14" s="31" t="s">
        <v>1630</v>
      </c>
      <c r="J14" s="32" t="s">
        <v>1631</v>
      </c>
    </row>
    <row r="15" ht="63.75" customHeight="1">
      <c r="A15" s="30" t="s">
        <v>1645</v>
      </c>
      <c r="B15" s="31" t="s">
        <v>171</v>
      </c>
      <c r="C15" s="31" t="s">
        <v>1621</v>
      </c>
      <c r="D15" s="31" t="s">
        <v>173</v>
      </c>
      <c r="E15" s="31" t="s">
        <v>1633</v>
      </c>
      <c r="F15" s="31" t="s">
        <v>1634</v>
      </c>
      <c r="G15" s="31" t="s">
        <v>180</v>
      </c>
      <c r="H15" s="31" t="s">
        <v>1635</v>
      </c>
      <c r="I15" s="31" t="s">
        <v>1636</v>
      </c>
      <c r="J15" s="32" t="s">
        <v>1637</v>
      </c>
    </row>
    <row r="16" ht="63.75" customHeight="1">
      <c r="A16" s="30" t="s">
        <v>1646</v>
      </c>
      <c r="B16" s="31" t="s">
        <v>184</v>
      </c>
      <c r="C16" s="31" t="s">
        <v>1621</v>
      </c>
      <c r="D16" s="31" t="s">
        <v>186</v>
      </c>
      <c r="E16" s="31" t="s">
        <v>1627</v>
      </c>
      <c r="F16" s="31" t="s">
        <v>1628</v>
      </c>
      <c r="G16" s="31" t="s">
        <v>192</v>
      </c>
      <c r="H16" s="31" t="s">
        <v>1629</v>
      </c>
      <c r="I16" s="31" t="s">
        <v>1630</v>
      </c>
      <c r="J16" s="32" t="s">
        <v>1631</v>
      </c>
    </row>
    <row r="17" ht="63.75" customHeight="1">
      <c r="A17" s="30" t="s">
        <v>1647</v>
      </c>
      <c r="B17" s="31" t="s">
        <v>184</v>
      </c>
      <c r="C17" s="31" t="s">
        <v>1621</v>
      </c>
      <c r="D17" s="31" t="s">
        <v>186</v>
      </c>
      <c r="E17" s="31" t="s">
        <v>1633</v>
      </c>
      <c r="F17" s="31" t="s">
        <v>1634</v>
      </c>
      <c r="G17" s="31" t="s">
        <v>192</v>
      </c>
      <c r="H17" s="31" t="s">
        <v>1635</v>
      </c>
      <c r="I17" s="31" t="s">
        <v>1636</v>
      </c>
      <c r="J17" s="32" t="s">
        <v>1637</v>
      </c>
    </row>
    <row r="18" ht="63.75" customHeight="1">
      <c r="A18" s="30" t="s">
        <v>1648</v>
      </c>
      <c r="B18" s="31" t="s">
        <v>195</v>
      </c>
      <c r="C18" s="31" t="s">
        <v>1621</v>
      </c>
      <c r="D18" s="31" t="s">
        <v>197</v>
      </c>
      <c r="E18" s="31" t="s">
        <v>1633</v>
      </c>
      <c r="F18" s="31" t="s">
        <v>1634</v>
      </c>
      <c r="G18" s="31" t="s">
        <v>204</v>
      </c>
      <c r="H18" s="31" t="s">
        <v>1635</v>
      </c>
      <c r="I18" s="31" t="s">
        <v>1636</v>
      </c>
      <c r="J18" s="32" t="s">
        <v>1637</v>
      </c>
    </row>
    <row r="19" ht="63.75" customHeight="1">
      <c r="A19" s="30" t="s">
        <v>1649</v>
      </c>
      <c r="B19" s="31" t="s">
        <v>208</v>
      </c>
      <c r="C19" s="31" t="s">
        <v>1650</v>
      </c>
      <c r="D19" s="31" t="s">
        <v>210</v>
      </c>
      <c r="E19" s="31" t="s">
        <v>1627</v>
      </c>
      <c r="F19" s="31" t="s">
        <v>1628</v>
      </c>
      <c r="G19" s="31" t="s">
        <v>217</v>
      </c>
      <c r="H19" s="31" t="s">
        <v>1629</v>
      </c>
      <c r="I19" s="31" t="s">
        <v>1630</v>
      </c>
      <c r="J19" s="32" t="s">
        <v>1631</v>
      </c>
    </row>
    <row r="20" ht="63.75" customHeight="1">
      <c r="A20" s="30" t="s">
        <v>1651</v>
      </c>
      <c r="B20" s="31" t="s">
        <v>222</v>
      </c>
      <c r="C20" s="31" t="s">
        <v>1650</v>
      </c>
      <c r="D20" s="31" t="s">
        <v>223</v>
      </c>
      <c r="E20" s="31" t="s">
        <v>1627</v>
      </c>
      <c r="F20" s="31" t="s">
        <v>1628</v>
      </c>
      <c r="G20" s="31" t="s">
        <v>230</v>
      </c>
      <c r="H20" s="31" t="s">
        <v>1629</v>
      </c>
      <c r="I20" s="31" t="s">
        <v>1630</v>
      </c>
      <c r="J20" s="32" t="s">
        <v>1631</v>
      </c>
    </row>
    <row r="21" ht="63.75" customHeight="1">
      <c r="A21" s="30" t="s">
        <v>1652</v>
      </c>
      <c r="B21" s="31" t="s">
        <v>222</v>
      </c>
      <c r="C21" s="31" t="s">
        <v>1650</v>
      </c>
      <c r="D21" s="31" t="s">
        <v>223</v>
      </c>
      <c r="E21" s="31" t="s">
        <v>1633</v>
      </c>
      <c r="F21" s="31" t="s">
        <v>1634</v>
      </c>
      <c r="G21" s="31" t="s">
        <v>230</v>
      </c>
      <c r="H21" s="31" t="s">
        <v>1635</v>
      </c>
      <c r="I21" s="31" t="s">
        <v>1636</v>
      </c>
      <c r="J21" s="32" t="s">
        <v>1637</v>
      </c>
    </row>
    <row r="22" ht="63.75" customHeight="1">
      <c r="A22" s="30" t="s">
        <v>1653</v>
      </c>
      <c r="B22" s="31" t="s">
        <v>233</v>
      </c>
      <c r="C22" s="31" t="s">
        <v>1650</v>
      </c>
      <c r="D22" s="31" t="s">
        <v>234</v>
      </c>
      <c r="E22" s="31" t="s">
        <v>1627</v>
      </c>
      <c r="F22" s="31" t="s">
        <v>1628</v>
      </c>
      <c r="G22" s="31" t="s">
        <v>239</v>
      </c>
      <c r="H22" s="31" t="s">
        <v>1629</v>
      </c>
      <c r="I22" s="31" t="s">
        <v>1630</v>
      </c>
      <c r="J22" s="32" t="s">
        <v>1631</v>
      </c>
    </row>
    <row r="23" ht="63.75" customHeight="1">
      <c r="A23" s="30" t="s">
        <v>1654</v>
      </c>
      <c r="B23" s="31" t="s">
        <v>241</v>
      </c>
      <c r="C23" s="31" t="s">
        <v>1650</v>
      </c>
      <c r="D23" s="31" t="s">
        <v>242</v>
      </c>
      <c r="E23" s="31" t="s">
        <v>1627</v>
      </c>
      <c r="F23" s="31" t="s">
        <v>1628</v>
      </c>
      <c r="G23" s="31" t="s">
        <v>247</v>
      </c>
      <c r="H23" s="31" t="s">
        <v>1629</v>
      </c>
      <c r="I23" s="31" t="s">
        <v>1630</v>
      </c>
      <c r="J23" s="32" t="s">
        <v>1631</v>
      </c>
    </row>
    <row r="24" ht="63.75" customHeight="1">
      <c r="A24" s="30" t="s">
        <v>1655</v>
      </c>
      <c r="B24" s="31" t="s">
        <v>241</v>
      </c>
      <c r="C24" s="31" t="s">
        <v>1650</v>
      </c>
      <c r="D24" s="31" t="s">
        <v>242</v>
      </c>
      <c r="E24" s="31" t="s">
        <v>1633</v>
      </c>
      <c r="F24" s="31" t="s">
        <v>1634</v>
      </c>
      <c r="G24" s="31" t="s">
        <v>247</v>
      </c>
      <c r="H24" s="31" t="s">
        <v>1635</v>
      </c>
      <c r="I24" s="31" t="s">
        <v>1636</v>
      </c>
      <c r="J24" s="32" t="s">
        <v>1637</v>
      </c>
    </row>
    <row r="25" ht="63.75" customHeight="1">
      <c r="A25" s="30" t="s">
        <v>1656</v>
      </c>
      <c r="B25" s="31" t="s">
        <v>250</v>
      </c>
      <c r="C25" s="31" t="s">
        <v>1650</v>
      </c>
      <c r="D25" s="31" t="s">
        <v>251</v>
      </c>
      <c r="E25" s="31" t="s">
        <v>1627</v>
      </c>
      <c r="F25" s="31" t="s">
        <v>1628</v>
      </c>
      <c r="G25" s="31" t="s">
        <v>257</v>
      </c>
      <c r="H25" s="31" t="s">
        <v>1629</v>
      </c>
      <c r="I25" s="31" t="s">
        <v>1630</v>
      </c>
      <c r="J25" s="32" t="s">
        <v>1631</v>
      </c>
    </row>
    <row r="26" ht="63.75" customHeight="1">
      <c r="A26" s="30" t="s">
        <v>1657</v>
      </c>
      <c r="B26" s="31" t="s">
        <v>260</v>
      </c>
      <c r="C26" s="31" t="s">
        <v>1650</v>
      </c>
      <c r="D26" s="31" t="s">
        <v>261</v>
      </c>
      <c r="E26" s="31" t="s">
        <v>1627</v>
      </c>
      <c r="F26" s="31" t="s">
        <v>1628</v>
      </c>
      <c r="G26" s="31" t="s">
        <v>267</v>
      </c>
      <c r="H26" s="31" t="s">
        <v>1629</v>
      </c>
      <c r="I26" s="31" t="s">
        <v>1630</v>
      </c>
      <c r="J26" s="32" t="s">
        <v>1631</v>
      </c>
    </row>
    <row r="27" ht="63.75" customHeight="1">
      <c r="A27" s="30" t="s">
        <v>1658</v>
      </c>
      <c r="B27" s="31" t="s">
        <v>260</v>
      </c>
      <c r="C27" s="31" t="s">
        <v>1650</v>
      </c>
      <c r="D27" s="31" t="s">
        <v>261</v>
      </c>
      <c r="E27" s="31" t="s">
        <v>1633</v>
      </c>
      <c r="F27" s="31" t="s">
        <v>1634</v>
      </c>
      <c r="G27" s="31" t="s">
        <v>267</v>
      </c>
      <c r="H27" s="31" t="s">
        <v>1635</v>
      </c>
      <c r="I27" s="31" t="s">
        <v>1636</v>
      </c>
      <c r="J27" s="32" t="s">
        <v>1637</v>
      </c>
    </row>
    <row r="28" ht="63.75" customHeight="1">
      <c r="A28" s="30" t="s">
        <v>1659</v>
      </c>
      <c r="B28" s="31" t="s">
        <v>270</v>
      </c>
      <c r="C28" s="31" t="s">
        <v>1650</v>
      </c>
      <c r="D28" s="31" t="s">
        <v>271</v>
      </c>
      <c r="E28" s="31" t="s">
        <v>1627</v>
      </c>
      <c r="F28" s="31" t="s">
        <v>1628</v>
      </c>
      <c r="G28" s="31" t="s">
        <v>279</v>
      </c>
      <c r="H28" s="31" t="s">
        <v>1629</v>
      </c>
      <c r="I28" s="31" t="s">
        <v>1630</v>
      </c>
      <c r="J28" s="32" t="s">
        <v>1631</v>
      </c>
    </row>
    <row r="29" ht="63.75" customHeight="1">
      <c r="A29" s="30" t="s">
        <v>1660</v>
      </c>
      <c r="B29" s="31" t="s">
        <v>270</v>
      </c>
      <c r="C29" s="31" t="s">
        <v>1650</v>
      </c>
      <c r="D29" s="31" t="s">
        <v>271</v>
      </c>
      <c r="E29" s="31" t="s">
        <v>1661</v>
      </c>
      <c r="F29" s="31" t="s">
        <v>1662</v>
      </c>
      <c r="G29" s="31" t="s">
        <v>279</v>
      </c>
      <c r="H29" s="31" t="s">
        <v>1663</v>
      </c>
      <c r="I29" s="31" t="s">
        <v>1664</v>
      </c>
      <c r="J29" s="32" t="s">
        <v>1665</v>
      </c>
    </row>
    <row r="30" ht="63.75" customHeight="1">
      <c r="A30" s="30" t="s">
        <v>1666</v>
      </c>
      <c r="B30" s="31" t="s">
        <v>270</v>
      </c>
      <c r="C30" s="31" t="s">
        <v>1650</v>
      </c>
      <c r="D30" s="31" t="s">
        <v>271</v>
      </c>
      <c r="E30" s="31" t="s">
        <v>1633</v>
      </c>
      <c r="F30" s="31" t="s">
        <v>1634</v>
      </c>
      <c r="G30" s="31" t="s">
        <v>279</v>
      </c>
      <c r="H30" s="31" t="s">
        <v>1635</v>
      </c>
      <c r="I30" s="31" t="s">
        <v>1636</v>
      </c>
      <c r="J30" s="32" t="s">
        <v>1637</v>
      </c>
    </row>
    <row r="31" ht="63.75" customHeight="1">
      <c r="A31" s="30" t="s">
        <v>1667</v>
      </c>
      <c r="B31" s="31" t="s">
        <v>283</v>
      </c>
      <c r="C31" s="31" t="s">
        <v>1650</v>
      </c>
      <c r="D31" s="31" t="s">
        <v>285</v>
      </c>
      <c r="E31" s="31" t="s">
        <v>1627</v>
      </c>
      <c r="F31" s="31" t="s">
        <v>1628</v>
      </c>
      <c r="G31" s="31" t="s">
        <v>291</v>
      </c>
      <c r="H31" s="31" t="s">
        <v>1629</v>
      </c>
      <c r="I31" s="31" t="s">
        <v>1630</v>
      </c>
      <c r="J31" s="32" t="s">
        <v>1631</v>
      </c>
    </row>
    <row r="32" ht="63.75" customHeight="1">
      <c r="A32" s="30" t="s">
        <v>1668</v>
      </c>
      <c r="B32" s="31" t="s">
        <v>295</v>
      </c>
      <c r="C32" s="31" t="s">
        <v>1650</v>
      </c>
      <c r="D32" s="31" t="s">
        <v>296</v>
      </c>
      <c r="E32" s="31" t="s">
        <v>1627</v>
      </c>
      <c r="F32" s="31" t="s">
        <v>1628</v>
      </c>
      <c r="G32" s="31" t="s">
        <v>302</v>
      </c>
      <c r="H32" s="31" t="s">
        <v>1629</v>
      </c>
      <c r="I32" s="31" t="s">
        <v>1630</v>
      </c>
      <c r="J32" s="32" t="s">
        <v>1631</v>
      </c>
    </row>
    <row r="33" ht="63.75" customHeight="1">
      <c r="A33" s="30" t="s">
        <v>1669</v>
      </c>
      <c r="B33" s="31" t="s">
        <v>295</v>
      </c>
      <c r="C33" s="31" t="s">
        <v>1650</v>
      </c>
      <c r="D33" s="31" t="s">
        <v>296</v>
      </c>
      <c r="E33" s="31" t="s">
        <v>1633</v>
      </c>
      <c r="F33" s="31" t="s">
        <v>1634</v>
      </c>
      <c r="G33" s="31" t="s">
        <v>302</v>
      </c>
      <c r="H33" s="31" t="s">
        <v>1635</v>
      </c>
      <c r="I33" s="31" t="s">
        <v>1636</v>
      </c>
      <c r="J33" s="32" t="s">
        <v>1637</v>
      </c>
    </row>
    <row r="34" ht="63.75" customHeight="1">
      <c r="A34" s="30" t="s">
        <v>1670</v>
      </c>
      <c r="B34" s="31" t="s">
        <v>305</v>
      </c>
      <c r="C34" s="31" t="s">
        <v>1650</v>
      </c>
      <c r="D34" s="31" t="s">
        <v>306</v>
      </c>
      <c r="E34" s="31" t="s">
        <v>1627</v>
      </c>
      <c r="F34" s="31" t="s">
        <v>1628</v>
      </c>
      <c r="G34" s="31" t="s">
        <v>312</v>
      </c>
      <c r="H34" s="31" t="s">
        <v>1629</v>
      </c>
      <c r="I34" s="31" t="s">
        <v>1630</v>
      </c>
      <c r="J34" s="32" t="s">
        <v>1631</v>
      </c>
    </row>
    <row r="35" ht="63.75" customHeight="1">
      <c r="A35" s="30" t="s">
        <v>1671</v>
      </c>
      <c r="B35" s="31" t="s">
        <v>305</v>
      </c>
      <c r="C35" s="31" t="s">
        <v>1650</v>
      </c>
      <c r="D35" s="31" t="s">
        <v>306</v>
      </c>
      <c r="E35" s="31" t="s">
        <v>1633</v>
      </c>
      <c r="F35" s="31" t="s">
        <v>1634</v>
      </c>
      <c r="G35" s="31" t="s">
        <v>312</v>
      </c>
      <c r="H35" s="31" t="s">
        <v>1635</v>
      </c>
      <c r="I35" s="31" t="s">
        <v>1636</v>
      </c>
      <c r="J35" s="32" t="s">
        <v>1637</v>
      </c>
    </row>
    <row r="36" ht="63.75" customHeight="1">
      <c r="A36" s="30" t="s">
        <v>1672</v>
      </c>
      <c r="B36" s="31" t="s">
        <v>316</v>
      </c>
      <c r="C36" s="31" t="s">
        <v>1673</v>
      </c>
      <c r="D36" s="31" t="s">
        <v>318</v>
      </c>
      <c r="E36" s="31" t="s">
        <v>1627</v>
      </c>
      <c r="F36" s="31" t="s">
        <v>1628</v>
      </c>
      <c r="G36" s="31" t="s">
        <v>325</v>
      </c>
      <c r="H36" s="31" t="s">
        <v>1629</v>
      </c>
      <c r="I36" s="31" t="s">
        <v>1630</v>
      </c>
      <c r="J36" s="32" t="s">
        <v>1631</v>
      </c>
    </row>
    <row r="37" ht="63.75" customHeight="1">
      <c r="A37" s="30" t="s">
        <v>1674</v>
      </c>
      <c r="B37" s="31" t="s">
        <v>316</v>
      </c>
      <c r="C37" s="31" t="s">
        <v>1673</v>
      </c>
      <c r="D37" s="31" t="s">
        <v>318</v>
      </c>
      <c r="E37" s="31" t="s">
        <v>1661</v>
      </c>
      <c r="F37" s="31" t="s">
        <v>1662</v>
      </c>
      <c r="G37" s="31" t="s">
        <v>325</v>
      </c>
      <c r="H37" s="31" t="s">
        <v>1663</v>
      </c>
      <c r="I37" s="31" t="s">
        <v>1664</v>
      </c>
      <c r="J37" s="32" t="s">
        <v>1665</v>
      </c>
    </row>
    <row r="38" ht="63.75" customHeight="1">
      <c r="A38" s="30" t="s">
        <v>1675</v>
      </c>
      <c r="B38" s="31" t="s">
        <v>316</v>
      </c>
      <c r="C38" s="31" t="s">
        <v>1673</v>
      </c>
      <c r="D38" s="31" t="s">
        <v>318</v>
      </c>
      <c r="E38" s="31" t="s">
        <v>1633</v>
      </c>
      <c r="F38" s="31" t="s">
        <v>1676</v>
      </c>
      <c r="G38" s="31" t="s">
        <v>325</v>
      </c>
      <c r="H38" s="31" t="s">
        <v>1635</v>
      </c>
      <c r="I38" s="31" t="s">
        <v>1636</v>
      </c>
      <c r="J38" s="32" t="s">
        <v>1637</v>
      </c>
    </row>
    <row r="39" ht="63.75" customHeight="1">
      <c r="A39" s="30" t="s">
        <v>1677</v>
      </c>
      <c r="B39" s="31" t="s">
        <v>327</v>
      </c>
      <c r="C39" s="31" t="s">
        <v>1673</v>
      </c>
      <c r="D39" s="31" t="s">
        <v>328</v>
      </c>
      <c r="E39" s="31" t="s">
        <v>1627</v>
      </c>
      <c r="F39" s="31" t="s">
        <v>1628</v>
      </c>
      <c r="G39" s="31" t="s">
        <v>334</v>
      </c>
      <c r="H39" s="31" t="s">
        <v>1629</v>
      </c>
      <c r="I39" s="31" t="s">
        <v>1630</v>
      </c>
      <c r="J39" s="32" t="s">
        <v>1631</v>
      </c>
    </row>
    <row r="40" ht="63.75" customHeight="1">
      <c r="A40" s="30" t="s">
        <v>1678</v>
      </c>
      <c r="B40" s="31" t="s">
        <v>327</v>
      </c>
      <c r="C40" s="31" t="s">
        <v>1673</v>
      </c>
      <c r="D40" s="31" t="s">
        <v>328</v>
      </c>
      <c r="E40" s="31" t="s">
        <v>1661</v>
      </c>
      <c r="F40" s="31" t="s">
        <v>1662</v>
      </c>
      <c r="G40" s="31" t="s">
        <v>334</v>
      </c>
      <c r="H40" s="31" t="s">
        <v>1663</v>
      </c>
      <c r="I40" s="31" t="s">
        <v>1664</v>
      </c>
      <c r="J40" s="32" t="s">
        <v>1665</v>
      </c>
    </row>
    <row r="41" ht="63.75" customHeight="1">
      <c r="A41" s="30" t="s">
        <v>1679</v>
      </c>
      <c r="B41" s="31" t="s">
        <v>337</v>
      </c>
      <c r="C41" s="31" t="s">
        <v>1673</v>
      </c>
      <c r="D41" s="31" t="s">
        <v>338</v>
      </c>
      <c r="E41" s="31" t="s">
        <v>1627</v>
      </c>
      <c r="F41" s="31" t="s">
        <v>1628</v>
      </c>
      <c r="G41" s="31" t="s">
        <v>345</v>
      </c>
      <c r="H41" s="31" t="s">
        <v>1629</v>
      </c>
      <c r="I41" s="31" t="s">
        <v>1630</v>
      </c>
      <c r="J41" s="32" t="s">
        <v>1631</v>
      </c>
    </row>
    <row r="42" ht="63.75" customHeight="1">
      <c r="A42" s="30" t="s">
        <v>1680</v>
      </c>
      <c r="B42" s="31" t="s">
        <v>337</v>
      </c>
      <c r="C42" s="31" t="s">
        <v>1673</v>
      </c>
      <c r="D42" s="31" t="s">
        <v>338</v>
      </c>
      <c r="E42" s="31" t="s">
        <v>1661</v>
      </c>
      <c r="F42" s="31" t="s">
        <v>1662</v>
      </c>
      <c r="G42" s="31" t="s">
        <v>345</v>
      </c>
      <c r="H42" s="31" t="s">
        <v>1663</v>
      </c>
      <c r="I42" s="31" t="s">
        <v>1664</v>
      </c>
      <c r="J42" s="32" t="s">
        <v>1665</v>
      </c>
    </row>
    <row r="43" ht="63.75" customHeight="1">
      <c r="A43" s="30" t="s">
        <v>1681</v>
      </c>
      <c r="B43" s="31" t="s">
        <v>337</v>
      </c>
      <c r="C43" s="31" t="s">
        <v>1673</v>
      </c>
      <c r="D43" s="31" t="s">
        <v>338</v>
      </c>
      <c r="E43" s="31" t="s">
        <v>1633</v>
      </c>
      <c r="F43" s="31" t="s">
        <v>1676</v>
      </c>
      <c r="G43" s="31" t="s">
        <v>345</v>
      </c>
      <c r="H43" s="31" t="s">
        <v>1635</v>
      </c>
      <c r="I43" s="31" t="s">
        <v>1636</v>
      </c>
      <c r="J43" s="32" t="s">
        <v>1637</v>
      </c>
    </row>
    <row r="44" ht="63.75" customHeight="1">
      <c r="A44" s="30" t="s">
        <v>1682</v>
      </c>
      <c r="B44" s="31" t="s">
        <v>349</v>
      </c>
      <c r="C44" s="31" t="s">
        <v>1673</v>
      </c>
      <c r="D44" s="31" t="s">
        <v>350</v>
      </c>
      <c r="E44" s="31" t="s">
        <v>1627</v>
      </c>
      <c r="F44" s="31" t="s">
        <v>1628</v>
      </c>
      <c r="G44" s="31" t="s">
        <v>357</v>
      </c>
      <c r="H44" s="31" t="s">
        <v>1629</v>
      </c>
      <c r="I44" s="31" t="s">
        <v>1630</v>
      </c>
      <c r="J44" s="32" t="s">
        <v>1631</v>
      </c>
    </row>
    <row r="45" ht="63.75" customHeight="1">
      <c r="A45" s="30" t="s">
        <v>1683</v>
      </c>
      <c r="B45" s="31" t="s">
        <v>349</v>
      </c>
      <c r="C45" s="31" t="s">
        <v>1673</v>
      </c>
      <c r="D45" s="31" t="s">
        <v>350</v>
      </c>
      <c r="E45" s="31" t="s">
        <v>1661</v>
      </c>
      <c r="F45" s="31" t="s">
        <v>1684</v>
      </c>
      <c r="G45" s="31" t="s">
        <v>357</v>
      </c>
      <c r="H45" s="31" t="s">
        <v>1663</v>
      </c>
      <c r="I45" s="31" t="s">
        <v>1664</v>
      </c>
      <c r="J45" s="32" t="s">
        <v>1665</v>
      </c>
    </row>
    <row r="46" ht="63.75" customHeight="1">
      <c r="A46" s="30" t="s">
        <v>1685</v>
      </c>
      <c r="B46" s="31" t="s">
        <v>361</v>
      </c>
      <c r="C46" s="31" t="s">
        <v>1673</v>
      </c>
      <c r="D46" s="31" t="s">
        <v>362</v>
      </c>
      <c r="E46" s="31" t="s">
        <v>1627</v>
      </c>
      <c r="F46" s="31" t="s">
        <v>1628</v>
      </c>
      <c r="G46" s="31" t="s">
        <v>367</v>
      </c>
      <c r="H46" s="31" t="s">
        <v>1629</v>
      </c>
      <c r="I46" s="31" t="s">
        <v>1630</v>
      </c>
      <c r="J46" s="32" t="s">
        <v>1631</v>
      </c>
    </row>
    <row r="47" ht="63.75" customHeight="1">
      <c r="A47" s="30" t="s">
        <v>1686</v>
      </c>
      <c r="B47" s="31" t="s">
        <v>361</v>
      </c>
      <c r="C47" s="31" t="s">
        <v>1673</v>
      </c>
      <c r="D47" s="31" t="s">
        <v>362</v>
      </c>
      <c r="E47" s="31" t="s">
        <v>1661</v>
      </c>
      <c r="F47" s="31" t="s">
        <v>1662</v>
      </c>
      <c r="G47" s="31" t="s">
        <v>367</v>
      </c>
      <c r="H47" s="31" t="s">
        <v>1663</v>
      </c>
      <c r="I47" s="31" t="s">
        <v>1664</v>
      </c>
      <c r="J47" s="32" t="s">
        <v>1665</v>
      </c>
    </row>
    <row r="48" ht="63.75" customHeight="1">
      <c r="A48" s="30" t="s">
        <v>1687</v>
      </c>
      <c r="B48" s="31" t="s">
        <v>370</v>
      </c>
      <c r="C48" s="31" t="s">
        <v>1673</v>
      </c>
      <c r="D48" s="31" t="s">
        <v>371</v>
      </c>
      <c r="E48" s="31" t="s">
        <v>1627</v>
      </c>
      <c r="F48" s="31" t="s">
        <v>1628</v>
      </c>
      <c r="G48" s="31" t="s">
        <v>376</v>
      </c>
      <c r="H48" s="31" t="s">
        <v>1629</v>
      </c>
      <c r="I48" s="31" t="s">
        <v>1630</v>
      </c>
      <c r="J48" s="32" t="s">
        <v>1631</v>
      </c>
    </row>
    <row r="49" ht="63.75" customHeight="1">
      <c r="A49" s="30" t="s">
        <v>1688</v>
      </c>
      <c r="B49" s="31" t="s">
        <v>370</v>
      </c>
      <c r="C49" s="31" t="s">
        <v>1673</v>
      </c>
      <c r="D49" s="31" t="s">
        <v>371</v>
      </c>
      <c r="E49" s="31" t="s">
        <v>1661</v>
      </c>
      <c r="F49" s="31" t="s">
        <v>1662</v>
      </c>
      <c r="G49" s="31" t="s">
        <v>376</v>
      </c>
      <c r="H49" s="31" t="s">
        <v>1663</v>
      </c>
      <c r="I49" s="31" t="s">
        <v>1664</v>
      </c>
      <c r="J49" s="32" t="s">
        <v>1665</v>
      </c>
    </row>
    <row r="50" ht="63.75" customHeight="1">
      <c r="A50" s="30" t="s">
        <v>1689</v>
      </c>
      <c r="B50" s="31" t="s">
        <v>380</v>
      </c>
      <c r="C50" s="31" t="s">
        <v>1673</v>
      </c>
      <c r="D50" s="31" t="s">
        <v>381</v>
      </c>
      <c r="E50" s="31" t="s">
        <v>1627</v>
      </c>
      <c r="F50" s="31" t="s">
        <v>1628</v>
      </c>
      <c r="G50" s="31" t="s">
        <v>387</v>
      </c>
      <c r="H50" s="31" t="s">
        <v>1629</v>
      </c>
      <c r="I50" s="31" t="s">
        <v>1630</v>
      </c>
      <c r="J50" s="32" t="s">
        <v>1631</v>
      </c>
    </row>
    <row r="51" ht="63.75" customHeight="1">
      <c r="A51" s="30" t="s">
        <v>1690</v>
      </c>
      <c r="B51" s="31" t="s">
        <v>380</v>
      </c>
      <c r="C51" s="31" t="s">
        <v>1673</v>
      </c>
      <c r="D51" s="31" t="s">
        <v>381</v>
      </c>
      <c r="E51" s="31" t="s">
        <v>1661</v>
      </c>
      <c r="F51" s="31" t="s">
        <v>1662</v>
      </c>
      <c r="G51" s="31" t="s">
        <v>387</v>
      </c>
      <c r="H51" s="31" t="s">
        <v>1663</v>
      </c>
      <c r="I51" s="31" t="s">
        <v>1664</v>
      </c>
      <c r="J51" s="32" t="s">
        <v>1665</v>
      </c>
    </row>
    <row r="52" ht="63.75" customHeight="1">
      <c r="A52" s="30" t="s">
        <v>1691</v>
      </c>
      <c r="B52" s="31" t="s">
        <v>380</v>
      </c>
      <c r="C52" s="31" t="s">
        <v>1673</v>
      </c>
      <c r="D52" s="31" t="s">
        <v>381</v>
      </c>
      <c r="E52" s="31" t="s">
        <v>1633</v>
      </c>
      <c r="F52" s="31" t="s">
        <v>1676</v>
      </c>
      <c r="G52" s="31" t="s">
        <v>387</v>
      </c>
      <c r="H52" s="31" t="s">
        <v>1635</v>
      </c>
      <c r="I52" s="31" t="s">
        <v>1636</v>
      </c>
      <c r="J52" s="32" t="s">
        <v>1637</v>
      </c>
    </row>
    <row r="53" ht="63.75" customHeight="1">
      <c r="A53" s="30" t="s">
        <v>1692</v>
      </c>
      <c r="B53" s="31" t="s">
        <v>390</v>
      </c>
      <c r="C53" s="31" t="s">
        <v>1673</v>
      </c>
      <c r="D53" s="31" t="s">
        <v>391</v>
      </c>
      <c r="E53" s="31" t="s">
        <v>1627</v>
      </c>
      <c r="F53" s="31" t="s">
        <v>1628</v>
      </c>
      <c r="G53" s="31" t="s">
        <v>398</v>
      </c>
      <c r="H53" s="31" t="s">
        <v>1629</v>
      </c>
      <c r="I53" s="31" t="s">
        <v>1630</v>
      </c>
      <c r="J53" s="32" t="s">
        <v>1631</v>
      </c>
    </row>
    <row r="54" ht="63.75" customHeight="1">
      <c r="A54" s="30" t="s">
        <v>1693</v>
      </c>
      <c r="B54" s="31" t="s">
        <v>390</v>
      </c>
      <c r="C54" s="31" t="s">
        <v>1673</v>
      </c>
      <c r="D54" s="31" t="s">
        <v>391</v>
      </c>
      <c r="E54" s="31" t="s">
        <v>1661</v>
      </c>
      <c r="F54" s="31" t="s">
        <v>1662</v>
      </c>
      <c r="G54" s="31" t="s">
        <v>398</v>
      </c>
      <c r="H54" s="31" t="s">
        <v>1663</v>
      </c>
      <c r="I54" s="31" t="s">
        <v>1664</v>
      </c>
      <c r="J54" s="32" t="s">
        <v>1665</v>
      </c>
    </row>
    <row r="55" ht="63.75" customHeight="1">
      <c r="A55" s="30" t="s">
        <v>1694</v>
      </c>
      <c r="B55" s="31" t="s">
        <v>390</v>
      </c>
      <c r="C55" s="31" t="s">
        <v>1673</v>
      </c>
      <c r="D55" s="31" t="s">
        <v>391</v>
      </c>
      <c r="E55" s="31" t="s">
        <v>1633</v>
      </c>
      <c r="F55" s="31" t="s">
        <v>1634</v>
      </c>
      <c r="G55" s="31" t="s">
        <v>398</v>
      </c>
      <c r="H55" s="31" t="s">
        <v>1635</v>
      </c>
      <c r="I55" s="31" t="s">
        <v>1636</v>
      </c>
      <c r="J55" s="32" t="s">
        <v>1637</v>
      </c>
    </row>
    <row r="56" ht="63.75" customHeight="1">
      <c r="A56" s="30" t="s">
        <v>1695</v>
      </c>
      <c r="B56" s="31" t="s">
        <v>403</v>
      </c>
      <c r="C56" s="31" t="s">
        <v>1673</v>
      </c>
      <c r="D56" s="31" t="s">
        <v>404</v>
      </c>
      <c r="E56" s="31" t="s">
        <v>1627</v>
      </c>
      <c r="F56" s="31" t="s">
        <v>1628</v>
      </c>
      <c r="G56" s="31" t="s">
        <v>410</v>
      </c>
      <c r="H56" s="31" t="s">
        <v>1629</v>
      </c>
      <c r="I56" s="31" t="s">
        <v>1630</v>
      </c>
      <c r="J56" s="32" t="s">
        <v>1631</v>
      </c>
    </row>
    <row r="57" ht="63.75" customHeight="1">
      <c r="A57" s="30" t="s">
        <v>1696</v>
      </c>
      <c r="B57" s="31" t="s">
        <v>403</v>
      </c>
      <c r="C57" s="31" t="s">
        <v>1673</v>
      </c>
      <c r="D57" s="31" t="s">
        <v>404</v>
      </c>
      <c r="E57" s="31" t="s">
        <v>1633</v>
      </c>
      <c r="F57" s="31" t="s">
        <v>1676</v>
      </c>
      <c r="G57" s="31" t="s">
        <v>410</v>
      </c>
      <c r="H57" s="31" t="s">
        <v>1635</v>
      </c>
      <c r="I57" s="31" t="s">
        <v>1636</v>
      </c>
      <c r="J57" s="32" t="s">
        <v>1637</v>
      </c>
    </row>
    <row r="58" ht="63.75" customHeight="1">
      <c r="A58" s="30" t="s">
        <v>1697</v>
      </c>
      <c r="B58" s="31" t="s">
        <v>414</v>
      </c>
      <c r="C58" s="31" t="s">
        <v>1673</v>
      </c>
      <c r="D58" s="31" t="s">
        <v>415</v>
      </c>
      <c r="E58" s="31" t="s">
        <v>1627</v>
      </c>
      <c r="F58" s="31" t="s">
        <v>1628</v>
      </c>
      <c r="G58" s="31" t="s">
        <v>420</v>
      </c>
      <c r="H58" s="31" t="s">
        <v>1629</v>
      </c>
      <c r="I58" s="31" t="s">
        <v>1630</v>
      </c>
      <c r="J58" s="32" t="s">
        <v>1631</v>
      </c>
    </row>
    <row r="59" ht="63.75" customHeight="1">
      <c r="A59" s="30" t="s">
        <v>1698</v>
      </c>
      <c r="B59" s="31" t="s">
        <v>414</v>
      </c>
      <c r="C59" s="31" t="s">
        <v>1673</v>
      </c>
      <c r="D59" s="31" t="s">
        <v>415</v>
      </c>
      <c r="E59" s="31" t="s">
        <v>1661</v>
      </c>
      <c r="F59" s="31" t="s">
        <v>1662</v>
      </c>
      <c r="G59" s="31" t="s">
        <v>420</v>
      </c>
      <c r="H59" s="31" t="s">
        <v>1663</v>
      </c>
      <c r="I59" s="31" t="s">
        <v>1664</v>
      </c>
      <c r="J59" s="32" t="s">
        <v>1665</v>
      </c>
    </row>
    <row r="60" ht="63.75" customHeight="1">
      <c r="A60" s="30" t="s">
        <v>1699</v>
      </c>
      <c r="B60" s="31" t="s">
        <v>414</v>
      </c>
      <c r="C60" s="31" t="s">
        <v>1673</v>
      </c>
      <c r="D60" s="31" t="s">
        <v>415</v>
      </c>
      <c r="E60" s="31" t="s">
        <v>1633</v>
      </c>
      <c r="F60" s="31" t="s">
        <v>1676</v>
      </c>
      <c r="G60" s="31" t="s">
        <v>420</v>
      </c>
      <c r="H60" s="31" t="s">
        <v>1635</v>
      </c>
      <c r="I60" s="31" t="s">
        <v>1636</v>
      </c>
      <c r="J60" s="32" t="s">
        <v>1637</v>
      </c>
    </row>
    <row r="61" ht="63.75" customHeight="1">
      <c r="A61" s="30" t="s">
        <v>1700</v>
      </c>
      <c r="B61" s="31" t="s">
        <v>423</v>
      </c>
      <c r="C61" s="31" t="s">
        <v>1701</v>
      </c>
      <c r="D61" s="31" t="s">
        <v>425</v>
      </c>
      <c r="E61" s="31" t="s">
        <v>1627</v>
      </c>
      <c r="F61" s="31" t="s">
        <v>1628</v>
      </c>
      <c r="G61" s="31" t="s">
        <v>431</v>
      </c>
      <c r="H61" s="31" t="s">
        <v>1629</v>
      </c>
      <c r="I61" s="31" t="s">
        <v>1630</v>
      </c>
      <c r="J61" s="32" t="s">
        <v>1631</v>
      </c>
    </row>
    <row r="62" ht="63.75" customHeight="1">
      <c r="A62" s="30" t="s">
        <v>1702</v>
      </c>
      <c r="B62" s="31" t="s">
        <v>423</v>
      </c>
      <c r="C62" s="31" t="s">
        <v>1701</v>
      </c>
      <c r="D62" s="31" t="s">
        <v>425</v>
      </c>
      <c r="E62" s="31" t="s">
        <v>1661</v>
      </c>
      <c r="F62" s="31" t="s">
        <v>1684</v>
      </c>
      <c r="G62" s="31" t="s">
        <v>431</v>
      </c>
      <c r="H62" s="31" t="s">
        <v>1663</v>
      </c>
      <c r="I62" s="31" t="s">
        <v>1664</v>
      </c>
      <c r="J62" s="32" t="s">
        <v>1665</v>
      </c>
    </row>
    <row r="63" ht="63.75" customHeight="1">
      <c r="A63" s="30" t="s">
        <v>1703</v>
      </c>
      <c r="B63" s="31" t="s">
        <v>434</v>
      </c>
      <c r="C63" s="31" t="s">
        <v>1701</v>
      </c>
      <c r="D63" s="31" t="s">
        <v>435</v>
      </c>
      <c r="E63" s="31" t="s">
        <v>1627</v>
      </c>
      <c r="F63" s="31" t="s">
        <v>1628</v>
      </c>
      <c r="G63" s="31" t="s">
        <v>440</v>
      </c>
      <c r="H63" s="31" t="s">
        <v>1629</v>
      </c>
      <c r="I63" s="31" t="s">
        <v>1630</v>
      </c>
      <c r="J63" s="32" t="s">
        <v>1631</v>
      </c>
    </row>
    <row r="64" ht="63.75" customHeight="1">
      <c r="A64" s="30" t="s">
        <v>1704</v>
      </c>
      <c r="B64" s="31" t="s">
        <v>434</v>
      </c>
      <c r="C64" s="31" t="s">
        <v>1701</v>
      </c>
      <c r="D64" s="31" t="s">
        <v>435</v>
      </c>
      <c r="E64" s="31" t="s">
        <v>1661</v>
      </c>
      <c r="F64" s="31" t="s">
        <v>1662</v>
      </c>
      <c r="G64" s="31" t="s">
        <v>440</v>
      </c>
      <c r="H64" s="31" t="s">
        <v>1663</v>
      </c>
      <c r="I64" s="31" t="s">
        <v>1664</v>
      </c>
      <c r="J64" s="32" t="s">
        <v>1665</v>
      </c>
    </row>
    <row r="65" ht="63.75" customHeight="1">
      <c r="A65" s="30" t="s">
        <v>1705</v>
      </c>
      <c r="B65" s="31" t="s">
        <v>434</v>
      </c>
      <c r="C65" s="31" t="s">
        <v>1701</v>
      </c>
      <c r="D65" s="31" t="s">
        <v>435</v>
      </c>
      <c r="E65" s="31" t="s">
        <v>1633</v>
      </c>
      <c r="F65" s="31" t="s">
        <v>1676</v>
      </c>
      <c r="G65" s="31" t="s">
        <v>440</v>
      </c>
      <c r="H65" s="31" t="s">
        <v>1635</v>
      </c>
      <c r="I65" s="31" t="s">
        <v>1636</v>
      </c>
      <c r="J65" s="32" t="s">
        <v>1637</v>
      </c>
    </row>
    <row r="66" ht="63.75" customHeight="1">
      <c r="A66" s="30" t="s">
        <v>1706</v>
      </c>
      <c r="B66" s="31" t="s">
        <v>444</v>
      </c>
      <c r="C66" s="31" t="s">
        <v>1701</v>
      </c>
      <c r="D66" s="31" t="s">
        <v>445</v>
      </c>
      <c r="E66" s="31" t="s">
        <v>1627</v>
      </c>
      <c r="F66" s="31" t="s">
        <v>1628</v>
      </c>
      <c r="G66" s="31" t="s">
        <v>450</v>
      </c>
      <c r="H66" s="31" t="s">
        <v>1629</v>
      </c>
      <c r="I66" s="31" t="s">
        <v>1630</v>
      </c>
      <c r="J66" s="32" t="s">
        <v>1631</v>
      </c>
    </row>
    <row r="67" ht="63.75" customHeight="1">
      <c r="A67" s="30" t="s">
        <v>1707</v>
      </c>
      <c r="B67" s="31" t="s">
        <v>444</v>
      </c>
      <c r="C67" s="31" t="s">
        <v>1701</v>
      </c>
      <c r="D67" s="31" t="s">
        <v>445</v>
      </c>
      <c r="E67" s="31" t="s">
        <v>1661</v>
      </c>
      <c r="F67" s="31" t="s">
        <v>1684</v>
      </c>
      <c r="G67" s="31" t="s">
        <v>450</v>
      </c>
      <c r="H67" s="31" t="s">
        <v>1663</v>
      </c>
      <c r="I67" s="31" t="s">
        <v>1664</v>
      </c>
      <c r="J67" s="32" t="s">
        <v>1665</v>
      </c>
    </row>
    <row r="68" ht="63.75" customHeight="1">
      <c r="A68" s="30" t="s">
        <v>1708</v>
      </c>
      <c r="B68" s="31" t="s">
        <v>454</v>
      </c>
      <c r="C68" s="31" t="s">
        <v>1701</v>
      </c>
      <c r="D68" s="31" t="s">
        <v>455</v>
      </c>
      <c r="E68" s="31" t="s">
        <v>1627</v>
      </c>
      <c r="F68" s="31" t="s">
        <v>1628</v>
      </c>
      <c r="G68" s="31" t="s">
        <v>460</v>
      </c>
      <c r="H68" s="31" t="s">
        <v>1629</v>
      </c>
      <c r="I68" s="31" t="s">
        <v>1630</v>
      </c>
      <c r="J68" s="32" t="s">
        <v>1631</v>
      </c>
    </row>
    <row r="69" ht="63.75" customHeight="1">
      <c r="A69" s="30" t="s">
        <v>1709</v>
      </c>
      <c r="B69" s="31" t="s">
        <v>454</v>
      </c>
      <c r="C69" s="31" t="s">
        <v>1701</v>
      </c>
      <c r="D69" s="31" t="s">
        <v>455</v>
      </c>
      <c r="E69" s="31" t="s">
        <v>1661</v>
      </c>
      <c r="F69" s="31" t="s">
        <v>1662</v>
      </c>
      <c r="G69" s="31" t="s">
        <v>460</v>
      </c>
      <c r="H69" s="31" t="s">
        <v>1663</v>
      </c>
      <c r="I69" s="31" t="s">
        <v>1664</v>
      </c>
      <c r="J69" s="32" t="s">
        <v>1665</v>
      </c>
    </row>
    <row r="70" ht="63.75" customHeight="1">
      <c r="A70" s="30" t="s">
        <v>1710</v>
      </c>
      <c r="B70" s="31" t="s">
        <v>454</v>
      </c>
      <c r="C70" s="31" t="s">
        <v>1701</v>
      </c>
      <c r="D70" s="31" t="s">
        <v>455</v>
      </c>
      <c r="E70" s="31" t="s">
        <v>1633</v>
      </c>
      <c r="F70" s="31" t="s">
        <v>1634</v>
      </c>
      <c r="G70" s="31" t="s">
        <v>460</v>
      </c>
      <c r="H70" s="31" t="s">
        <v>1635</v>
      </c>
      <c r="I70" s="31" t="s">
        <v>1636</v>
      </c>
      <c r="J70" s="32" t="s">
        <v>1637</v>
      </c>
    </row>
    <row r="71" ht="63.75" customHeight="1">
      <c r="A71" s="30" t="s">
        <v>1711</v>
      </c>
      <c r="B71" s="31" t="s">
        <v>464</v>
      </c>
      <c r="C71" s="31" t="s">
        <v>1701</v>
      </c>
      <c r="D71" s="31" t="s">
        <v>465</v>
      </c>
      <c r="E71" s="31" t="s">
        <v>1627</v>
      </c>
      <c r="F71" s="31" t="s">
        <v>1628</v>
      </c>
      <c r="G71" s="31" t="s">
        <v>470</v>
      </c>
      <c r="H71" s="31" t="s">
        <v>1629</v>
      </c>
      <c r="I71" s="31" t="s">
        <v>1630</v>
      </c>
      <c r="J71" s="32" t="s">
        <v>1631</v>
      </c>
    </row>
    <row r="72" ht="63.75" customHeight="1">
      <c r="A72" s="30" t="s">
        <v>1712</v>
      </c>
      <c r="B72" s="31" t="s">
        <v>464</v>
      </c>
      <c r="C72" s="31" t="s">
        <v>1701</v>
      </c>
      <c r="D72" s="31" t="s">
        <v>465</v>
      </c>
      <c r="E72" s="31" t="s">
        <v>1661</v>
      </c>
      <c r="F72" s="31" t="s">
        <v>1684</v>
      </c>
      <c r="G72" s="31" t="s">
        <v>470</v>
      </c>
      <c r="H72" s="31" t="s">
        <v>1663</v>
      </c>
      <c r="I72" s="31" t="s">
        <v>1664</v>
      </c>
      <c r="J72" s="32" t="s">
        <v>1665</v>
      </c>
    </row>
    <row r="73" ht="63.75" customHeight="1">
      <c r="A73" s="30" t="s">
        <v>1713</v>
      </c>
      <c r="B73" s="31" t="s">
        <v>474</v>
      </c>
      <c r="C73" s="31" t="s">
        <v>1701</v>
      </c>
      <c r="D73" s="31" t="s">
        <v>475</v>
      </c>
      <c r="E73" s="31" t="s">
        <v>1627</v>
      </c>
      <c r="F73" s="31" t="s">
        <v>1628</v>
      </c>
      <c r="G73" s="31" t="s">
        <v>480</v>
      </c>
      <c r="H73" s="31" t="s">
        <v>1629</v>
      </c>
      <c r="I73" s="31" t="s">
        <v>1630</v>
      </c>
      <c r="J73" s="32" t="s">
        <v>1631</v>
      </c>
    </row>
    <row r="74" ht="63.75" customHeight="1">
      <c r="A74" s="30" t="s">
        <v>1714</v>
      </c>
      <c r="B74" s="31" t="s">
        <v>474</v>
      </c>
      <c r="C74" s="31" t="s">
        <v>1701</v>
      </c>
      <c r="D74" s="31" t="s">
        <v>475</v>
      </c>
      <c r="E74" s="31" t="s">
        <v>1661</v>
      </c>
      <c r="F74" s="31" t="s">
        <v>1662</v>
      </c>
      <c r="G74" s="31" t="s">
        <v>480</v>
      </c>
      <c r="H74" s="31" t="s">
        <v>1663</v>
      </c>
      <c r="I74" s="31" t="s">
        <v>1664</v>
      </c>
      <c r="J74" s="32" t="s">
        <v>1665</v>
      </c>
    </row>
    <row r="75" ht="63.75" customHeight="1">
      <c r="A75" s="30" t="s">
        <v>1715</v>
      </c>
      <c r="B75" s="31" t="s">
        <v>483</v>
      </c>
      <c r="C75" s="31" t="s">
        <v>1701</v>
      </c>
      <c r="D75" s="31" t="s">
        <v>484</v>
      </c>
      <c r="E75" s="31" t="s">
        <v>1627</v>
      </c>
      <c r="F75" s="31" t="s">
        <v>1628</v>
      </c>
      <c r="G75" s="31" t="s">
        <v>491</v>
      </c>
      <c r="H75" s="31" t="s">
        <v>1629</v>
      </c>
      <c r="I75" s="31" t="s">
        <v>1630</v>
      </c>
      <c r="J75" s="32" t="s">
        <v>1631</v>
      </c>
    </row>
    <row r="76" ht="63.75" customHeight="1">
      <c r="A76" s="30" t="s">
        <v>1716</v>
      </c>
      <c r="B76" s="31" t="s">
        <v>483</v>
      </c>
      <c r="C76" s="31" t="s">
        <v>1701</v>
      </c>
      <c r="D76" s="31" t="s">
        <v>484</v>
      </c>
      <c r="E76" s="31" t="s">
        <v>1661</v>
      </c>
      <c r="F76" s="31" t="s">
        <v>1662</v>
      </c>
      <c r="G76" s="31" t="s">
        <v>491</v>
      </c>
      <c r="H76" s="31" t="s">
        <v>1663</v>
      </c>
      <c r="I76" s="31" t="s">
        <v>1664</v>
      </c>
      <c r="J76" s="32" t="s">
        <v>1665</v>
      </c>
    </row>
    <row r="77" ht="63.75" customHeight="1">
      <c r="A77" s="30" t="s">
        <v>1717</v>
      </c>
      <c r="B77" s="31" t="s">
        <v>496</v>
      </c>
      <c r="C77" s="31" t="s">
        <v>1701</v>
      </c>
      <c r="D77" s="31" t="s">
        <v>497</v>
      </c>
      <c r="E77" s="31" t="s">
        <v>1627</v>
      </c>
      <c r="F77" s="31" t="s">
        <v>1628</v>
      </c>
      <c r="G77" s="31" t="s">
        <v>503</v>
      </c>
      <c r="H77" s="31" t="s">
        <v>1629</v>
      </c>
      <c r="I77" s="31" t="s">
        <v>1630</v>
      </c>
      <c r="J77" s="32" t="s">
        <v>1631</v>
      </c>
    </row>
    <row r="78" ht="63.75" customHeight="1">
      <c r="A78" s="30" t="s">
        <v>1718</v>
      </c>
      <c r="B78" s="31" t="s">
        <v>496</v>
      </c>
      <c r="C78" s="31" t="s">
        <v>1701</v>
      </c>
      <c r="D78" s="31" t="s">
        <v>497</v>
      </c>
      <c r="E78" s="31" t="s">
        <v>1661</v>
      </c>
      <c r="F78" s="31" t="s">
        <v>1662</v>
      </c>
      <c r="G78" s="31" t="s">
        <v>503</v>
      </c>
      <c r="H78" s="31" t="s">
        <v>1663</v>
      </c>
      <c r="I78" s="31" t="s">
        <v>1664</v>
      </c>
      <c r="J78" s="32" t="s">
        <v>1665</v>
      </c>
    </row>
    <row r="79" ht="63.75" customHeight="1">
      <c r="A79" s="30" t="s">
        <v>1719</v>
      </c>
      <c r="B79" s="31" t="s">
        <v>496</v>
      </c>
      <c r="C79" s="31" t="s">
        <v>1701</v>
      </c>
      <c r="D79" s="31" t="s">
        <v>497</v>
      </c>
      <c r="E79" s="31" t="s">
        <v>1633</v>
      </c>
      <c r="F79" s="31" t="s">
        <v>1676</v>
      </c>
      <c r="G79" s="31" t="s">
        <v>503</v>
      </c>
      <c r="H79" s="31" t="s">
        <v>1635</v>
      </c>
      <c r="I79" s="31" t="s">
        <v>1636</v>
      </c>
      <c r="J79" s="32" t="s">
        <v>1637</v>
      </c>
    </row>
    <row r="80" ht="63.75" customHeight="1">
      <c r="A80" s="30" t="s">
        <v>1720</v>
      </c>
      <c r="B80" s="31" t="s">
        <v>506</v>
      </c>
      <c r="C80" s="31" t="s">
        <v>1701</v>
      </c>
      <c r="D80" s="31" t="s">
        <v>507</v>
      </c>
      <c r="E80" s="31" t="s">
        <v>1627</v>
      </c>
      <c r="F80" s="31" t="s">
        <v>1628</v>
      </c>
      <c r="G80" s="31" t="s">
        <v>512</v>
      </c>
      <c r="H80" s="31" t="s">
        <v>1629</v>
      </c>
      <c r="I80" s="31" t="s">
        <v>1630</v>
      </c>
      <c r="J80" s="32" t="s">
        <v>1631</v>
      </c>
    </row>
    <row r="81" ht="63.75" customHeight="1">
      <c r="A81" s="30" t="s">
        <v>1721</v>
      </c>
      <c r="B81" s="31" t="s">
        <v>506</v>
      </c>
      <c r="C81" s="31" t="s">
        <v>1701</v>
      </c>
      <c r="D81" s="31" t="s">
        <v>507</v>
      </c>
      <c r="E81" s="31" t="s">
        <v>1661</v>
      </c>
      <c r="F81" s="31" t="s">
        <v>1662</v>
      </c>
      <c r="G81" s="31" t="s">
        <v>512</v>
      </c>
      <c r="H81" s="31" t="s">
        <v>1663</v>
      </c>
      <c r="I81" s="31" t="s">
        <v>1664</v>
      </c>
      <c r="J81" s="32" t="s">
        <v>1665</v>
      </c>
    </row>
    <row r="82" ht="63.75" customHeight="1">
      <c r="A82" s="30" t="s">
        <v>1722</v>
      </c>
      <c r="B82" s="31" t="s">
        <v>516</v>
      </c>
      <c r="C82" s="31" t="s">
        <v>1701</v>
      </c>
      <c r="D82" s="31" t="s">
        <v>517</v>
      </c>
      <c r="E82" s="31" t="s">
        <v>1627</v>
      </c>
      <c r="F82" s="31" t="s">
        <v>1628</v>
      </c>
      <c r="G82" s="31" t="s">
        <v>522</v>
      </c>
      <c r="H82" s="31" t="s">
        <v>1629</v>
      </c>
      <c r="I82" s="31" t="s">
        <v>1630</v>
      </c>
      <c r="J82" s="32" t="s">
        <v>1631</v>
      </c>
    </row>
    <row r="83" ht="63.75" customHeight="1">
      <c r="A83" s="30" t="s">
        <v>1723</v>
      </c>
      <c r="B83" s="31" t="s">
        <v>516</v>
      </c>
      <c r="C83" s="31" t="s">
        <v>1701</v>
      </c>
      <c r="D83" s="31" t="s">
        <v>517</v>
      </c>
      <c r="E83" s="31" t="s">
        <v>1661</v>
      </c>
      <c r="F83" s="31" t="s">
        <v>1684</v>
      </c>
      <c r="G83" s="31" t="s">
        <v>522</v>
      </c>
      <c r="H83" s="31" t="s">
        <v>1663</v>
      </c>
      <c r="I83" s="31" t="s">
        <v>1664</v>
      </c>
      <c r="J83" s="32" t="s">
        <v>1665</v>
      </c>
    </row>
    <row r="84" ht="63.75" customHeight="1">
      <c r="A84" s="30" t="s">
        <v>1724</v>
      </c>
      <c r="B84" s="31" t="s">
        <v>526</v>
      </c>
      <c r="C84" s="31" t="s">
        <v>1725</v>
      </c>
      <c r="D84" s="31" t="s">
        <v>528</v>
      </c>
      <c r="E84" s="31" t="s">
        <v>1661</v>
      </c>
      <c r="F84" s="31" t="s">
        <v>1684</v>
      </c>
      <c r="G84" s="31" t="s">
        <v>535</v>
      </c>
      <c r="H84" s="31" t="s">
        <v>1663</v>
      </c>
      <c r="I84" s="31" t="s">
        <v>1664</v>
      </c>
      <c r="J84" s="32" t="s">
        <v>1665</v>
      </c>
    </row>
    <row r="85" ht="63.75" customHeight="1">
      <c r="A85" s="30" t="s">
        <v>1726</v>
      </c>
      <c r="B85" s="31" t="s">
        <v>538</v>
      </c>
      <c r="C85" s="31" t="s">
        <v>1725</v>
      </c>
      <c r="D85" s="31" t="s">
        <v>539</v>
      </c>
      <c r="E85" s="31" t="s">
        <v>1661</v>
      </c>
      <c r="F85" s="31" t="s">
        <v>1684</v>
      </c>
      <c r="G85" s="31" t="s">
        <v>544</v>
      </c>
      <c r="H85" s="31" t="s">
        <v>1663</v>
      </c>
      <c r="I85" s="31" t="s">
        <v>1664</v>
      </c>
      <c r="J85" s="32" t="s">
        <v>1665</v>
      </c>
    </row>
    <row r="86" ht="63.75" customHeight="1">
      <c r="A86" s="30" t="s">
        <v>1727</v>
      </c>
      <c r="B86" s="31" t="s">
        <v>548</v>
      </c>
      <c r="C86" s="31" t="s">
        <v>1725</v>
      </c>
      <c r="D86" s="31" t="s">
        <v>549</v>
      </c>
      <c r="E86" s="31" t="s">
        <v>1661</v>
      </c>
      <c r="F86" s="31" t="s">
        <v>1684</v>
      </c>
      <c r="G86" s="31" t="s">
        <v>554</v>
      </c>
      <c r="H86" s="31" t="s">
        <v>1663</v>
      </c>
      <c r="I86" s="31" t="s">
        <v>1664</v>
      </c>
      <c r="J86" s="32" t="s">
        <v>1665</v>
      </c>
    </row>
    <row r="87" ht="63.75" customHeight="1">
      <c r="A87" s="30" t="s">
        <v>1728</v>
      </c>
      <c r="B87" s="31" t="s">
        <v>560</v>
      </c>
      <c r="C87" s="31" t="s">
        <v>1725</v>
      </c>
      <c r="D87" s="31" t="s">
        <v>561</v>
      </c>
      <c r="E87" s="31" t="s">
        <v>1661</v>
      </c>
      <c r="F87" s="31" t="s">
        <v>1684</v>
      </c>
      <c r="G87" s="31" t="s">
        <v>567</v>
      </c>
      <c r="H87" s="31" t="s">
        <v>1663</v>
      </c>
      <c r="I87" s="31" t="s">
        <v>1664</v>
      </c>
      <c r="J87" s="32" t="s">
        <v>1665</v>
      </c>
    </row>
    <row r="88" ht="63.75" customHeight="1">
      <c r="A88" s="30" t="s">
        <v>1729</v>
      </c>
      <c r="B88" s="31" t="s">
        <v>560</v>
      </c>
      <c r="C88" s="31" t="s">
        <v>1725</v>
      </c>
      <c r="D88" s="31" t="s">
        <v>561</v>
      </c>
      <c r="E88" s="31" t="s">
        <v>1633</v>
      </c>
      <c r="F88" s="31" t="s">
        <v>1676</v>
      </c>
      <c r="G88" s="31" t="s">
        <v>567</v>
      </c>
      <c r="H88" s="31" t="s">
        <v>1635</v>
      </c>
      <c r="I88" s="31" t="s">
        <v>1636</v>
      </c>
      <c r="J88" s="32" t="s">
        <v>1637</v>
      </c>
    </row>
    <row r="89" ht="63.75" customHeight="1">
      <c r="A89" s="30" t="s">
        <v>1730</v>
      </c>
      <c r="B89" s="31" t="s">
        <v>570</v>
      </c>
      <c r="C89" s="31" t="s">
        <v>1725</v>
      </c>
      <c r="D89" s="31" t="s">
        <v>571</v>
      </c>
      <c r="E89" s="31" t="s">
        <v>1661</v>
      </c>
      <c r="F89" s="31" t="s">
        <v>1684</v>
      </c>
      <c r="G89" s="31" t="s">
        <v>576</v>
      </c>
      <c r="H89" s="31" t="s">
        <v>1663</v>
      </c>
      <c r="I89" s="31" t="s">
        <v>1664</v>
      </c>
      <c r="J89" s="32" t="s">
        <v>1665</v>
      </c>
    </row>
    <row r="90" ht="63.75" customHeight="1">
      <c r="A90" s="30" t="s">
        <v>1731</v>
      </c>
      <c r="B90" s="31" t="s">
        <v>580</v>
      </c>
      <c r="C90" s="31" t="s">
        <v>1725</v>
      </c>
      <c r="D90" s="31" t="s">
        <v>581</v>
      </c>
      <c r="E90" s="31" t="s">
        <v>1661</v>
      </c>
      <c r="F90" s="31" t="s">
        <v>1684</v>
      </c>
      <c r="G90" s="31" t="s">
        <v>586</v>
      </c>
      <c r="H90" s="31" t="s">
        <v>1663</v>
      </c>
      <c r="I90" s="31" t="s">
        <v>1664</v>
      </c>
      <c r="J90" s="32" t="s">
        <v>1665</v>
      </c>
    </row>
    <row r="91" ht="63.75" customHeight="1">
      <c r="A91" s="30" t="s">
        <v>1732</v>
      </c>
      <c r="B91" s="31" t="s">
        <v>590</v>
      </c>
      <c r="C91" s="31" t="s">
        <v>1725</v>
      </c>
      <c r="D91" s="31" t="s">
        <v>591</v>
      </c>
      <c r="E91" s="31" t="s">
        <v>1661</v>
      </c>
      <c r="F91" s="31" t="s">
        <v>1684</v>
      </c>
      <c r="G91" s="31" t="s">
        <v>596</v>
      </c>
      <c r="H91" s="31" t="s">
        <v>1663</v>
      </c>
      <c r="I91" s="31" t="s">
        <v>1664</v>
      </c>
      <c r="J91" s="32" t="s">
        <v>1665</v>
      </c>
    </row>
    <row r="92" ht="63.75" customHeight="1">
      <c r="A92" s="30" t="s">
        <v>1733</v>
      </c>
      <c r="B92" s="31" t="s">
        <v>599</v>
      </c>
      <c r="C92" s="31" t="s">
        <v>1725</v>
      </c>
      <c r="D92" s="31" t="s">
        <v>600</v>
      </c>
      <c r="E92" s="31" t="s">
        <v>1661</v>
      </c>
      <c r="F92" s="31" t="s">
        <v>1684</v>
      </c>
      <c r="G92" s="31" t="s">
        <v>605</v>
      </c>
      <c r="H92" s="31" t="s">
        <v>1663</v>
      </c>
      <c r="I92" s="31" t="s">
        <v>1664</v>
      </c>
      <c r="J92" s="32" t="s">
        <v>1665</v>
      </c>
    </row>
    <row r="93" ht="63.75" customHeight="1">
      <c r="A93" s="30" t="s">
        <v>1734</v>
      </c>
      <c r="B93" s="31" t="s">
        <v>609</v>
      </c>
      <c r="C93" s="31" t="s">
        <v>1725</v>
      </c>
      <c r="D93" s="31" t="s">
        <v>610</v>
      </c>
      <c r="E93" s="31" t="s">
        <v>1661</v>
      </c>
      <c r="F93" s="31" t="s">
        <v>1684</v>
      </c>
      <c r="G93" s="31" t="s">
        <v>615</v>
      </c>
      <c r="H93" s="31" t="s">
        <v>1663</v>
      </c>
      <c r="I93" s="31" t="s">
        <v>1664</v>
      </c>
      <c r="J93" s="32" t="s">
        <v>1665</v>
      </c>
    </row>
    <row r="94" ht="63.75" customHeight="1">
      <c r="A94" s="30" t="s">
        <v>1735</v>
      </c>
      <c r="B94" s="31" t="s">
        <v>619</v>
      </c>
      <c r="C94" s="31" t="s">
        <v>1725</v>
      </c>
      <c r="D94" s="31" t="s">
        <v>621</v>
      </c>
      <c r="E94" s="31" t="s">
        <v>1661</v>
      </c>
      <c r="F94" s="31" t="s">
        <v>1662</v>
      </c>
      <c r="G94" s="31" t="s">
        <v>628</v>
      </c>
      <c r="H94" s="31" t="s">
        <v>1663</v>
      </c>
      <c r="I94" s="31" t="s">
        <v>1664</v>
      </c>
      <c r="J94" s="32" t="s">
        <v>1665</v>
      </c>
    </row>
    <row r="95" ht="63.75" customHeight="1">
      <c r="A95" s="30" t="s">
        <v>1736</v>
      </c>
      <c r="B95" s="31" t="s">
        <v>632</v>
      </c>
      <c r="C95" s="31" t="s">
        <v>1737</v>
      </c>
      <c r="D95" s="31" t="s">
        <v>634</v>
      </c>
      <c r="E95" s="31" t="s">
        <v>1661</v>
      </c>
      <c r="F95" s="31" t="s">
        <v>1684</v>
      </c>
      <c r="G95" s="31" t="s">
        <v>640</v>
      </c>
      <c r="H95" s="31" t="s">
        <v>1663</v>
      </c>
      <c r="I95" s="31" t="s">
        <v>1664</v>
      </c>
      <c r="J95" s="32" t="s">
        <v>1665</v>
      </c>
    </row>
    <row r="96" ht="63.75" customHeight="1">
      <c r="A96" s="30" t="s">
        <v>1738</v>
      </c>
      <c r="B96" s="31" t="s">
        <v>644</v>
      </c>
      <c r="C96" s="31" t="s">
        <v>1737</v>
      </c>
      <c r="D96" s="31" t="s">
        <v>645</v>
      </c>
      <c r="E96" s="31" t="s">
        <v>1661</v>
      </c>
      <c r="F96" s="31" t="s">
        <v>1684</v>
      </c>
      <c r="G96" s="31" t="s">
        <v>651</v>
      </c>
      <c r="H96" s="31" t="s">
        <v>1663</v>
      </c>
      <c r="I96" s="31" t="s">
        <v>1664</v>
      </c>
      <c r="J96" s="32" t="s">
        <v>1665</v>
      </c>
    </row>
    <row r="97" ht="63.75" customHeight="1">
      <c r="A97" s="30" t="s">
        <v>1739</v>
      </c>
      <c r="B97" s="31" t="s">
        <v>655</v>
      </c>
      <c r="C97" s="31" t="s">
        <v>1737</v>
      </c>
      <c r="D97" s="31" t="s">
        <v>656</v>
      </c>
      <c r="E97" s="31" t="s">
        <v>1661</v>
      </c>
      <c r="F97" s="31" t="s">
        <v>1684</v>
      </c>
      <c r="G97" s="31" t="s">
        <v>661</v>
      </c>
      <c r="H97" s="31" t="s">
        <v>1663</v>
      </c>
      <c r="I97" s="31" t="s">
        <v>1664</v>
      </c>
      <c r="J97" s="32" t="s">
        <v>1665</v>
      </c>
    </row>
    <row r="98" ht="63.75" customHeight="1">
      <c r="A98" s="30" t="s">
        <v>1740</v>
      </c>
      <c r="B98" s="31" t="s">
        <v>665</v>
      </c>
      <c r="C98" s="31" t="s">
        <v>1737</v>
      </c>
      <c r="D98" s="31" t="s">
        <v>666</v>
      </c>
      <c r="E98" s="31" t="s">
        <v>1661</v>
      </c>
      <c r="F98" s="31" t="s">
        <v>1684</v>
      </c>
      <c r="G98" s="31" t="s">
        <v>671</v>
      </c>
      <c r="H98" s="31" t="s">
        <v>1663</v>
      </c>
      <c r="I98" s="31" t="s">
        <v>1664</v>
      </c>
      <c r="J98" s="32" t="s">
        <v>1665</v>
      </c>
    </row>
    <row r="99" ht="63.75" customHeight="1">
      <c r="A99" s="30" t="s">
        <v>1741</v>
      </c>
      <c r="B99" s="31" t="s">
        <v>675</v>
      </c>
      <c r="C99" s="31" t="s">
        <v>1737</v>
      </c>
      <c r="D99" s="31" t="s">
        <v>676</v>
      </c>
      <c r="E99" s="31" t="s">
        <v>1661</v>
      </c>
      <c r="F99" s="31" t="s">
        <v>1684</v>
      </c>
      <c r="G99" s="31" t="s">
        <v>681</v>
      </c>
      <c r="H99" s="31" t="s">
        <v>1663</v>
      </c>
      <c r="I99" s="31" t="s">
        <v>1664</v>
      </c>
      <c r="J99" s="32" t="s">
        <v>1665</v>
      </c>
    </row>
    <row r="100" ht="63.75" customHeight="1">
      <c r="A100" s="30" t="s">
        <v>1742</v>
      </c>
      <c r="B100" s="31" t="s">
        <v>685</v>
      </c>
      <c r="C100" s="31" t="s">
        <v>1737</v>
      </c>
      <c r="D100" s="31" t="s">
        <v>686</v>
      </c>
      <c r="E100" s="31" t="s">
        <v>1661</v>
      </c>
      <c r="F100" s="31" t="s">
        <v>1684</v>
      </c>
      <c r="G100" s="31" t="s">
        <v>691</v>
      </c>
      <c r="H100" s="31" t="s">
        <v>1663</v>
      </c>
      <c r="I100" s="31" t="s">
        <v>1664</v>
      </c>
      <c r="J100" s="32" t="s">
        <v>1665</v>
      </c>
    </row>
    <row r="101" ht="63.75" customHeight="1">
      <c r="A101" s="30" t="s">
        <v>1743</v>
      </c>
      <c r="B101" s="31" t="s">
        <v>695</v>
      </c>
      <c r="C101" s="31" t="s">
        <v>1737</v>
      </c>
      <c r="D101" s="31" t="s">
        <v>696</v>
      </c>
      <c r="E101" s="31" t="s">
        <v>1661</v>
      </c>
      <c r="F101" s="31" t="s">
        <v>1684</v>
      </c>
      <c r="G101" s="31" t="s">
        <v>702</v>
      </c>
      <c r="H101" s="31" t="s">
        <v>1663</v>
      </c>
      <c r="I101" s="31" t="s">
        <v>1664</v>
      </c>
      <c r="J101" s="32" t="s">
        <v>1665</v>
      </c>
    </row>
    <row r="102" ht="63.75" customHeight="1">
      <c r="A102" s="30" t="s">
        <v>1744</v>
      </c>
      <c r="B102" s="31" t="s">
        <v>706</v>
      </c>
      <c r="C102" s="31" t="s">
        <v>1737</v>
      </c>
      <c r="D102" s="31" t="s">
        <v>707</v>
      </c>
      <c r="E102" s="31" t="s">
        <v>1661</v>
      </c>
      <c r="F102" s="31" t="s">
        <v>1684</v>
      </c>
      <c r="G102" s="31" t="s">
        <v>712</v>
      </c>
      <c r="H102" s="31" t="s">
        <v>1663</v>
      </c>
      <c r="I102" s="31" t="s">
        <v>1664</v>
      </c>
      <c r="J102" s="32" t="s">
        <v>1665</v>
      </c>
    </row>
    <row r="103" ht="63.75" customHeight="1">
      <c r="A103" s="30" t="s">
        <v>1745</v>
      </c>
      <c r="B103" s="31" t="s">
        <v>716</v>
      </c>
      <c r="C103" s="31" t="s">
        <v>1737</v>
      </c>
      <c r="D103" s="31" t="s">
        <v>717</v>
      </c>
      <c r="E103" s="31" t="s">
        <v>1661</v>
      </c>
      <c r="F103" s="31" t="s">
        <v>1662</v>
      </c>
      <c r="G103" s="31" t="s">
        <v>723</v>
      </c>
      <c r="H103" s="31" t="s">
        <v>1663</v>
      </c>
      <c r="I103" s="31" t="s">
        <v>1664</v>
      </c>
      <c r="J103" s="32" t="s">
        <v>1665</v>
      </c>
    </row>
    <row r="104" ht="63.75" customHeight="1">
      <c r="A104" s="30" t="s">
        <v>1746</v>
      </c>
      <c r="B104" s="31" t="s">
        <v>727</v>
      </c>
      <c r="C104" s="31" t="s">
        <v>1737</v>
      </c>
      <c r="D104" s="31" t="s">
        <v>729</v>
      </c>
      <c r="E104" s="31" t="s">
        <v>1661</v>
      </c>
      <c r="F104" s="31" t="s">
        <v>1662</v>
      </c>
      <c r="G104" s="31" t="s">
        <v>735</v>
      </c>
      <c r="H104" s="31" t="s">
        <v>1663</v>
      </c>
      <c r="I104" s="31" t="s">
        <v>1664</v>
      </c>
      <c r="J104" s="32" t="s">
        <v>1665</v>
      </c>
    </row>
    <row r="105" ht="63.75" customHeight="1">
      <c r="A105" s="30" t="s">
        <v>1747</v>
      </c>
      <c r="B105" s="31" t="s">
        <v>739</v>
      </c>
      <c r="C105" s="31" t="s">
        <v>38</v>
      </c>
      <c r="D105" s="31" t="s">
        <v>741</v>
      </c>
      <c r="E105" s="31" t="s">
        <v>1633</v>
      </c>
      <c r="F105" s="31" t="s">
        <v>1634</v>
      </c>
      <c r="G105" s="31" t="s">
        <v>747</v>
      </c>
      <c r="H105" s="31" t="s">
        <v>1635</v>
      </c>
      <c r="I105" s="31" t="s">
        <v>1636</v>
      </c>
      <c r="J105" s="32" t="s">
        <v>1637</v>
      </c>
    </row>
    <row r="106" ht="63.75" customHeight="1">
      <c r="A106" s="30" t="s">
        <v>1748</v>
      </c>
      <c r="B106" s="31" t="s">
        <v>751</v>
      </c>
      <c r="C106" s="31" t="s">
        <v>38</v>
      </c>
      <c r="D106" s="31" t="s">
        <v>752</v>
      </c>
      <c r="E106" s="31" t="s">
        <v>1633</v>
      </c>
      <c r="F106" s="31" t="s">
        <v>1634</v>
      </c>
      <c r="G106" s="31" t="s">
        <v>757</v>
      </c>
      <c r="H106" s="31" t="s">
        <v>1635</v>
      </c>
      <c r="I106" s="31" t="s">
        <v>1636</v>
      </c>
      <c r="J106" s="32" t="s">
        <v>1637</v>
      </c>
    </row>
    <row r="107" ht="63.75" customHeight="1">
      <c r="A107" s="30" t="s">
        <v>1749</v>
      </c>
      <c r="B107" s="31" t="s">
        <v>761</v>
      </c>
      <c r="C107" s="31" t="s">
        <v>38</v>
      </c>
      <c r="D107" s="31" t="s">
        <v>762</v>
      </c>
      <c r="E107" s="31" t="s">
        <v>1633</v>
      </c>
      <c r="F107" s="31" t="s">
        <v>1634</v>
      </c>
      <c r="G107" s="31" t="s">
        <v>767</v>
      </c>
      <c r="H107" s="31" t="s">
        <v>1635</v>
      </c>
      <c r="I107" s="31" t="s">
        <v>1636</v>
      </c>
      <c r="J107" s="32" t="s">
        <v>1637</v>
      </c>
    </row>
    <row r="108" ht="63.75" customHeight="1">
      <c r="A108" s="30" t="s">
        <v>1750</v>
      </c>
      <c r="B108" s="31" t="s">
        <v>769</v>
      </c>
      <c r="C108" s="31" t="s">
        <v>38</v>
      </c>
      <c r="D108" s="31" t="s">
        <v>770</v>
      </c>
      <c r="E108" s="31" t="s">
        <v>1633</v>
      </c>
      <c r="F108" s="31" t="s">
        <v>1634</v>
      </c>
      <c r="G108" s="31" t="s">
        <v>775</v>
      </c>
      <c r="H108" s="31" t="s">
        <v>1635</v>
      </c>
      <c r="I108" s="31" t="s">
        <v>1636</v>
      </c>
      <c r="J108" s="32" t="s">
        <v>1637</v>
      </c>
    </row>
    <row r="109" ht="63.75" customHeight="1">
      <c r="A109" s="30" t="s">
        <v>1751</v>
      </c>
      <c r="B109" s="31" t="s">
        <v>778</v>
      </c>
      <c r="C109" s="31" t="s">
        <v>38</v>
      </c>
      <c r="D109" s="31" t="s">
        <v>779</v>
      </c>
      <c r="E109" s="31" t="s">
        <v>1633</v>
      </c>
      <c r="F109" s="31" t="s">
        <v>1634</v>
      </c>
      <c r="G109" s="31" t="s">
        <v>784</v>
      </c>
      <c r="H109" s="31" t="s">
        <v>1635</v>
      </c>
      <c r="I109" s="31" t="s">
        <v>1636</v>
      </c>
      <c r="J109" s="32" t="s">
        <v>1637</v>
      </c>
    </row>
    <row r="110" ht="63.75" customHeight="1">
      <c r="A110" s="30" t="s">
        <v>1752</v>
      </c>
      <c r="B110" s="31" t="s">
        <v>788</v>
      </c>
      <c r="C110" s="31" t="s">
        <v>38</v>
      </c>
      <c r="D110" s="31" t="s">
        <v>789</v>
      </c>
      <c r="E110" s="31" t="s">
        <v>1633</v>
      </c>
      <c r="F110" s="31" t="s">
        <v>1634</v>
      </c>
      <c r="G110" s="31" t="s">
        <v>795</v>
      </c>
      <c r="H110" s="31" t="s">
        <v>1635</v>
      </c>
      <c r="I110" s="31" t="s">
        <v>1636</v>
      </c>
      <c r="J110" s="32" t="s">
        <v>1637</v>
      </c>
    </row>
    <row r="111" ht="63.75" customHeight="1">
      <c r="A111" s="30" t="s">
        <v>1753</v>
      </c>
      <c r="B111" s="31" t="s">
        <v>798</v>
      </c>
      <c r="C111" s="31" t="s">
        <v>38</v>
      </c>
      <c r="D111" s="31" t="s">
        <v>799</v>
      </c>
      <c r="E111" s="31" t="s">
        <v>1633</v>
      </c>
      <c r="F111" s="31" t="s">
        <v>1634</v>
      </c>
      <c r="G111" s="31" t="s">
        <v>804</v>
      </c>
      <c r="H111" s="31" t="s">
        <v>1635</v>
      </c>
      <c r="I111" s="31" t="s">
        <v>1636</v>
      </c>
      <c r="J111" s="32" t="s">
        <v>1637</v>
      </c>
    </row>
    <row r="112" ht="63.75" customHeight="1">
      <c r="A112" s="30" t="s">
        <v>1754</v>
      </c>
      <c r="B112" s="31" t="s">
        <v>806</v>
      </c>
      <c r="C112" s="31" t="s">
        <v>38</v>
      </c>
      <c r="D112" s="31" t="s">
        <v>807</v>
      </c>
      <c r="E112" s="31" t="s">
        <v>1633</v>
      </c>
      <c r="F112" s="31" t="s">
        <v>1634</v>
      </c>
      <c r="G112" s="31" t="s">
        <v>812</v>
      </c>
      <c r="H112" s="31" t="s">
        <v>1635</v>
      </c>
      <c r="I112" s="31" t="s">
        <v>1636</v>
      </c>
      <c r="J112" s="32" t="s">
        <v>1637</v>
      </c>
    </row>
    <row r="113" ht="63.75" customHeight="1">
      <c r="A113" s="30" t="s">
        <v>1755</v>
      </c>
      <c r="B113" s="31" t="s">
        <v>816</v>
      </c>
      <c r="C113" s="31" t="s">
        <v>38</v>
      </c>
      <c r="D113" s="31" t="s">
        <v>817</v>
      </c>
      <c r="E113" s="31" t="s">
        <v>1633</v>
      </c>
      <c r="F113" s="31" t="s">
        <v>1634</v>
      </c>
      <c r="G113" s="31" t="s">
        <v>822</v>
      </c>
      <c r="H113" s="31" t="s">
        <v>1635</v>
      </c>
      <c r="I113" s="31" t="s">
        <v>1636</v>
      </c>
      <c r="J113" s="32" t="s">
        <v>1637</v>
      </c>
    </row>
    <row r="114" ht="63.75" customHeight="1">
      <c r="A114" s="35" t="s">
        <v>1756</v>
      </c>
      <c r="B114" s="36" t="s">
        <v>826</v>
      </c>
      <c r="C114" s="36" t="s">
        <v>38</v>
      </c>
      <c r="D114" s="36" t="s">
        <v>827</v>
      </c>
      <c r="E114" s="36" t="s">
        <v>1633</v>
      </c>
      <c r="F114" s="36" t="s">
        <v>1634</v>
      </c>
      <c r="G114" s="36" t="s">
        <v>832</v>
      </c>
      <c r="H114" s="36" t="s">
        <v>1635</v>
      </c>
      <c r="I114" s="36" t="s">
        <v>1636</v>
      </c>
      <c r="J114" s="37" t="s">
        <v>1637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6.0"/>
    <col customWidth="1" min="3" max="3" width="18.0"/>
    <col customWidth="1" min="4" max="4" width="24.0"/>
    <col customWidth="1" min="5" max="5" width="32.0"/>
    <col customWidth="1" min="6" max="6" width="38.0"/>
    <col customWidth="1" min="7" max="7" width="20.0"/>
    <col customWidth="1" min="8" max="8" width="30.0"/>
    <col customWidth="1" min="9" max="9" width="16.0"/>
    <col customWidth="1" min="10" max="10" width="48.0"/>
    <col customWidth="1" min="11" max="11" width="44.0"/>
    <col customWidth="1" min="12" max="12" width="38.0"/>
    <col customWidth="1" min="13" max="26" width="8.63"/>
  </cols>
  <sheetData>
    <row r="1" ht="27.75" customHeight="1">
      <c r="A1" s="2" t="s">
        <v>1757</v>
      </c>
    </row>
    <row r="2" ht="33.75" customHeight="1">
      <c r="A2" s="4" t="s">
        <v>1758</v>
      </c>
    </row>
    <row r="4">
      <c r="A4" s="5" t="s">
        <v>1759</v>
      </c>
      <c r="B4" s="24" t="s">
        <v>1760</v>
      </c>
      <c r="C4" s="24" t="s">
        <v>1761</v>
      </c>
      <c r="D4" s="6" t="s">
        <v>1762</v>
      </c>
    </row>
    <row r="5" ht="36.0" customHeight="1">
      <c r="A5" s="11" t="s">
        <v>56</v>
      </c>
      <c r="B5" s="13">
        <f t="shared" ref="B5:B10" si="1">COUNTIF($G$15:$G$82,A5)</f>
        <v>22</v>
      </c>
      <c r="C5" s="14">
        <f t="shared" ref="C5:C10" si="2">B5/68</f>
        <v>0.3235294118</v>
      </c>
      <c r="D5" s="15" t="s">
        <v>57</v>
      </c>
    </row>
    <row r="6" ht="36.0" customHeight="1">
      <c r="A6" s="11" t="s">
        <v>60</v>
      </c>
      <c r="B6" s="13">
        <f t="shared" si="1"/>
        <v>14</v>
      </c>
      <c r="C6" s="14">
        <f t="shared" si="2"/>
        <v>0.2058823529</v>
      </c>
      <c r="D6" s="15" t="s">
        <v>61</v>
      </c>
    </row>
    <row r="7" ht="36.0" customHeight="1">
      <c r="A7" s="11" t="s">
        <v>64</v>
      </c>
      <c r="B7" s="13">
        <f t="shared" si="1"/>
        <v>10</v>
      </c>
      <c r="C7" s="14">
        <f t="shared" si="2"/>
        <v>0.1470588235</v>
      </c>
      <c r="D7" s="15" t="s">
        <v>65</v>
      </c>
    </row>
    <row r="8" ht="36.0" customHeight="1">
      <c r="A8" s="11" t="s">
        <v>68</v>
      </c>
      <c r="B8" s="13">
        <f t="shared" si="1"/>
        <v>19</v>
      </c>
      <c r="C8" s="14">
        <f t="shared" si="2"/>
        <v>0.2794117647</v>
      </c>
      <c r="D8" s="15" t="s">
        <v>69</v>
      </c>
    </row>
    <row r="9" ht="36.0" customHeight="1">
      <c r="A9" s="11" t="s">
        <v>70</v>
      </c>
      <c r="B9" s="13">
        <f t="shared" si="1"/>
        <v>3</v>
      </c>
      <c r="C9" s="14">
        <f t="shared" si="2"/>
        <v>0.04411764706</v>
      </c>
      <c r="D9" s="15" t="s">
        <v>71</v>
      </c>
    </row>
    <row r="10" ht="36.0" customHeight="1">
      <c r="A10" s="17" t="s">
        <v>72</v>
      </c>
      <c r="B10" s="20">
        <f t="shared" si="1"/>
        <v>0</v>
      </c>
      <c r="C10" s="21">
        <f t="shared" si="2"/>
        <v>0</v>
      </c>
      <c r="D10" s="22" t="s">
        <v>73</v>
      </c>
    </row>
    <row r="14">
      <c r="A14" s="40" t="s">
        <v>76</v>
      </c>
      <c r="B14" s="41" t="s">
        <v>4</v>
      </c>
      <c r="C14" s="41" t="s">
        <v>77</v>
      </c>
      <c r="D14" s="41" t="s">
        <v>839</v>
      </c>
      <c r="E14" s="41" t="s">
        <v>80</v>
      </c>
      <c r="F14" s="41" t="s">
        <v>81</v>
      </c>
      <c r="G14" s="41" t="s">
        <v>51</v>
      </c>
      <c r="H14" s="41" t="s">
        <v>82</v>
      </c>
      <c r="I14" s="41" t="s">
        <v>1763</v>
      </c>
      <c r="J14" s="41" t="s">
        <v>1764</v>
      </c>
      <c r="K14" s="41" t="s">
        <v>1765</v>
      </c>
      <c r="L14" s="42" t="s">
        <v>1766</v>
      </c>
    </row>
    <row r="15" ht="61.5" customHeight="1">
      <c r="A15" s="30" t="s">
        <v>97</v>
      </c>
      <c r="B15" s="31" t="s">
        <v>1621</v>
      </c>
      <c r="C15" s="31" t="s">
        <v>98</v>
      </c>
      <c r="D15" s="31" t="s">
        <v>99</v>
      </c>
      <c r="E15" s="31" t="s">
        <v>100</v>
      </c>
      <c r="F15" s="31" t="s">
        <v>101</v>
      </c>
      <c r="G15" s="31" t="s">
        <v>56</v>
      </c>
      <c r="H15" s="31" t="s">
        <v>103</v>
      </c>
      <c r="I15" s="31" t="s">
        <v>104</v>
      </c>
      <c r="J15" s="31" t="s">
        <v>1767</v>
      </c>
      <c r="K15" s="31" t="s">
        <v>1768</v>
      </c>
      <c r="L15" s="32" t="s">
        <v>111</v>
      </c>
    </row>
    <row r="16" ht="61.5" customHeight="1">
      <c r="A16" s="30" t="s">
        <v>118</v>
      </c>
      <c r="B16" s="31" t="s">
        <v>1621</v>
      </c>
      <c r="C16" s="31" t="s">
        <v>98</v>
      </c>
      <c r="D16" s="31" t="s">
        <v>119</v>
      </c>
      <c r="E16" s="31" t="s">
        <v>120</v>
      </c>
      <c r="F16" s="31" t="s">
        <v>121</v>
      </c>
      <c r="G16" s="31" t="s">
        <v>70</v>
      </c>
      <c r="H16" s="31" t="s">
        <v>123</v>
      </c>
      <c r="I16" s="31" t="s">
        <v>104</v>
      </c>
      <c r="J16" s="31" t="s">
        <v>1769</v>
      </c>
      <c r="K16" s="31" t="s">
        <v>1770</v>
      </c>
      <c r="L16" s="32" t="s">
        <v>129</v>
      </c>
    </row>
    <row r="17" ht="61.5" customHeight="1">
      <c r="A17" s="30" t="s">
        <v>134</v>
      </c>
      <c r="B17" s="31" t="s">
        <v>1621</v>
      </c>
      <c r="C17" s="31" t="s">
        <v>98</v>
      </c>
      <c r="D17" s="31" t="s">
        <v>119</v>
      </c>
      <c r="E17" s="31" t="s">
        <v>135</v>
      </c>
      <c r="F17" s="31" t="s">
        <v>136</v>
      </c>
      <c r="G17" s="31" t="s">
        <v>64</v>
      </c>
      <c r="H17" s="31" t="s">
        <v>103</v>
      </c>
      <c r="I17" s="31" t="s">
        <v>104</v>
      </c>
      <c r="J17" s="31" t="s">
        <v>1771</v>
      </c>
      <c r="K17" s="31" t="s">
        <v>1772</v>
      </c>
      <c r="L17" s="32" t="s">
        <v>143</v>
      </c>
    </row>
    <row r="18" ht="61.5" customHeight="1">
      <c r="A18" s="30" t="s">
        <v>146</v>
      </c>
      <c r="B18" s="31" t="s">
        <v>1621</v>
      </c>
      <c r="C18" s="31" t="s">
        <v>98</v>
      </c>
      <c r="D18" s="31" t="s">
        <v>147</v>
      </c>
      <c r="E18" s="31" t="s">
        <v>148</v>
      </c>
      <c r="F18" s="31" t="s">
        <v>149</v>
      </c>
      <c r="G18" s="31" t="s">
        <v>56</v>
      </c>
      <c r="H18" s="31" t="s">
        <v>151</v>
      </c>
      <c r="I18" s="31" t="s">
        <v>104</v>
      </c>
      <c r="J18" s="31" t="s">
        <v>1767</v>
      </c>
      <c r="K18" s="31" t="s">
        <v>1773</v>
      </c>
      <c r="L18" s="32" t="s">
        <v>157</v>
      </c>
    </row>
    <row r="19" ht="61.5" customHeight="1">
      <c r="A19" s="30" t="s">
        <v>160</v>
      </c>
      <c r="B19" s="31" t="s">
        <v>1621</v>
      </c>
      <c r="C19" s="31" t="s">
        <v>98</v>
      </c>
      <c r="D19" s="31" t="s">
        <v>161</v>
      </c>
      <c r="E19" s="31" t="s">
        <v>162</v>
      </c>
      <c r="F19" s="31" t="s">
        <v>163</v>
      </c>
      <c r="G19" s="31" t="s">
        <v>64</v>
      </c>
      <c r="H19" s="31" t="s">
        <v>123</v>
      </c>
      <c r="I19" s="31" t="s">
        <v>104</v>
      </c>
      <c r="J19" s="31" t="s">
        <v>1771</v>
      </c>
      <c r="K19" s="31" t="s">
        <v>1774</v>
      </c>
      <c r="L19" s="32" t="s">
        <v>169</v>
      </c>
    </row>
    <row r="20" ht="61.5" customHeight="1">
      <c r="A20" s="30" t="s">
        <v>171</v>
      </c>
      <c r="B20" s="31" t="s">
        <v>1621</v>
      </c>
      <c r="C20" s="31" t="s">
        <v>98</v>
      </c>
      <c r="D20" s="31" t="s">
        <v>172</v>
      </c>
      <c r="E20" s="31" t="s">
        <v>173</v>
      </c>
      <c r="F20" s="31" t="s">
        <v>174</v>
      </c>
      <c r="G20" s="31" t="s">
        <v>60</v>
      </c>
      <c r="H20" s="31" t="s">
        <v>176</v>
      </c>
      <c r="I20" s="31" t="s">
        <v>104</v>
      </c>
      <c r="J20" s="31" t="s">
        <v>1775</v>
      </c>
      <c r="K20" s="31" t="s">
        <v>1776</v>
      </c>
      <c r="L20" s="32" t="s">
        <v>181</v>
      </c>
    </row>
    <row r="21" ht="61.5" customHeight="1">
      <c r="A21" s="30" t="s">
        <v>184</v>
      </c>
      <c r="B21" s="31" t="s">
        <v>1621</v>
      </c>
      <c r="C21" s="31" t="s">
        <v>98</v>
      </c>
      <c r="D21" s="31" t="s">
        <v>185</v>
      </c>
      <c r="E21" s="31" t="s">
        <v>186</v>
      </c>
      <c r="F21" s="31" t="s">
        <v>187</v>
      </c>
      <c r="G21" s="31" t="s">
        <v>68</v>
      </c>
      <c r="H21" s="31" t="s">
        <v>176</v>
      </c>
      <c r="I21" s="31" t="s">
        <v>104</v>
      </c>
      <c r="J21" s="31" t="s">
        <v>1777</v>
      </c>
      <c r="K21" s="31" t="s">
        <v>1778</v>
      </c>
      <c r="L21" s="32" t="s">
        <v>193</v>
      </c>
    </row>
    <row r="22" ht="61.5" customHeight="1">
      <c r="A22" s="30" t="s">
        <v>195</v>
      </c>
      <c r="B22" s="31" t="s">
        <v>1621</v>
      </c>
      <c r="C22" s="31" t="s">
        <v>98</v>
      </c>
      <c r="D22" s="31" t="s">
        <v>196</v>
      </c>
      <c r="E22" s="31" t="s">
        <v>197</v>
      </c>
      <c r="F22" s="31" t="s">
        <v>198</v>
      </c>
      <c r="G22" s="31" t="s">
        <v>56</v>
      </c>
      <c r="H22" s="31" t="s">
        <v>200</v>
      </c>
      <c r="I22" s="31" t="s">
        <v>104</v>
      </c>
      <c r="J22" s="31" t="s">
        <v>1767</v>
      </c>
      <c r="K22" s="31" t="s">
        <v>1779</v>
      </c>
      <c r="L22" s="32" t="s">
        <v>205</v>
      </c>
    </row>
    <row r="23" ht="61.5" customHeight="1">
      <c r="A23" s="30" t="s">
        <v>208</v>
      </c>
      <c r="B23" s="31" t="s">
        <v>1650</v>
      </c>
      <c r="C23" s="31" t="s">
        <v>209</v>
      </c>
      <c r="D23" s="31" t="s">
        <v>119</v>
      </c>
      <c r="E23" s="31" t="s">
        <v>210</v>
      </c>
      <c r="F23" s="31" t="s">
        <v>211</v>
      </c>
      <c r="G23" s="31" t="s">
        <v>56</v>
      </c>
      <c r="H23" s="31" t="s">
        <v>213</v>
      </c>
      <c r="I23" s="31" t="s">
        <v>104</v>
      </c>
      <c r="J23" s="31" t="s">
        <v>1767</v>
      </c>
      <c r="K23" s="31" t="s">
        <v>1780</v>
      </c>
      <c r="L23" s="32" t="s">
        <v>218</v>
      </c>
    </row>
    <row r="24" ht="61.5" customHeight="1">
      <c r="A24" s="30" t="s">
        <v>222</v>
      </c>
      <c r="B24" s="31" t="s">
        <v>1650</v>
      </c>
      <c r="C24" s="31" t="s">
        <v>209</v>
      </c>
      <c r="D24" s="31" t="s">
        <v>119</v>
      </c>
      <c r="E24" s="31" t="s">
        <v>223</v>
      </c>
      <c r="F24" s="31" t="s">
        <v>224</v>
      </c>
      <c r="G24" s="31" t="s">
        <v>68</v>
      </c>
      <c r="H24" s="31" t="s">
        <v>226</v>
      </c>
      <c r="I24" s="31" t="s">
        <v>104</v>
      </c>
      <c r="J24" s="31" t="s">
        <v>1777</v>
      </c>
      <c r="K24" s="31" t="s">
        <v>1781</v>
      </c>
      <c r="L24" s="32" t="s">
        <v>231</v>
      </c>
    </row>
    <row r="25" ht="61.5" customHeight="1">
      <c r="A25" s="30" t="s">
        <v>233</v>
      </c>
      <c r="B25" s="31" t="s">
        <v>1650</v>
      </c>
      <c r="C25" s="31" t="s">
        <v>209</v>
      </c>
      <c r="D25" s="31" t="s">
        <v>161</v>
      </c>
      <c r="E25" s="31" t="s">
        <v>234</v>
      </c>
      <c r="F25" s="31" t="s">
        <v>235</v>
      </c>
      <c r="G25" s="31" t="s">
        <v>64</v>
      </c>
      <c r="H25" s="31" t="s">
        <v>123</v>
      </c>
      <c r="I25" s="31" t="s">
        <v>104</v>
      </c>
      <c r="J25" s="31" t="s">
        <v>1771</v>
      </c>
      <c r="K25" s="31" t="s">
        <v>1782</v>
      </c>
      <c r="L25" s="32" t="s">
        <v>231</v>
      </c>
    </row>
    <row r="26" ht="61.5" customHeight="1">
      <c r="A26" s="30" t="s">
        <v>241</v>
      </c>
      <c r="B26" s="31" t="s">
        <v>1650</v>
      </c>
      <c r="C26" s="31" t="s">
        <v>209</v>
      </c>
      <c r="D26" s="31" t="s">
        <v>147</v>
      </c>
      <c r="E26" s="31" t="s">
        <v>242</v>
      </c>
      <c r="F26" s="31" t="s">
        <v>243</v>
      </c>
      <c r="G26" s="31" t="s">
        <v>56</v>
      </c>
      <c r="H26" s="31" t="s">
        <v>151</v>
      </c>
      <c r="I26" s="31" t="s">
        <v>104</v>
      </c>
      <c r="J26" s="31" t="s">
        <v>1767</v>
      </c>
      <c r="K26" s="31" t="s">
        <v>1783</v>
      </c>
      <c r="L26" s="32" t="s">
        <v>231</v>
      </c>
    </row>
    <row r="27" ht="61.5" customHeight="1">
      <c r="A27" s="30" t="s">
        <v>250</v>
      </c>
      <c r="B27" s="31" t="s">
        <v>1650</v>
      </c>
      <c r="C27" s="31" t="s">
        <v>209</v>
      </c>
      <c r="D27" s="31" t="s">
        <v>172</v>
      </c>
      <c r="E27" s="31" t="s">
        <v>251</v>
      </c>
      <c r="F27" s="31" t="s">
        <v>252</v>
      </c>
      <c r="G27" s="31" t="s">
        <v>68</v>
      </c>
      <c r="H27" s="31" t="s">
        <v>254</v>
      </c>
      <c r="I27" s="31" t="s">
        <v>104</v>
      </c>
      <c r="J27" s="31" t="s">
        <v>1777</v>
      </c>
      <c r="K27" s="31" t="s">
        <v>1784</v>
      </c>
      <c r="L27" s="32" t="s">
        <v>258</v>
      </c>
    </row>
    <row r="28" ht="61.5" customHeight="1">
      <c r="A28" s="30" t="s">
        <v>260</v>
      </c>
      <c r="B28" s="31" t="s">
        <v>1650</v>
      </c>
      <c r="C28" s="31" t="s">
        <v>209</v>
      </c>
      <c r="D28" s="31" t="s">
        <v>172</v>
      </c>
      <c r="E28" s="31" t="s">
        <v>261</v>
      </c>
      <c r="F28" s="31" t="s">
        <v>262</v>
      </c>
      <c r="G28" s="31" t="s">
        <v>64</v>
      </c>
      <c r="H28" s="31" t="s">
        <v>264</v>
      </c>
      <c r="I28" s="31" t="s">
        <v>104</v>
      </c>
      <c r="J28" s="31" t="s">
        <v>1771</v>
      </c>
      <c r="K28" s="31" t="s">
        <v>1785</v>
      </c>
      <c r="L28" s="32" t="s">
        <v>231</v>
      </c>
    </row>
    <row r="29" ht="61.5" customHeight="1">
      <c r="A29" s="30" t="s">
        <v>270</v>
      </c>
      <c r="B29" s="31" t="s">
        <v>1650</v>
      </c>
      <c r="C29" s="31" t="s">
        <v>209</v>
      </c>
      <c r="D29" s="31" t="s">
        <v>147</v>
      </c>
      <c r="E29" s="31" t="s">
        <v>271</v>
      </c>
      <c r="F29" s="31" t="s">
        <v>272</v>
      </c>
      <c r="G29" s="31" t="s">
        <v>56</v>
      </c>
      <c r="H29" s="31" t="s">
        <v>274</v>
      </c>
      <c r="I29" s="31" t="s">
        <v>104</v>
      </c>
      <c r="J29" s="31" t="s">
        <v>1767</v>
      </c>
      <c r="K29" s="31" t="s">
        <v>1786</v>
      </c>
      <c r="L29" s="32" t="s">
        <v>280</v>
      </c>
    </row>
    <row r="30" ht="61.5" customHeight="1">
      <c r="A30" s="30" t="s">
        <v>283</v>
      </c>
      <c r="B30" s="31" t="s">
        <v>1650</v>
      </c>
      <c r="C30" s="31" t="s">
        <v>209</v>
      </c>
      <c r="D30" s="31" t="s">
        <v>284</v>
      </c>
      <c r="E30" s="31" t="s">
        <v>285</v>
      </c>
      <c r="F30" s="31" t="s">
        <v>286</v>
      </c>
      <c r="G30" s="31" t="s">
        <v>60</v>
      </c>
      <c r="H30" s="31" t="s">
        <v>176</v>
      </c>
      <c r="I30" s="31" t="s">
        <v>104</v>
      </c>
      <c r="J30" s="31" t="s">
        <v>1775</v>
      </c>
      <c r="K30" s="31" t="s">
        <v>1787</v>
      </c>
      <c r="L30" s="32" t="s">
        <v>292</v>
      </c>
    </row>
    <row r="31" ht="61.5" customHeight="1">
      <c r="A31" s="30" t="s">
        <v>295</v>
      </c>
      <c r="B31" s="31" t="s">
        <v>1650</v>
      </c>
      <c r="C31" s="31" t="s">
        <v>209</v>
      </c>
      <c r="D31" s="31" t="s">
        <v>185</v>
      </c>
      <c r="E31" s="31" t="s">
        <v>296</v>
      </c>
      <c r="F31" s="31" t="s">
        <v>297</v>
      </c>
      <c r="G31" s="31" t="s">
        <v>56</v>
      </c>
      <c r="H31" s="31" t="s">
        <v>299</v>
      </c>
      <c r="I31" s="31" t="s">
        <v>104</v>
      </c>
      <c r="J31" s="31" t="s">
        <v>1767</v>
      </c>
      <c r="K31" s="31" t="s">
        <v>1788</v>
      </c>
      <c r="L31" s="32" t="s">
        <v>231</v>
      </c>
    </row>
    <row r="32" ht="61.5" customHeight="1">
      <c r="A32" s="30" t="s">
        <v>305</v>
      </c>
      <c r="B32" s="31" t="s">
        <v>1650</v>
      </c>
      <c r="C32" s="31" t="s">
        <v>209</v>
      </c>
      <c r="D32" s="31" t="s">
        <v>185</v>
      </c>
      <c r="E32" s="31" t="s">
        <v>306</v>
      </c>
      <c r="F32" s="31" t="s">
        <v>307</v>
      </c>
      <c r="G32" s="31" t="s">
        <v>68</v>
      </c>
      <c r="H32" s="31" t="s">
        <v>309</v>
      </c>
      <c r="I32" s="31" t="s">
        <v>104</v>
      </c>
      <c r="J32" s="31" t="s">
        <v>1777</v>
      </c>
      <c r="K32" s="31" t="s">
        <v>1789</v>
      </c>
      <c r="L32" s="32" t="s">
        <v>313</v>
      </c>
    </row>
    <row r="33" ht="61.5" customHeight="1">
      <c r="A33" s="30" t="s">
        <v>316</v>
      </c>
      <c r="B33" s="31" t="s">
        <v>1673</v>
      </c>
      <c r="C33" s="31" t="s">
        <v>317</v>
      </c>
      <c r="D33" s="31" t="s">
        <v>119</v>
      </c>
      <c r="E33" s="31" t="s">
        <v>318</v>
      </c>
      <c r="F33" s="31" t="s">
        <v>319</v>
      </c>
      <c r="G33" s="31" t="s">
        <v>60</v>
      </c>
      <c r="H33" s="31" t="s">
        <v>321</v>
      </c>
      <c r="I33" s="31" t="s">
        <v>104</v>
      </c>
      <c r="J33" s="31" t="s">
        <v>1775</v>
      </c>
      <c r="K33" s="31" t="s">
        <v>1790</v>
      </c>
      <c r="L33" s="32" t="s">
        <v>231</v>
      </c>
    </row>
    <row r="34" ht="61.5" customHeight="1">
      <c r="A34" s="30" t="s">
        <v>327</v>
      </c>
      <c r="B34" s="31" t="s">
        <v>1673</v>
      </c>
      <c r="C34" s="31" t="s">
        <v>317</v>
      </c>
      <c r="D34" s="31" t="s">
        <v>161</v>
      </c>
      <c r="E34" s="31" t="s">
        <v>328</v>
      </c>
      <c r="F34" s="31" t="s">
        <v>329</v>
      </c>
      <c r="G34" s="31" t="s">
        <v>56</v>
      </c>
      <c r="H34" s="31" t="s">
        <v>299</v>
      </c>
      <c r="I34" s="31" t="s">
        <v>104</v>
      </c>
      <c r="J34" s="31" t="s">
        <v>1767</v>
      </c>
      <c r="K34" s="31" t="s">
        <v>1791</v>
      </c>
      <c r="L34" s="32" t="s">
        <v>231</v>
      </c>
    </row>
    <row r="35" ht="61.5" customHeight="1">
      <c r="A35" s="30" t="s">
        <v>337</v>
      </c>
      <c r="B35" s="31" t="s">
        <v>1673</v>
      </c>
      <c r="C35" s="31" t="s">
        <v>317</v>
      </c>
      <c r="D35" s="31" t="s">
        <v>161</v>
      </c>
      <c r="E35" s="31" t="s">
        <v>338</v>
      </c>
      <c r="F35" s="31" t="s">
        <v>339</v>
      </c>
      <c r="G35" s="31" t="s">
        <v>68</v>
      </c>
      <c r="H35" s="31" t="s">
        <v>341</v>
      </c>
      <c r="I35" s="31" t="s">
        <v>104</v>
      </c>
      <c r="J35" s="31" t="s">
        <v>1777</v>
      </c>
      <c r="K35" s="31" t="s">
        <v>1792</v>
      </c>
      <c r="L35" s="32" t="s">
        <v>346</v>
      </c>
    </row>
    <row r="36" ht="61.5" customHeight="1">
      <c r="A36" s="30" t="s">
        <v>349</v>
      </c>
      <c r="B36" s="31" t="s">
        <v>1673</v>
      </c>
      <c r="C36" s="31" t="s">
        <v>317</v>
      </c>
      <c r="D36" s="31" t="s">
        <v>284</v>
      </c>
      <c r="E36" s="31" t="s">
        <v>350</v>
      </c>
      <c r="F36" s="31" t="s">
        <v>351</v>
      </c>
      <c r="G36" s="31" t="s">
        <v>60</v>
      </c>
      <c r="H36" s="31" t="s">
        <v>353</v>
      </c>
      <c r="I36" s="31" t="s">
        <v>104</v>
      </c>
      <c r="J36" s="31" t="s">
        <v>1775</v>
      </c>
      <c r="K36" s="31" t="s">
        <v>1793</v>
      </c>
      <c r="L36" s="32" t="s">
        <v>358</v>
      </c>
    </row>
    <row r="37" ht="61.5" customHeight="1">
      <c r="A37" s="30" t="s">
        <v>361</v>
      </c>
      <c r="B37" s="31" t="s">
        <v>1673</v>
      </c>
      <c r="C37" s="31" t="s">
        <v>317</v>
      </c>
      <c r="D37" s="31" t="s">
        <v>161</v>
      </c>
      <c r="E37" s="31" t="s">
        <v>362</v>
      </c>
      <c r="F37" s="31" t="s">
        <v>363</v>
      </c>
      <c r="G37" s="31" t="s">
        <v>64</v>
      </c>
      <c r="H37" s="31" t="s">
        <v>123</v>
      </c>
      <c r="I37" s="31" t="s">
        <v>104</v>
      </c>
      <c r="J37" s="31" t="s">
        <v>1771</v>
      </c>
      <c r="K37" s="31" t="s">
        <v>1794</v>
      </c>
      <c r="L37" s="32" t="s">
        <v>231</v>
      </c>
    </row>
    <row r="38" ht="61.5" customHeight="1">
      <c r="A38" s="30" t="s">
        <v>370</v>
      </c>
      <c r="B38" s="31" t="s">
        <v>1673</v>
      </c>
      <c r="C38" s="31" t="s">
        <v>317</v>
      </c>
      <c r="D38" s="31" t="s">
        <v>172</v>
      </c>
      <c r="E38" s="31" t="s">
        <v>371</v>
      </c>
      <c r="F38" s="31" t="s">
        <v>372</v>
      </c>
      <c r="G38" s="31" t="s">
        <v>68</v>
      </c>
      <c r="H38" s="31" t="s">
        <v>254</v>
      </c>
      <c r="I38" s="31" t="s">
        <v>104</v>
      </c>
      <c r="J38" s="31" t="s">
        <v>1777</v>
      </c>
      <c r="K38" s="31" t="s">
        <v>1795</v>
      </c>
      <c r="L38" s="32" t="s">
        <v>377</v>
      </c>
    </row>
    <row r="39" ht="61.5" customHeight="1">
      <c r="A39" s="30" t="s">
        <v>380</v>
      </c>
      <c r="B39" s="31" t="s">
        <v>1673</v>
      </c>
      <c r="C39" s="31" t="s">
        <v>317</v>
      </c>
      <c r="D39" s="31" t="s">
        <v>172</v>
      </c>
      <c r="E39" s="31" t="s">
        <v>381</v>
      </c>
      <c r="F39" s="31" t="s">
        <v>382</v>
      </c>
      <c r="G39" s="31" t="s">
        <v>64</v>
      </c>
      <c r="H39" s="31" t="s">
        <v>384</v>
      </c>
      <c r="I39" s="31" t="s">
        <v>104</v>
      </c>
      <c r="J39" s="31" t="s">
        <v>1771</v>
      </c>
      <c r="K39" s="31" t="s">
        <v>1796</v>
      </c>
      <c r="L39" s="32" t="s">
        <v>231</v>
      </c>
    </row>
    <row r="40" ht="61.5" customHeight="1">
      <c r="A40" s="30" t="s">
        <v>390</v>
      </c>
      <c r="B40" s="31" t="s">
        <v>1673</v>
      </c>
      <c r="C40" s="31" t="s">
        <v>317</v>
      </c>
      <c r="D40" s="31" t="s">
        <v>147</v>
      </c>
      <c r="E40" s="31" t="s">
        <v>391</v>
      </c>
      <c r="F40" s="31" t="s">
        <v>392</v>
      </c>
      <c r="G40" s="31" t="s">
        <v>56</v>
      </c>
      <c r="H40" s="31" t="s">
        <v>394</v>
      </c>
      <c r="I40" s="31" t="s">
        <v>104</v>
      </c>
      <c r="J40" s="31" t="s">
        <v>1767</v>
      </c>
      <c r="K40" s="31" t="s">
        <v>1797</v>
      </c>
      <c r="L40" s="32" t="s">
        <v>231</v>
      </c>
    </row>
    <row r="41" ht="61.5" customHeight="1">
      <c r="A41" s="30" t="s">
        <v>403</v>
      </c>
      <c r="B41" s="31" t="s">
        <v>1673</v>
      </c>
      <c r="C41" s="31" t="s">
        <v>317</v>
      </c>
      <c r="D41" s="31" t="s">
        <v>185</v>
      </c>
      <c r="E41" s="31" t="s">
        <v>404</v>
      </c>
      <c r="F41" s="31" t="s">
        <v>405</v>
      </c>
      <c r="G41" s="31" t="s">
        <v>68</v>
      </c>
      <c r="H41" s="31" t="s">
        <v>176</v>
      </c>
      <c r="I41" s="31" t="s">
        <v>104</v>
      </c>
      <c r="J41" s="31" t="s">
        <v>1777</v>
      </c>
      <c r="K41" s="31" t="s">
        <v>1798</v>
      </c>
      <c r="L41" s="32" t="s">
        <v>411</v>
      </c>
    </row>
    <row r="42" ht="61.5" customHeight="1">
      <c r="A42" s="30" t="s">
        <v>414</v>
      </c>
      <c r="B42" s="31" t="s">
        <v>1673</v>
      </c>
      <c r="C42" s="31" t="s">
        <v>317</v>
      </c>
      <c r="D42" s="31" t="s">
        <v>185</v>
      </c>
      <c r="E42" s="31" t="s">
        <v>415</v>
      </c>
      <c r="F42" s="31" t="s">
        <v>416</v>
      </c>
      <c r="G42" s="31" t="s">
        <v>68</v>
      </c>
      <c r="H42" s="31" t="s">
        <v>309</v>
      </c>
      <c r="I42" s="31" t="s">
        <v>104</v>
      </c>
      <c r="J42" s="31" t="s">
        <v>1777</v>
      </c>
      <c r="K42" s="31" t="s">
        <v>1799</v>
      </c>
      <c r="L42" s="32" t="s">
        <v>231</v>
      </c>
    </row>
    <row r="43" ht="61.5" customHeight="1">
      <c r="A43" s="30" t="s">
        <v>423</v>
      </c>
      <c r="B43" s="31" t="s">
        <v>1701</v>
      </c>
      <c r="C43" s="31" t="s">
        <v>424</v>
      </c>
      <c r="D43" s="31" t="s">
        <v>119</v>
      </c>
      <c r="E43" s="31" t="s">
        <v>425</v>
      </c>
      <c r="F43" s="31" t="s">
        <v>426</v>
      </c>
      <c r="G43" s="31" t="s">
        <v>60</v>
      </c>
      <c r="H43" s="31" t="s">
        <v>321</v>
      </c>
      <c r="I43" s="31" t="s">
        <v>104</v>
      </c>
      <c r="J43" s="31" t="s">
        <v>1775</v>
      </c>
      <c r="K43" s="31" t="s">
        <v>1800</v>
      </c>
      <c r="L43" s="32" t="s">
        <v>231</v>
      </c>
    </row>
    <row r="44" ht="61.5" customHeight="1">
      <c r="A44" s="30" t="s">
        <v>434</v>
      </c>
      <c r="B44" s="31" t="s">
        <v>1701</v>
      </c>
      <c r="C44" s="31" t="s">
        <v>424</v>
      </c>
      <c r="D44" s="31" t="s">
        <v>172</v>
      </c>
      <c r="E44" s="31" t="s">
        <v>435</v>
      </c>
      <c r="F44" s="31" t="s">
        <v>436</v>
      </c>
      <c r="G44" s="31" t="s">
        <v>60</v>
      </c>
      <c r="H44" s="31" t="s">
        <v>151</v>
      </c>
      <c r="I44" s="31" t="s">
        <v>104</v>
      </c>
      <c r="J44" s="31" t="s">
        <v>1775</v>
      </c>
      <c r="K44" s="31" t="s">
        <v>1801</v>
      </c>
      <c r="L44" s="32" t="s">
        <v>441</v>
      </c>
    </row>
    <row r="45" ht="61.5" customHeight="1">
      <c r="A45" s="30" t="s">
        <v>444</v>
      </c>
      <c r="B45" s="31" t="s">
        <v>1701</v>
      </c>
      <c r="C45" s="31" t="s">
        <v>424</v>
      </c>
      <c r="D45" s="31" t="s">
        <v>161</v>
      </c>
      <c r="E45" s="31" t="s">
        <v>445</v>
      </c>
      <c r="F45" s="31" t="s">
        <v>446</v>
      </c>
      <c r="G45" s="31" t="s">
        <v>60</v>
      </c>
      <c r="H45" s="31" t="s">
        <v>176</v>
      </c>
      <c r="I45" s="31" t="s">
        <v>104</v>
      </c>
      <c r="J45" s="31" t="s">
        <v>1775</v>
      </c>
      <c r="K45" s="31" t="s">
        <v>1802</v>
      </c>
      <c r="L45" s="32" t="s">
        <v>451</v>
      </c>
    </row>
    <row r="46" ht="61.5" customHeight="1">
      <c r="A46" s="30" t="s">
        <v>454</v>
      </c>
      <c r="B46" s="31" t="s">
        <v>1701</v>
      </c>
      <c r="C46" s="31" t="s">
        <v>424</v>
      </c>
      <c r="D46" s="31" t="s">
        <v>172</v>
      </c>
      <c r="E46" s="31" t="s">
        <v>455</v>
      </c>
      <c r="F46" s="31" t="s">
        <v>456</v>
      </c>
      <c r="G46" s="31" t="s">
        <v>60</v>
      </c>
      <c r="H46" s="31" t="s">
        <v>321</v>
      </c>
      <c r="I46" s="31" t="s">
        <v>104</v>
      </c>
      <c r="J46" s="31" t="s">
        <v>1775</v>
      </c>
      <c r="K46" s="31" t="s">
        <v>1803</v>
      </c>
      <c r="L46" s="32" t="s">
        <v>461</v>
      </c>
    </row>
    <row r="47" ht="61.5" customHeight="1">
      <c r="A47" s="30" t="s">
        <v>464</v>
      </c>
      <c r="B47" s="31" t="s">
        <v>1701</v>
      </c>
      <c r="C47" s="31" t="s">
        <v>424</v>
      </c>
      <c r="D47" s="31" t="s">
        <v>161</v>
      </c>
      <c r="E47" s="31" t="s">
        <v>465</v>
      </c>
      <c r="F47" s="31" t="s">
        <v>466</v>
      </c>
      <c r="G47" s="31" t="s">
        <v>56</v>
      </c>
      <c r="H47" s="31" t="s">
        <v>299</v>
      </c>
      <c r="I47" s="31" t="s">
        <v>104</v>
      </c>
      <c r="J47" s="31" t="s">
        <v>1767</v>
      </c>
      <c r="K47" s="31" t="s">
        <v>1804</v>
      </c>
      <c r="L47" s="32" t="s">
        <v>471</v>
      </c>
    </row>
    <row r="48" ht="61.5" customHeight="1">
      <c r="A48" s="30" t="s">
        <v>474</v>
      </c>
      <c r="B48" s="31" t="s">
        <v>1701</v>
      </c>
      <c r="C48" s="31" t="s">
        <v>424</v>
      </c>
      <c r="D48" s="31" t="s">
        <v>161</v>
      </c>
      <c r="E48" s="31" t="s">
        <v>475</v>
      </c>
      <c r="F48" s="31" t="s">
        <v>476</v>
      </c>
      <c r="G48" s="31" t="s">
        <v>56</v>
      </c>
      <c r="H48" s="31" t="s">
        <v>103</v>
      </c>
      <c r="I48" s="31" t="s">
        <v>104</v>
      </c>
      <c r="J48" s="31" t="s">
        <v>1767</v>
      </c>
      <c r="K48" s="31" t="s">
        <v>1805</v>
      </c>
      <c r="L48" s="32" t="s">
        <v>231</v>
      </c>
    </row>
    <row r="49" ht="61.5" customHeight="1">
      <c r="A49" s="30" t="s">
        <v>483</v>
      </c>
      <c r="B49" s="31" t="s">
        <v>1701</v>
      </c>
      <c r="C49" s="31" t="s">
        <v>424</v>
      </c>
      <c r="D49" s="31" t="s">
        <v>172</v>
      </c>
      <c r="E49" s="31" t="s">
        <v>484</v>
      </c>
      <c r="F49" s="31" t="s">
        <v>485</v>
      </c>
      <c r="G49" s="31" t="s">
        <v>56</v>
      </c>
      <c r="H49" s="31" t="s">
        <v>487</v>
      </c>
      <c r="I49" s="31" t="s">
        <v>104</v>
      </c>
      <c r="J49" s="31" t="s">
        <v>1767</v>
      </c>
      <c r="K49" s="31" t="s">
        <v>1806</v>
      </c>
      <c r="L49" s="32" t="s">
        <v>231</v>
      </c>
    </row>
    <row r="50" ht="61.5" customHeight="1">
      <c r="A50" s="30" t="s">
        <v>496</v>
      </c>
      <c r="B50" s="31" t="s">
        <v>1701</v>
      </c>
      <c r="C50" s="31" t="s">
        <v>424</v>
      </c>
      <c r="D50" s="31" t="s">
        <v>147</v>
      </c>
      <c r="E50" s="31" t="s">
        <v>497</v>
      </c>
      <c r="F50" s="31" t="s">
        <v>498</v>
      </c>
      <c r="G50" s="31" t="s">
        <v>56</v>
      </c>
      <c r="H50" s="31" t="s">
        <v>500</v>
      </c>
      <c r="I50" s="31" t="s">
        <v>104</v>
      </c>
      <c r="J50" s="31" t="s">
        <v>1767</v>
      </c>
      <c r="K50" s="31" t="s">
        <v>1807</v>
      </c>
      <c r="L50" s="32" t="s">
        <v>231</v>
      </c>
    </row>
    <row r="51" ht="61.5" customHeight="1">
      <c r="A51" s="30" t="s">
        <v>506</v>
      </c>
      <c r="B51" s="31" t="s">
        <v>1701</v>
      </c>
      <c r="C51" s="31" t="s">
        <v>424</v>
      </c>
      <c r="D51" s="31" t="s">
        <v>185</v>
      </c>
      <c r="E51" s="31" t="s">
        <v>507</v>
      </c>
      <c r="F51" s="31" t="s">
        <v>508</v>
      </c>
      <c r="G51" s="31" t="s">
        <v>56</v>
      </c>
      <c r="H51" s="31" t="s">
        <v>299</v>
      </c>
      <c r="I51" s="31" t="s">
        <v>104</v>
      </c>
      <c r="J51" s="31" t="s">
        <v>1767</v>
      </c>
      <c r="K51" s="31" t="s">
        <v>1808</v>
      </c>
      <c r="L51" s="32" t="s">
        <v>513</v>
      </c>
    </row>
    <row r="52" ht="61.5" customHeight="1">
      <c r="A52" s="30" t="s">
        <v>516</v>
      </c>
      <c r="B52" s="31" t="s">
        <v>1701</v>
      </c>
      <c r="C52" s="31" t="s">
        <v>424</v>
      </c>
      <c r="D52" s="31" t="s">
        <v>185</v>
      </c>
      <c r="E52" s="31" t="s">
        <v>517</v>
      </c>
      <c r="F52" s="31" t="s">
        <v>518</v>
      </c>
      <c r="G52" s="31" t="s">
        <v>60</v>
      </c>
      <c r="H52" s="31" t="s">
        <v>321</v>
      </c>
      <c r="I52" s="31" t="s">
        <v>104</v>
      </c>
      <c r="J52" s="31" t="s">
        <v>1775</v>
      </c>
      <c r="K52" s="31" t="s">
        <v>1809</v>
      </c>
      <c r="L52" s="32" t="s">
        <v>523</v>
      </c>
    </row>
    <row r="53" ht="61.5" customHeight="1">
      <c r="A53" s="30" t="s">
        <v>526</v>
      </c>
      <c r="B53" s="31" t="s">
        <v>1725</v>
      </c>
      <c r="C53" s="31" t="s">
        <v>527</v>
      </c>
      <c r="D53" s="31" t="s">
        <v>119</v>
      </c>
      <c r="E53" s="31" t="s">
        <v>528</v>
      </c>
      <c r="F53" s="31" t="s">
        <v>529</v>
      </c>
      <c r="G53" s="31" t="s">
        <v>68</v>
      </c>
      <c r="H53" s="31" t="s">
        <v>531</v>
      </c>
      <c r="I53" s="31" t="s">
        <v>104</v>
      </c>
      <c r="J53" s="31" t="s">
        <v>1777</v>
      </c>
      <c r="K53" s="31" t="s">
        <v>1810</v>
      </c>
      <c r="L53" s="32" t="s">
        <v>231</v>
      </c>
    </row>
    <row r="54" ht="61.5" customHeight="1">
      <c r="A54" s="30" t="s">
        <v>538</v>
      </c>
      <c r="B54" s="31" t="s">
        <v>1725</v>
      </c>
      <c r="C54" s="31" t="s">
        <v>527</v>
      </c>
      <c r="D54" s="31" t="s">
        <v>161</v>
      </c>
      <c r="E54" s="31" t="s">
        <v>539</v>
      </c>
      <c r="F54" s="31" t="s">
        <v>540</v>
      </c>
      <c r="G54" s="31" t="s">
        <v>56</v>
      </c>
      <c r="H54" s="31" t="s">
        <v>299</v>
      </c>
      <c r="I54" s="31" t="s">
        <v>104</v>
      </c>
      <c r="J54" s="31" t="s">
        <v>1767</v>
      </c>
      <c r="K54" s="31" t="s">
        <v>1811</v>
      </c>
      <c r="L54" s="32" t="s">
        <v>545</v>
      </c>
    </row>
    <row r="55" ht="61.5" customHeight="1">
      <c r="A55" s="30" t="s">
        <v>548</v>
      </c>
      <c r="B55" s="31" t="s">
        <v>1725</v>
      </c>
      <c r="C55" s="31" t="s">
        <v>527</v>
      </c>
      <c r="D55" s="31" t="s">
        <v>284</v>
      </c>
      <c r="E55" s="31" t="s">
        <v>549</v>
      </c>
      <c r="F55" s="31" t="s">
        <v>550</v>
      </c>
      <c r="G55" s="31" t="s">
        <v>56</v>
      </c>
      <c r="H55" s="31" t="s">
        <v>264</v>
      </c>
      <c r="I55" s="31" t="s">
        <v>104</v>
      </c>
      <c r="J55" s="31" t="s">
        <v>1767</v>
      </c>
      <c r="K55" s="31" t="s">
        <v>1812</v>
      </c>
      <c r="L55" s="32" t="s">
        <v>555</v>
      </c>
    </row>
    <row r="56" ht="61.5" customHeight="1">
      <c r="A56" s="30" t="s">
        <v>560</v>
      </c>
      <c r="B56" s="31" t="s">
        <v>1725</v>
      </c>
      <c r="C56" s="31" t="s">
        <v>527</v>
      </c>
      <c r="D56" s="31" t="s">
        <v>147</v>
      </c>
      <c r="E56" s="31" t="s">
        <v>561</v>
      </c>
      <c r="F56" s="31" t="s">
        <v>562</v>
      </c>
      <c r="G56" s="31" t="s">
        <v>60</v>
      </c>
      <c r="H56" s="31" t="s">
        <v>123</v>
      </c>
      <c r="I56" s="31" t="s">
        <v>104</v>
      </c>
      <c r="J56" s="31" t="s">
        <v>1775</v>
      </c>
      <c r="K56" s="31" t="s">
        <v>1813</v>
      </c>
      <c r="L56" s="32" t="s">
        <v>231</v>
      </c>
    </row>
    <row r="57" ht="61.5" customHeight="1">
      <c r="A57" s="30" t="s">
        <v>570</v>
      </c>
      <c r="B57" s="31" t="s">
        <v>1725</v>
      </c>
      <c r="C57" s="31" t="s">
        <v>527</v>
      </c>
      <c r="D57" s="31" t="s">
        <v>161</v>
      </c>
      <c r="E57" s="31" t="s">
        <v>571</v>
      </c>
      <c r="F57" s="31" t="s">
        <v>572</v>
      </c>
      <c r="G57" s="31" t="s">
        <v>56</v>
      </c>
      <c r="H57" s="31" t="s">
        <v>299</v>
      </c>
      <c r="I57" s="31" t="s">
        <v>104</v>
      </c>
      <c r="J57" s="31" t="s">
        <v>1767</v>
      </c>
      <c r="K57" s="31" t="s">
        <v>1814</v>
      </c>
      <c r="L57" s="32" t="s">
        <v>577</v>
      </c>
    </row>
    <row r="58" ht="61.5" customHeight="1">
      <c r="A58" s="30" t="s">
        <v>580</v>
      </c>
      <c r="B58" s="31" t="s">
        <v>1725</v>
      </c>
      <c r="C58" s="31" t="s">
        <v>527</v>
      </c>
      <c r="D58" s="31" t="s">
        <v>172</v>
      </c>
      <c r="E58" s="31" t="s">
        <v>581</v>
      </c>
      <c r="F58" s="31" t="s">
        <v>582</v>
      </c>
      <c r="G58" s="31" t="s">
        <v>60</v>
      </c>
      <c r="H58" s="31" t="s">
        <v>123</v>
      </c>
      <c r="I58" s="31" t="s">
        <v>104</v>
      </c>
      <c r="J58" s="31" t="s">
        <v>1775</v>
      </c>
      <c r="K58" s="31" t="s">
        <v>1815</v>
      </c>
      <c r="L58" s="32" t="s">
        <v>587</v>
      </c>
    </row>
    <row r="59" ht="61.5" customHeight="1">
      <c r="A59" s="30" t="s">
        <v>590</v>
      </c>
      <c r="B59" s="31" t="s">
        <v>1725</v>
      </c>
      <c r="C59" s="31" t="s">
        <v>527</v>
      </c>
      <c r="D59" s="31" t="s">
        <v>185</v>
      </c>
      <c r="E59" s="31" t="s">
        <v>591</v>
      </c>
      <c r="F59" s="31" t="s">
        <v>592</v>
      </c>
      <c r="G59" s="31" t="s">
        <v>68</v>
      </c>
      <c r="H59" s="31" t="s">
        <v>176</v>
      </c>
      <c r="I59" s="31" t="s">
        <v>104</v>
      </c>
      <c r="J59" s="31" t="s">
        <v>1777</v>
      </c>
      <c r="K59" s="31" t="s">
        <v>1816</v>
      </c>
      <c r="L59" s="32" t="s">
        <v>555</v>
      </c>
    </row>
    <row r="60" ht="61.5" customHeight="1">
      <c r="A60" s="30" t="s">
        <v>599</v>
      </c>
      <c r="B60" s="31" t="s">
        <v>1725</v>
      </c>
      <c r="C60" s="31" t="s">
        <v>527</v>
      </c>
      <c r="D60" s="31" t="s">
        <v>119</v>
      </c>
      <c r="E60" s="31" t="s">
        <v>600</v>
      </c>
      <c r="F60" s="31" t="s">
        <v>601</v>
      </c>
      <c r="G60" s="31" t="s">
        <v>70</v>
      </c>
      <c r="H60" s="31" t="s">
        <v>321</v>
      </c>
      <c r="I60" s="31" t="s">
        <v>104</v>
      </c>
      <c r="J60" s="31" t="s">
        <v>1769</v>
      </c>
      <c r="K60" s="31" t="s">
        <v>1817</v>
      </c>
      <c r="L60" s="32" t="s">
        <v>606</v>
      </c>
    </row>
    <row r="61" ht="61.5" customHeight="1">
      <c r="A61" s="30" t="s">
        <v>609</v>
      </c>
      <c r="B61" s="31" t="s">
        <v>1725</v>
      </c>
      <c r="C61" s="31" t="s">
        <v>527</v>
      </c>
      <c r="D61" s="31" t="s">
        <v>161</v>
      </c>
      <c r="E61" s="31" t="s">
        <v>610</v>
      </c>
      <c r="F61" s="31" t="s">
        <v>611</v>
      </c>
      <c r="G61" s="31" t="s">
        <v>56</v>
      </c>
      <c r="H61" s="31" t="s">
        <v>264</v>
      </c>
      <c r="I61" s="31" t="s">
        <v>104</v>
      </c>
      <c r="J61" s="31" t="s">
        <v>1767</v>
      </c>
      <c r="K61" s="31" t="s">
        <v>1818</v>
      </c>
      <c r="L61" s="32" t="s">
        <v>616</v>
      </c>
    </row>
    <row r="62" ht="61.5" customHeight="1">
      <c r="A62" s="30" t="s">
        <v>619</v>
      </c>
      <c r="B62" s="31" t="s">
        <v>1725</v>
      </c>
      <c r="C62" s="31" t="s">
        <v>527</v>
      </c>
      <c r="D62" s="31" t="s">
        <v>620</v>
      </c>
      <c r="E62" s="31" t="s">
        <v>621</v>
      </c>
      <c r="F62" s="31" t="s">
        <v>622</v>
      </c>
      <c r="G62" s="31" t="s">
        <v>64</v>
      </c>
      <c r="H62" s="31" t="s">
        <v>123</v>
      </c>
      <c r="I62" s="31" t="s">
        <v>104</v>
      </c>
      <c r="J62" s="31" t="s">
        <v>1771</v>
      </c>
      <c r="K62" s="31" t="s">
        <v>1819</v>
      </c>
      <c r="L62" s="32" t="s">
        <v>629</v>
      </c>
    </row>
    <row r="63" ht="61.5" customHeight="1">
      <c r="A63" s="30" t="s">
        <v>632</v>
      </c>
      <c r="B63" s="31" t="s">
        <v>1737</v>
      </c>
      <c r="C63" s="31" t="s">
        <v>633</v>
      </c>
      <c r="D63" s="31" t="s">
        <v>161</v>
      </c>
      <c r="E63" s="31" t="s">
        <v>634</v>
      </c>
      <c r="F63" s="31" t="s">
        <v>635</v>
      </c>
      <c r="G63" s="31" t="s">
        <v>68</v>
      </c>
      <c r="H63" s="31" t="s">
        <v>176</v>
      </c>
      <c r="I63" s="31" t="s">
        <v>104</v>
      </c>
      <c r="J63" s="31" t="s">
        <v>1777</v>
      </c>
      <c r="K63" s="31" t="s">
        <v>1820</v>
      </c>
      <c r="L63" s="32" t="s">
        <v>641</v>
      </c>
    </row>
    <row r="64" ht="61.5" customHeight="1">
      <c r="A64" s="30" t="s">
        <v>644</v>
      </c>
      <c r="B64" s="31" t="s">
        <v>1737</v>
      </c>
      <c r="C64" s="31" t="s">
        <v>633</v>
      </c>
      <c r="D64" s="31" t="s">
        <v>284</v>
      </c>
      <c r="E64" s="31" t="s">
        <v>645</v>
      </c>
      <c r="F64" s="31" t="s">
        <v>646</v>
      </c>
      <c r="G64" s="31" t="s">
        <v>60</v>
      </c>
      <c r="H64" s="31" t="s">
        <v>123</v>
      </c>
      <c r="I64" s="31" t="s">
        <v>104</v>
      </c>
      <c r="J64" s="31" t="s">
        <v>1775</v>
      </c>
      <c r="K64" s="31" t="s">
        <v>1821</v>
      </c>
      <c r="L64" s="32" t="s">
        <v>652</v>
      </c>
    </row>
    <row r="65" ht="61.5" customHeight="1">
      <c r="A65" s="30" t="s">
        <v>655</v>
      </c>
      <c r="B65" s="31" t="s">
        <v>1737</v>
      </c>
      <c r="C65" s="31" t="s">
        <v>633</v>
      </c>
      <c r="D65" s="31" t="s">
        <v>284</v>
      </c>
      <c r="E65" s="31" t="s">
        <v>656</v>
      </c>
      <c r="F65" s="31" t="s">
        <v>657</v>
      </c>
      <c r="G65" s="31" t="s">
        <v>60</v>
      </c>
      <c r="H65" s="31" t="s">
        <v>321</v>
      </c>
      <c r="I65" s="31" t="s">
        <v>104</v>
      </c>
      <c r="J65" s="31" t="s">
        <v>1775</v>
      </c>
      <c r="K65" s="31" t="s">
        <v>1822</v>
      </c>
      <c r="L65" s="32" t="s">
        <v>662</v>
      </c>
    </row>
    <row r="66" ht="61.5" customHeight="1">
      <c r="A66" s="30" t="s">
        <v>665</v>
      </c>
      <c r="B66" s="31" t="s">
        <v>1737</v>
      </c>
      <c r="C66" s="31" t="s">
        <v>633</v>
      </c>
      <c r="D66" s="31" t="s">
        <v>172</v>
      </c>
      <c r="E66" s="31" t="s">
        <v>666</v>
      </c>
      <c r="F66" s="31" t="s">
        <v>667</v>
      </c>
      <c r="G66" s="31" t="s">
        <v>68</v>
      </c>
      <c r="H66" s="31" t="s">
        <v>341</v>
      </c>
      <c r="I66" s="31" t="s">
        <v>104</v>
      </c>
      <c r="J66" s="31" t="s">
        <v>1777</v>
      </c>
      <c r="K66" s="31" t="s">
        <v>1823</v>
      </c>
      <c r="L66" s="32" t="s">
        <v>672</v>
      </c>
    </row>
    <row r="67" ht="61.5" customHeight="1">
      <c r="A67" s="30" t="s">
        <v>675</v>
      </c>
      <c r="B67" s="31" t="s">
        <v>1737</v>
      </c>
      <c r="C67" s="31" t="s">
        <v>633</v>
      </c>
      <c r="D67" s="31" t="s">
        <v>172</v>
      </c>
      <c r="E67" s="31" t="s">
        <v>676</v>
      </c>
      <c r="F67" s="31" t="s">
        <v>677</v>
      </c>
      <c r="G67" s="31" t="s">
        <v>56</v>
      </c>
      <c r="H67" s="31" t="s">
        <v>264</v>
      </c>
      <c r="I67" s="31" t="s">
        <v>104</v>
      </c>
      <c r="J67" s="31" t="s">
        <v>1767</v>
      </c>
      <c r="K67" s="31" t="s">
        <v>1824</v>
      </c>
      <c r="L67" s="32" t="s">
        <v>682</v>
      </c>
    </row>
    <row r="68" ht="61.5" customHeight="1">
      <c r="A68" s="30" t="s">
        <v>685</v>
      </c>
      <c r="B68" s="31" t="s">
        <v>1737</v>
      </c>
      <c r="C68" s="31" t="s">
        <v>633</v>
      </c>
      <c r="D68" s="31" t="s">
        <v>172</v>
      </c>
      <c r="E68" s="31" t="s">
        <v>686</v>
      </c>
      <c r="F68" s="31" t="s">
        <v>687</v>
      </c>
      <c r="G68" s="31" t="s">
        <v>60</v>
      </c>
      <c r="H68" s="31" t="s">
        <v>299</v>
      </c>
      <c r="I68" s="31" t="s">
        <v>104</v>
      </c>
      <c r="J68" s="31" t="s">
        <v>1775</v>
      </c>
      <c r="K68" s="31" t="s">
        <v>1825</v>
      </c>
      <c r="L68" s="32" t="s">
        <v>692</v>
      </c>
    </row>
    <row r="69" ht="61.5" customHeight="1">
      <c r="A69" s="30" t="s">
        <v>695</v>
      </c>
      <c r="B69" s="31" t="s">
        <v>1737</v>
      </c>
      <c r="C69" s="31" t="s">
        <v>633</v>
      </c>
      <c r="D69" s="31" t="s">
        <v>185</v>
      </c>
      <c r="E69" s="31" t="s">
        <v>696</v>
      </c>
      <c r="F69" s="31" t="s">
        <v>697</v>
      </c>
      <c r="G69" s="31" t="s">
        <v>68</v>
      </c>
      <c r="H69" s="31" t="s">
        <v>176</v>
      </c>
      <c r="I69" s="31" t="s">
        <v>104</v>
      </c>
      <c r="J69" s="31" t="s">
        <v>1777</v>
      </c>
      <c r="K69" s="31" t="s">
        <v>1826</v>
      </c>
      <c r="L69" s="32" t="s">
        <v>703</v>
      </c>
    </row>
    <row r="70" ht="61.5" customHeight="1">
      <c r="A70" s="30" t="s">
        <v>706</v>
      </c>
      <c r="B70" s="31" t="s">
        <v>1737</v>
      </c>
      <c r="C70" s="31" t="s">
        <v>633</v>
      </c>
      <c r="D70" s="31" t="s">
        <v>185</v>
      </c>
      <c r="E70" s="31" t="s">
        <v>707</v>
      </c>
      <c r="F70" s="31" t="s">
        <v>708</v>
      </c>
      <c r="G70" s="31" t="s">
        <v>68</v>
      </c>
      <c r="H70" s="31" t="s">
        <v>254</v>
      </c>
      <c r="I70" s="31" t="s">
        <v>104</v>
      </c>
      <c r="J70" s="31" t="s">
        <v>1777</v>
      </c>
      <c r="K70" s="31" t="s">
        <v>1827</v>
      </c>
      <c r="L70" s="32" t="s">
        <v>713</v>
      </c>
    </row>
    <row r="71" ht="61.5" customHeight="1">
      <c r="A71" s="30" t="s">
        <v>716</v>
      </c>
      <c r="B71" s="31" t="s">
        <v>1737</v>
      </c>
      <c r="C71" s="31" t="s">
        <v>633</v>
      </c>
      <c r="D71" s="31" t="s">
        <v>620</v>
      </c>
      <c r="E71" s="31" t="s">
        <v>717</v>
      </c>
      <c r="F71" s="31" t="s">
        <v>718</v>
      </c>
      <c r="G71" s="31" t="s">
        <v>68</v>
      </c>
      <c r="H71" s="31" t="s">
        <v>531</v>
      </c>
      <c r="I71" s="31" t="s">
        <v>104</v>
      </c>
      <c r="J71" s="31" t="s">
        <v>1777</v>
      </c>
      <c r="K71" s="31" t="s">
        <v>1828</v>
      </c>
      <c r="L71" s="32" t="s">
        <v>724</v>
      </c>
    </row>
    <row r="72" ht="61.5" customHeight="1">
      <c r="A72" s="30" t="s">
        <v>727</v>
      </c>
      <c r="B72" s="31" t="s">
        <v>1737</v>
      </c>
      <c r="C72" s="31" t="s">
        <v>633</v>
      </c>
      <c r="D72" s="31" t="s">
        <v>728</v>
      </c>
      <c r="E72" s="31" t="s">
        <v>729</v>
      </c>
      <c r="F72" s="31" t="s">
        <v>730</v>
      </c>
      <c r="G72" s="31" t="s">
        <v>64</v>
      </c>
      <c r="H72" s="31" t="s">
        <v>123</v>
      </c>
      <c r="I72" s="31" t="s">
        <v>104</v>
      </c>
      <c r="J72" s="31" t="s">
        <v>1771</v>
      </c>
      <c r="K72" s="31" t="s">
        <v>1829</v>
      </c>
      <c r="L72" s="32" t="s">
        <v>736</v>
      </c>
    </row>
    <row r="73" ht="61.5" customHeight="1">
      <c r="A73" s="30" t="s">
        <v>739</v>
      </c>
      <c r="B73" s="31" t="s">
        <v>38</v>
      </c>
      <c r="C73" s="31" t="s">
        <v>740</v>
      </c>
      <c r="D73" s="31" t="s">
        <v>119</v>
      </c>
      <c r="E73" s="31" t="s">
        <v>741</v>
      </c>
      <c r="F73" s="31" t="s">
        <v>742</v>
      </c>
      <c r="G73" s="31" t="s">
        <v>68</v>
      </c>
      <c r="H73" s="31" t="s">
        <v>531</v>
      </c>
      <c r="I73" s="31" t="s">
        <v>104</v>
      </c>
      <c r="J73" s="31" t="s">
        <v>1777</v>
      </c>
      <c r="K73" s="31" t="s">
        <v>1830</v>
      </c>
      <c r="L73" s="32" t="s">
        <v>748</v>
      </c>
    </row>
    <row r="74" ht="61.5" customHeight="1">
      <c r="A74" s="30" t="s">
        <v>751</v>
      </c>
      <c r="B74" s="31" t="s">
        <v>38</v>
      </c>
      <c r="C74" s="31" t="s">
        <v>740</v>
      </c>
      <c r="D74" s="31" t="s">
        <v>196</v>
      </c>
      <c r="E74" s="31" t="s">
        <v>752</v>
      </c>
      <c r="F74" s="31" t="s">
        <v>753</v>
      </c>
      <c r="G74" s="31" t="s">
        <v>56</v>
      </c>
      <c r="H74" s="31" t="s">
        <v>394</v>
      </c>
      <c r="I74" s="31" t="s">
        <v>104</v>
      </c>
      <c r="J74" s="31" t="s">
        <v>1767</v>
      </c>
      <c r="K74" s="31" t="s">
        <v>1831</v>
      </c>
      <c r="L74" s="32" t="s">
        <v>758</v>
      </c>
    </row>
    <row r="75" ht="61.5" customHeight="1">
      <c r="A75" s="30" t="s">
        <v>761</v>
      </c>
      <c r="B75" s="31" t="s">
        <v>38</v>
      </c>
      <c r="C75" s="31" t="s">
        <v>740</v>
      </c>
      <c r="D75" s="31" t="s">
        <v>147</v>
      </c>
      <c r="E75" s="31" t="s">
        <v>762</v>
      </c>
      <c r="F75" s="31" t="s">
        <v>763</v>
      </c>
      <c r="G75" s="31" t="s">
        <v>56</v>
      </c>
      <c r="H75" s="31" t="s">
        <v>765</v>
      </c>
      <c r="I75" s="31" t="s">
        <v>104</v>
      </c>
      <c r="J75" s="31" t="s">
        <v>1767</v>
      </c>
      <c r="K75" s="31" t="s">
        <v>1786</v>
      </c>
      <c r="L75" s="32" t="s">
        <v>231</v>
      </c>
    </row>
    <row r="76" ht="61.5" customHeight="1">
      <c r="A76" s="30" t="s">
        <v>769</v>
      </c>
      <c r="B76" s="31" t="s">
        <v>38</v>
      </c>
      <c r="C76" s="31" t="s">
        <v>740</v>
      </c>
      <c r="D76" s="31" t="s">
        <v>196</v>
      </c>
      <c r="E76" s="31" t="s">
        <v>770</v>
      </c>
      <c r="F76" s="31" t="s">
        <v>771</v>
      </c>
      <c r="G76" s="31" t="s">
        <v>56</v>
      </c>
      <c r="H76" s="31" t="s">
        <v>487</v>
      </c>
      <c r="I76" s="31" t="s">
        <v>104</v>
      </c>
      <c r="J76" s="31" t="s">
        <v>1767</v>
      </c>
      <c r="K76" s="31" t="s">
        <v>1832</v>
      </c>
      <c r="L76" s="32" t="s">
        <v>231</v>
      </c>
    </row>
    <row r="77" ht="61.5" customHeight="1">
      <c r="A77" s="30" t="s">
        <v>778</v>
      </c>
      <c r="B77" s="31" t="s">
        <v>38</v>
      </c>
      <c r="C77" s="31" t="s">
        <v>740</v>
      </c>
      <c r="D77" s="31" t="s">
        <v>172</v>
      </c>
      <c r="E77" s="31" t="s">
        <v>779</v>
      </c>
      <c r="F77" s="31" t="s">
        <v>780</v>
      </c>
      <c r="G77" s="31" t="s">
        <v>64</v>
      </c>
      <c r="H77" s="31" t="s">
        <v>264</v>
      </c>
      <c r="I77" s="31" t="s">
        <v>104</v>
      </c>
      <c r="J77" s="31" t="s">
        <v>1771</v>
      </c>
      <c r="K77" s="31" t="s">
        <v>1833</v>
      </c>
      <c r="L77" s="32" t="s">
        <v>785</v>
      </c>
    </row>
    <row r="78" ht="61.5" customHeight="1">
      <c r="A78" s="30" t="s">
        <v>788</v>
      </c>
      <c r="B78" s="31" t="s">
        <v>38</v>
      </c>
      <c r="C78" s="31" t="s">
        <v>740</v>
      </c>
      <c r="D78" s="31" t="s">
        <v>196</v>
      </c>
      <c r="E78" s="31" t="s">
        <v>789</v>
      </c>
      <c r="F78" s="31" t="s">
        <v>790</v>
      </c>
      <c r="G78" s="31" t="s">
        <v>68</v>
      </c>
      <c r="H78" s="31" t="s">
        <v>792</v>
      </c>
      <c r="I78" s="31" t="s">
        <v>104</v>
      </c>
      <c r="J78" s="31" t="s">
        <v>1777</v>
      </c>
      <c r="K78" s="31" t="s">
        <v>1834</v>
      </c>
      <c r="L78" s="32" t="s">
        <v>231</v>
      </c>
    </row>
    <row r="79" ht="61.5" customHeight="1">
      <c r="A79" s="30" t="s">
        <v>798</v>
      </c>
      <c r="B79" s="31" t="s">
        <v>38</v>
      </c>
      <c r="C79" s="31" t="s">
        <v>740</v>
      </c>
      <c r="D79" s="31" t="s">
        <v>185</v>
      </c>
      <c r="E79" s="31" t="s">
        <v>799</v>
      </c>
      <c r="F79" s="31" t="s">
        <v>800</v>
      </c>
      <c r="G79" s="31" t="s">
        <v>68</v>
      </c>
      <c r="H79" s="31" t="s">
        <v>176</v>
      </c>
      <c r="I79" s="31" t="s">
        <v>104</v>
      </c>
      <c r="J79" s="31" t="s">
        <v>1777</v>
      </c>
      <c r="K79" s="31" t="s">
        <v>1835</v>
      </c>
      <c r="L79" s="32" t="s">
        <v>231</v>
      </c>
    </row>
    <row r="80" ht="61.5" customHeight="1">
      <c r="A80" s="30" t="s">
        <v>806</v>
      </c>
      <c r="B80" s="31" t="s">
        <v>38</v>
      </c>
      <c r="C80" s="31" t="s">
        <v>740</v>
      </c>
      <c r="D80" s="31" t="s">
        <v>185</v>
      </c>
      <c r="E80" s="31" t="s">
        <v>807</v>
      </c>
      <c r="F80" s="31" t="s">
        <v>808</v>
      </c>
      <c r="G80" s="31" t="s">
        <v>68</v>
      </c>
      <c r="H80" s="31" t="s">
        <v>341</v>
      </c>
      <c r="I80" s="31" t="s">
        <v>104</v>
      </c>
      <c r="J80" s="31" t="s">
        <v>1777</v>
      </c>
      <c r="K80" s="31" t="s">
        <v>1836</v>
      </c>
      <c r="L80" s="32" t="s">
        <v>813</v>
      </c>
    </row>
    <row r="81" ht="61.5" customHeight="1">
      <c r="A81" s="30" t="s">
        <v>816</v>
      </c>
      <c r="B81" s="31" t="s">
        <v>38</v>
      </c>
      <c r="C81" s="31" t="s">
        <v>740</v>
      </c>
      <c r="D81" s="31" t="s">
        <v>728</v>
      </c>
      <c r="E81" s="31" t="s">
        <v>817</v>
      </c>
      <c r="F81" s="31" t="s">
        <v>818</v>
      </c>
      <c r="G81" s="31" t="s">
        <v>64</v>
      </c>
      <c r="H81" s="31" t="s">
        <v>123</v>
      </c>
      <c r="I81" s="31" t="s">
        <v>104</v>
      </c>
      <c r="J81" s="31" t="s">
        <v>1771</v>
      </c>
      <c r="K81" s="31" t="s">
        <v>1837</v>
      </c>
      <c r="L81" s="32" t="s">
        <v>823</v>
      </c>
    </row>
    <row r="82" ht="61.5" customHeight="1">
      <c r="A82" s="35" t="s">
        <v>826</v>
      </c>
      <c r="B82" s="36" t="s">
        <v>38</v>
      </c>
      <c r="C82" s="36" t="s">
        <v>740</v>
      </c>
      <c r="D82" s="36" t="s">
        <v>99</v>
      </c>
      <c r="E82" s="36" t="s">
        <v>827</v>
      </c>
      <c r="F82" s="36" t="s">
        <v>828</v>
      </c>
      <c r="G82" s="36" t="s">
        <v>70</v>
      </c>
      <c r="H82" s="36" t="s">
        <v>321</v>
      </c>
      <c r="I82" s="36" t="s">
        <v>104</v>
      </c>
      <c r="J82" s="36" t="s">
        <v>1769</v>
      </c>
      <c r="K82" s="36" t="s">
        <v>1838</v>
      </c>
      <c r="L82" s="37" t="s">
        <v>833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26.0"/>
    <col customWidth="1" min="4" max="4" width="32.0"/>
    <col customWidth="1" min="5" max="5" width="38.0"/>
    <col customWidth="1" min="6" max="6" width="34.0"/>
    <col customWidth="1" min="7" max="7" width="58.0"/>
    <col customWidth="1" min="8" max="8" width="24.0"/>
    <col customWidth="1" min="9" max="9" width="34.0"/>
    <col customWidth="1" min="10" max="10" width="24.0"/>
    <col customWidth="1" min="11" max="11" width="20.0"/>
    <col customWidth="1" min="12" max="12" width="42.0"/>
    <col customWidth="1" min="13" max="26" width="8.63"/>
  </cols>
  <sheetData>
    <row r="1">
      <c r="A1" s="2" t="s">
        <v>1839</v>
      </c>
    </row>
    <row r="2">
      <c r="A2" s="4" t="s">
        <v>1840</v>
      </c>
    </row>
    <row r="4">
      <c r="A4" s="40" t="s">
        <v>1841</v>
      </c>
      <c r="B4" s="41" t="s">
        <v>76</v>
      </c>
      <c r="C4" s="41" t="s">
        <v>4</v>
      </c>
      <c r="D4" s="41" t="s">
        <v>80</v>
      </c>
      <c r="E4" s="41" t="s">
        <v>84</v>
      </c>
      <c r="F4" s="41" t="s">
        <v>1842</v>
      </c>
      <c r="G4" s="41" t="s">
        <v>1843</v>
      </c>
      <c r="H4" s="41" t="s">
        <v>1844</v>
      </c>
      <c r="I4" s="41" t="s">
        <v>1845</v>
      </c>
      <c r="J4" s="41" t="s">
        <v>1846</v>
      </c>
      <c r="K4" s="41" t="s">
        <v>1847</v>
      </c>
      <c r="L4" s="42" t="s">
        <v>1848</v>
      </c>
    </row>
    <row r="5" ht="61.5" customHeight="1">
      <c r="A5" s="30" t="s">
        <v>1849</v>
      </c>
      <c r="B5" s="31" t="s">
        <v>97</v>
      </c>
      <c r="C5" s="31" t="s">
        <v>1621</v>
      </c>
      <c r="D5" s="31" t="s">
        <v>100</v>
      </c>
      <c r="E5" s="31" t="s">
        <v>105</v>
      </c>
      <c r="F5" s="31" t="s">
        <v>1850</v>
      </c>
      <c r="G5" s="31" t="s">
        <v>1851</v>
      </c>
      <c r="H5" s="31" t="s">
        <v>106</v>
      </c>
      <c r="I5" s="31" t="s">
        <v>1852</v>
      </c>
      <c r="J5" s="31" t="s">
        <v>1853</v>
      </c>
      <c r="K5" s="31" t="s">
        <v>1854</v>
      </c>
      <c r="L5" s="32" t="s">
        <v>1855</v>
      </c>
    </row>
    <row r="6" ht="61.5" customHeight="1">
      <c r="A6" s="30" t="s">
        <v>1856</v>
      </c>
      <c r="B6" s="31" t="s">
        <v>118</v>
      </c>
      <c r="C6" s="31" t="s">
        <v>1621</v>
      </c>
      <c r="D6" s="31" t="s">
        <v>120</v>
      </c>
      <c r="E6" s="31" t="s">
        <v>124</v>
      </c>
      <c r="F6" s="31" t="s">
        <v>1850</v>
      </c>
      <c r="G6" s="31" t="s">
        <v>1851</v>
      </c>
      <c r="H6" s="31" t="s">
        <v>125</v>
      </c>
      <c r="I6" s="31" t="s">
        <v>1852</v>
      </c>
      <c r="J6" s="31" t="s">
        <v>1857</v>
      </c>
      <c r="K6" s="31" t="s">
        <v>1858</v>
      </c>
      <c r="L6" s="32" t="s">
        <v>1855</v>
      </c>
    </row>
    <row r="7" ht="61.5" customHeight="1">
      <c r="A7" s="30" t="s">
        <v>1859</v>
      </c>
      <c r="B7" s="31" t="s">
        <v>134</v>
      </c>
      <c r="C7" s="31" t="s">
        <v>1621</v>
      </c>
      <c r="D7" s="31" t="s">
        <v>135</v>
      </c>
      <c r="E7" s="31" t="s">
        <v>138</v>
      </c>
      <c r="F7" s="31" t="s">
        <v>1850</v>
      </c>
      <c r="G7" s="31" t="s">
        <v>1851</v>
      </c>
      <c r="H7" s="31" t="s">
        <v>139</v>
      </c>
      <c r="I7" s="31" t="s">
        <v>1852</v>
      </c>
      <c r="J7" s="31" t="s">
        <v>1857</v>
      </c>
      <c r="K7" s="31" t="s">
        <v>1858</v>
      </c>
      <c r="L7" s="32" t="s">
        <v>1855</v>
      </c>
    </row>
    <row r="8" ht="61.5" customHeight="1">
      <c r="A8" s="30" t="s">
        <v>1860</v>
      </c>
      <c r="B8" s="31" t="s">
        <v>146</v>
      </c>
      <c r="C8" s="31" t="s">
        <v>1621</v>
      </c>
      <c r="D8" s="31" t="s">
        <v>148</v>
      </c>
      <c r="E8" s="31" t="s">
        <v>152</v>
      </c>
      <c r="F8" s="31" t="s">
        <v>1850</v>
      </c>
      <c r="G8" s="31" t="s">
        <v>1851</v>
      </c>
      <c r="H8" s="31" t="s">
        <v>153</v>
      </c>
      <c r="I8" s="31" t="s">
        <v>1861</v>
      </c>
      <c r="J8" s="31" t="s">
        <v>1862</v>
      </c>
      <c r="K8" s="31" t="s">
        <v>1858</v>
      </c>
      <c r="L8" s="32" t="s">
        <v>1855</v>
      </c>
    </row>
    <row r="9" ht="61.5" customHeight="1">
      <c r="A9" s="30" t="s">
        <v>1863</v>
      </c>
      <c r="B9" s="31" t="s">
        <v>160</v>
      </c>
      <c r="C9" s="31" t="s">
        <v>1621</v>
      </c>
      <c r="D9" s="31" t="s">
        <v>162</v>
      </c>
      <c r="E9" s="31" t="s">
        <v>165</v>
      </c>
      <c r="F9" s="31" t="s">
        <v>1850</v>
      </c>
      <c r="G9" s="31" t="s">
        <v>1864</v>
      </c>
      <c r="H9" s="31" t="s">
        <v>125</v>
      </c>
      <c r="I9" s="31" t="s">
        <v>1852</v>
      </c>
      <c r="J9" s="31" t="s">
        <v>1865</v>
      </c>
      <c r="K9" s="31" t="s">
        <v>1858</v>
      </c>
      <c r="L9" s="32" t="s">
        <v>1855</v>
      </c>
    </row>
    <row r="10" ht="61.5" customHeight="1">
      <c r="A10" s="30" t="s">
        <v>1866</v>
      </c>
      <c r="B10" s="31" t="s">
        <v>171</v>
      </c>
      <c r="C10" s="31" t="s">
        <v>1621</v>
      </c>
      <c r="D10" s="31" t="s">
        <v>173</v>
      </c>
      <c r="E10" s="31" t="s">
        <v>177</v>
      </c>
      <c r="F10" s="31" t="s">
        <v>1850</v>
      </c>
      <c r="G10" s="31" t="s">
        <v>1867</v>
      </c>
      <c r="H10" s="31" t="s">
        <v>125</v>
      </c>
      <c r="I10" s="31" t="s">
        <v>1852</v>
      </c>
      <c r="J10" s="31" t="s">
        <v>1868</v>
      </c>
      <c r="K10" s="31" t="s">
        <v>1858</v>
      </c>
      <c r="L10" s="32" t="s">
        <v>1855</v>
      </c>
    </row>
    <row r="11" ht="61.5" customHeight="1">
      <c r="A11" s="30" t="s">
        <v>1869</v>
      </c>
      <c r="B11" s="31" t="s">
        <v>184</v>
      </c>
      <c r="C11" s="31" t="s">
        <v>1621</v>
      </c>
      <c r="D11" s="31" t="s">
        <v>186</v>
      </c>
      <c r="E11" s="31" t="s">
        <v>189</v>
      </c>
      <c r="F11" s="31" t="s">
        <v>1850</v>
      </c>
      <c r="G11" s="31" t="s">
        <v>1870</v>
      </c>
      <c r="H11" s="31" t="s">
        <v>139</v>
      </c>
      <c r="I11" s="31" t="s">
        <v>1852</v>
      </c>
      <c r="J11" s="31" t="s">
        <v>1871</v>
      </c>
      <c r="K11" s="31" t="s">
        <v>1858</v>
      </c>
      <c r="L11" s="32" t="s">
        <v>1855</v>
      </c>
    </row>
    <row r="12" ht="61.5" customHeight="1">
      <c r="A12" s="30" t="s">
        <v>1872</v>
      </c>
      <c r="B12" s="31" t="s">
        <v>195</v>
      </c>
      <c r="C12" s="31" t="s">
        <v>1621</v>
      </c>
      <c r="D12" s="31" t="s">
        <v>197</v>
      </c>
      <c r="E12" s="31" t="s">
        <v>201</v>
      </c>
      <c r="F12" s="31" t="s">
        <v>1850</v>
      </c>
      <c r="G12" s="31" t="s">
        <v>1873</v>
      </c>
      <c r="H12" s="31" t="s">
        <v>139</v>
      </c>
      <c r="I12" s="31" t="s">
        <v>1852</v>
      </c>
      <c r="J12" s="31" t="s">
        <v>1874</v>
      </c>
      <c r="K12" s="31" t="s">
        <v>1858</v>
      </c>
      <c r="L12" s="32" t="s">
        <v>1855</v>
      </c>
    </row>
    <row r="13" ht="61.5" customHeight="1">
      <c r="A13" s="30" t="s">
        <v>1875</v>
      </c>
      <c r="B13" s="31" t="s">
        <v>208</v>
      </c>
      <c r="C13" s="31" t="s">
        <v>1650</v>
      </c>
      <c r="D13" s="31" t="s">
        <v>210</v>
      </c>
      <c r="E13" s="31" t="s">
        <v>214</v>
      </c>
      <c r="F13" s="31" t="s">
        <v>1850</v>
      </c>
      <c r="G13" s="31" t="s">
        <v>1851</v>
      </c>
      <c r="H13" s="31" t="s">
        <v>125</v>
      </c>
      <c r="I13" s="31" t="s">
        <v>1852</v>
      </c>
      <c r="J13" s="31" t="s">
        <v>1857</v>
      </c>
      <c r="K13" s="31" t="s">
        <v>1858</v>
      </c>
      <c r="L13" s="32" t="s">
        <v>1855</v>
      </c>
    </row>
    <row r="14" ht="61.5" customHeight="1">
      <c r="A14" s="30" t="s">
        <v>1876</v>
      </c>
      <c r="B14" s="31" t="s">
        <v>222</v>
      </c>
      <c r="C14" s="31" t="s">
        <v>1650</v>
      </c>
      <c r="D14" s="31" t="s">
        <v>223</v>
      </c>
      <c r="E14" s="31" t="s">
        <v>227</v>
      </c>
      <c r="F14" s="31" t="s">
        <v>1850</v>
      </c>
      <c r="G14" s="31" t="s">
        <v>1851</v>
      </c>
      <c r="H14" s="31" t="s">
        <v>139</v>
      </c>
      <c r="I14" s="31" t="s">
        <v>1852</v>
      </c>
      <c r="J14" s="31" t="s">
        <v>1857</v>
      </c>
      <c r="K14" s="31" t="s">
        <v>1858</v>
      </c>
      <c r="L14" s="32" t="s">
        <v>1855</v>
      </c>
    </row>
    <row r="15" ht="61.5" customHeight="1">
      <c r="A15" s="30" t="s">
        <v>1877</v>
      </c>
      <c r="B15" s="31" t="s">
        <v>233</v>
      </c>
      <c r="C15" s="31" t="s">
        <v>1650</v>
      </c>
      <c r="D15" s="31" t="s">
        <v>234</v>
      </c>
      <c r="E15" s="31" t="s">
        <v>237</v>
      </c>
      <c r="F15" s="31" t="s">
        <v>1850</v>
      </c>
      <c r="G15" s="31" t="s">
        <v>1864</v>
      </c>
      <c r="H15" s="31" t="s">
        <v>125</v>
      </c>
      <c r="I15" s="31" t="s">
        <v>1852</v>
      </c>
      <c r="J15" s="31" t="s">
        <v>1865</v>
      </c>
      <c r="K15" s="31" t="s">
        <v>1858</v>
      </c>
      <c r="L15" s="32" t="s">
        <v>1855</v>
      </c>
    </row>
    <row r="16" ht="61.5" customHeight="1">
      <c r="A16" s="30" t="s">
        <v>1878</v>
      </c>
      <c r="B16" s="31" t="s">
        <v>241</v>
      </c>
      <c r="C16" s="31" t="s">
        <v>1650</v>
      </c>
      <c r="D16" s="31" t="s">
        <v>242</v>
      </c>
      <c r="E16" s="31" t="s">
        <v>245</v>
      </c>
      <c r="F16" s="31" t="s">
        <v>1850</v>
      </c>
      <c r="G16" s="31" t="s">
        <v>1851</v>
      </c>
      <c r="H16" s="31" t="s">
        <v>153</v>
      </c>
      <c r="I16" s="31" t="s">
        <v>1861</v>
      </c>
      <c r="J16" s="31" t="s">
        <v>1862</v>
      </c>
      <c r="K16" s="31" t="s">
        <v>1858</v>
      </c>
      <c r="L16" s="32" t="s">
        <v>1855</v>
      </c>
    </row>
    <row r="17" ht="61.5" customHeight="1">
      <c r="A17" s="30" t="s">
        <v>1879</v>
      </c>
      <c r="B17" s="31" t="s">
        <v>250</v>
      </c>
      <c r="C17" s="31" t="s">
        <v>1650</v>
      </c>
      <c r="D17" s="31" t="s">
        <v>251</v>
      </c>
      <c r="E17" s="31" t="s">
        <v>255</v>
      </c>
      <c r="F17" s="31" t="s">
        <v>1850</v>
      </c>
      <c r="G17" s="31" t="s">
        <v>1867</v>
      </c>
      <c r="H17" s="31" t="s">
        <v>125</v>
      </c>
      <c r="I17" s="31" t="s">
        <v>1852</v>
      </c>
      <c r="J17" s="31" t="s">
        <v>1868</v>
      </c>
      <c r="K17" s="31" t="s">
        <v>1858</v>
      </c>
      <c r="L17" s="32" t="s">
        <v>1855</v>
      </c>
    </row>
    <row r="18" ht="61.5" customHeight="1">
      <c r="A18" s="30" t="s">
        <v>1880</v>
      </c>
      <c r="B18" s="31" t="s">
        <v>260</v>
      </c>
      <c r="C18" s="31" t="s">
        <v>1650</v>
      </c>
      <c r="D18" s="31" t="s">
        <v>261</v>
      </c>
      <c r="E18" s="31" t="s">
        <v>265</v>
      </c>
      <c r="F18" s="31" t="s">
        <v>1850</v>
      </c>
      <c r="G18" s="31" t="s">
        <v>1867</v>
      </c>
      <c r="H18" s="31" t="s">
        <v>125</v>
      </c>
      <c r="I18" s="31" t="s">
        <v>1852</v>
      </c>
      <c r="J18" s="31" t="s">
        <v>1868</v>
      </c>
      <c r="K18" s="31" t="s">
        <v>1858</v>
      </c>
      <c r="L18" s="32" t="s">
        <v>1855</v>
      </c>
    </row>
    <row r="19" ht="61.5" customHeight="1">
      <c r="A19" s="30" t="s">
        <v>1881</v>
      </c>
      <c r="B19" s="31" t="s">
        <v>270</v>
      </c>
      <c r="C19" s="31" t="s">
        <v>1650</v>
      </c>
      <c r="D19" s="31" t="s">
        <v>271</v>
      </c>
      <c r="E19" s="31" t="s">
        <v>275</v>
      </c>
      <c r="F19" s="31" t="s">
        <v>1850</v>
      </c>
      <c r="G19" s="31" t="s">
        <v>1851</v>
      </c>
      <c r="H19" s="31" t="s">
        <v>276</v>
      </c>
      <c r="I19" s="31" t="s">
        <v>1861</v>
      </c>
      <c r="J19" s="31" t="s">
        <v>1862</v>
      </c>
      <c r="K19" s="31" t="s">
        <v>1882</v>
      </c>
      <c r="L19" s="32" t="s">
        <v>1855</v>
      </c>
    </row>
    <row r="20" ht="61.5" customHeight="1">
      <c r="A20" s="30" t="s">
        <v>1883</v>
      </c>
      <c r="B20" s="31" t="s">
        <v>283</v>
      </c>
      <c r="C20" s="31" t="s">
        <v>1650</v>
      </c>
      <c r="D20" s="31" t="s">
        <v>285</v>
      </c>
      <c r="E20" s="31" t="s">
        <v>288</v>
      </c>
      <c r="F20" s="31" t="s">
        <v>1850</v>
      </c>
      <c r="G20" s="31" t="s">
        <v>1851</v>
      </c>
      <c r="H20" s="31" t="s">
        <v>289</v>
      </c>
      <c r="I20" s="31" t="s">
        <v>1884</v>
      </c>
      <c r="J20" s="31" t="s">
        <v>1885</v>
      </c>
      <c r="K20" s="31" t="s">
        <v>1858</v>
      </c>
      <c r="L20" s="32" t="s">
        <v>1855</v>
      </c>
    </row>
    <row r="21" ht="61.5" customHeight="1">
      <c r="A21" s="30" t="s">
        <v>1886</v>
      </c>
      <c r="B21" s="31" t="s">
        <v>295</v>
      </c>
      <c r="C21" s="31" t="s">
        <v>1650</v>
      </c>
      <c r="D21" s="31" t="s">
        <v>296</v>
      </c>
      <c r="E21" s="31" t="s">
        <v>300</v>
      </c>
      <c r="F21" s="31" t="s">
        <v>1850</v>
      </c>
      <c r="G21" s="31" t="s">
        <v>1870</v>
      </c>
      <c r="H21" s="31" t="s">
        <v>106</v>
      </c>
      <c r="I21" s="31" t="s">
        <v>1852</v>
      </c>
      <c r="J21" s="31" t="s">
        <v>1871</v>
      </c>
      <c r="K21" s="31" t="s">
        <v>1858</v>
      </c>
      <c r="L21" s="32" t="s">
        <v>1855</v>
      </c>
    </row>
    <row r="22" ht="61.5" customHeight="1">
      <c r="A22" s="30" t="s">
        <v>1887</v>
      </c>
      <c r="B22" s="31" t="s">
        <v>305</v>
      </c>
      <c r="C22" s="31" t="s">
        <v>1650</v>
      </c>
      <c r="D22" s="31" t="s">
        <v>306</v>
      </c>
      <c r="E22" s="31" t="s">
        <v>310</v>
      </c>
      <c r="F22" s="31" t="s">
        <v>1850</v>
      </c>
      <c r="G22" s="31" t="s">
        <v>1870</v>
      </c>
      <c r="H22" s="31" t="s">
        <v>139</v>
      </c>
      <c r="I22" s="31" t="s">
        <v>1852</v>
      </c>
      <c r="J22" s="31" t="s">
        <v>1871</v>
      </c>
      <c r="K22" s="31" t="s">
        <v>1858</v>
      </c>
      <c r="L22" s="32" t="s">
        <v>1855</v>
      </c>
    </row>
    <row r="23" ht="61.5" customHeight="1">
      <c r="A23" s="30" t="s">
        <v>1888</v>
      </c>
      <c r="B23" s="31" t="s">
        <v>316</v>
      </c>
      <c r="C23" s="31" t="s">
        <v>1673</v>
      </c>
      <c r="D23" s="31" t="s">
        <v>318</v>
      </c>
      <c r="E23" s="31" t="s">
        <v>322</v>
      </c>
      <c r="F23" s="31" t="s">
        <v>1850</v>
      </c>
      <c r="G23" s="31" t="s">
        <v>1851</v>
      </c>
      <c r="H23" s="31" t="s">
        <v>153</v>
      </c>
      <c r="I23" s="31" t="s">
        <v>1861</v>
      </c>
      <c r="J23" s="31" t="s">
        <v>1857</v>
      </c>
      <c r="K23" s="31" t="s">
        <v>1858</v>
      </c>
      <c r="L23" s="32" t="s">
        <v>1855</v>
      </c>
    </row>
    <row r="24" ht="61.5" customHeight="1">
      <c r="A24" s="30" t="s">
        <v>1889</v>
      </c>
      <c r="B24" s="31" t="s">
        <v>327</v>
      </c>
      <c r="C24" s="31" t="s">
        <v>1673</v>
      </c>
      <c r="D24" s="31" t="s">
        <v>328</v>
      </c>
      <c r="E24" s="31" t="s">
        <v>331</v>
      </c>
      <c r="F24" s="31" t="s">
        <v>1850</v>
      </c>
      <c r="G24" s="31" t="s">
        <v>1864</v>
      </c>
      <c r="H24" s="31" t="s">
        <v>139</v>
      </c>
      <c r="I24" s="31" t="s">
        <v>1852</v>
      </c>
      <c r="J24" s="31" t="s">
        <v>1865</v>
      </c>
      <c r="K24" s="31" t="s">
        <v>1858</v>
      </c>
      <c r="L24" s="32" t="s">
        <v>1855</v>
      </c>
    </row>
    <row r="25" ht="61.5" customHeight="1">
      <c r="A25" s="30" t="s">
        <v>1890</v>
      </c>
      <c r="B25" s="31" t="s">
        <v>337</v>
      </c>
      <c r="C25" s="31" t="s">
        <v>1673</v>
      </c>
      <c r="D25" s="31" t="s">
        <v>338</v>
      </c>
      <c r="E25" s="31" t="s">
        <v>342</v>
      </c>
      <c r="F25" s="31" t="s">
        <v>1850</v>
      </c>
      <c r="G25" s="31" t="s">
        <v>1864</v>
      </c>
      <c r="H25" s="31" t="s">
        <v>139</v>
      </c>
      <c r="I25" s="31" t="s">
        <v>1852</v>
      </c>
      <c r="J25" s="31" t="s">
        <v>1865</v>
      </c>
      <c r="K25" s="31" t="s">
        <v>1858</v>
      </c>
      <c r="L25" s="32" t="s">
        <v>1855</v>
      </c>
    </row>
    <row r="26" ht="61.5" customHeight="1">
      <c r="A26" s="30" t="s">
        <v>1891</v>
      </c>
      <c r="B26" s="31" t="s">
        <v>349</v>
      </c>
      <c r="C26" s="31" t="s">
        <v>1673</v>
      </c>
      <c r="D26" s="31" t="s">
        <v>350</v>
      </c>
      <c r="E26" s="31" t="s">
        <v>354</v>
      </c>
      <c r="F26" s="31" t="s">
        <v>1850</v>
      </c>
      <c r="G26" s="31" t="s">
        <v>1851</v>
      </c>
      <c r="H26" s="31" t="s">
        <v>289</v>
      </c>
      <c r="I26" s="31" t="s">
        <v>1884</v>
      </c>
      <c r="J26" s="31" t="s">
        <v>1885</v>
      </c>
      <c r="K26" s="31" t="s">
        <v>1882</v>
      </c>
      <c r="L26" s="32" t="s">
        <v>1855</v>
      </c>
    </row>
    <row r="27" ht="61.5" customHeight="1">
      <c r="A27" s="30" t="s">
        <v>1892</v>
      </c>
      <c r="B27" s="31" t="s">
        <v>361</v>
      </c>
      <c r="C27" s="31" t="s">
        <v>1673</v>
      </c>
      <c r="D27" s="31" t="s">
        <v>362</v>
      </c>
      <c r="E27" s="31" t="s">
        <v>365</v>
      </c>
      <c r="F27" s="31" t="s">
        <v>1850</v>
      </c>
      <c r="G27" s="31" t="s">
        <v>1864</v>
      </c>
      <c r="H27" s="31" t="s">
        <v>125</v>
      </c>
      <c r="I27" s="31" t="s">
        <v>1852</v>
      </c>
      <c r="J27" s="31" t="s">
        <v>1865</v>
      </c>
      <c r="K27" s="31" t="s">
        <v>1858</v>
      </c>
      <c r="L27" s="32" t="s">
        <v>1855</v>
      </c>
    </row>
    <row r="28" ht="61.5" customHeight="1">
      <c r="A28" s="30" t="s">
        <v>1893</v>
      </c>
      <c r="B28" s="31" t="s">
        <v>370</v>
      </c>
      <c r="C28" s="31" t="s">
        <v>1673</v>
      </c>
      <c r="D28" s="31" t="s">
        <v>371</v>
      </c>
      <c r="E28" s="31" t="s">
        <v>374</v>
      </c>
      <c r="F28" s="31" t="s">
        <v>1850</v>
      </c>
      <c r="G28" s="31" t="s">
        <v>1867</v>
      </c>
      <c r="H28" s="31" t="s">
        <v>125</v>
      </c>
      <c r="I28" s="31" t="s">
        <v>1852</v>
      </c>
      <c r="J28" s="31" t="s">
        <v>1868</v>
      </c>
      <c r="K28" s="31" t="s">
        <v>1858</v>
      </c>
      <c r="L28" s="32" t="s">
        <v>1855</v>
      </c>
    </row>
    <row r="29" ht="61.5" customHeight="1">
      <c r="A29" s="30" t="s">
        <v>1894</v>
      </c>
      <c r="B29" s="31" t="s">
        <v>380</v>
      </c>
      <c r="C29" s="31" t="s">
        <v>1673</v>
      </c>
      <c r="D29" s="31" t="s">
        <v>381</v>
      </c>
      <c r="E29" s="31" t="s">
        <v>385</v>
      </c>
      <c r="F29" s="31" t="s">
        <v>1850</v>
      </c>
      <c r="G29" s="31" t="s">
        <v>1867</v>
      </c>
      <c r="H29" s="31" t="s">
        <v>125</v>
      </c>
      <c r="I29" s="31" t="s">
        <v>1852</v>
      </c>
      <c r="J29" s="31" t="s">
        <v>1868</v>
      </c>
      <c r="K29" s="31" t="s">
        <v>1858</v>
      </c>
      <c r="L29" s="32" t="s">
        <v>1855</v>
      </c>
    </row>
    <row r="30" ht="61.5" customHeight="1">
      <c r="A30" s="30" t="s">
        <v>1895</v>
      </c>
      <c r="B30" s="31" t="s">
        <v>390</v>
      </c>
      <c r="C30" s="31" t="s">
        <v>1673</v>
      </c>
      <c r="D30" s="31" t="s">
        <v>391</v>
      </c>
      <c r="E30" s="31" t="s">
        <v>395</v>
      </c>
      <c r="F30" s="31" t="s">
        <v>1850</v>
      </c>
      <c r="G30" s="31" t="s">
        <v>1851</v>
      </c>
      <c r="H30" s="31" t="s">
        <v>276</v>
      </c>
      <c r="I30" s="31" t="s">
        <v>1861</v>
      </c>
      <c r="J30" s="31" t="s">
        <v>1862</v>
      </c>
      <c r="K30" s="31" t="s">
        <v>1858</v>
      </c>
      <c r="L30" s="32" t="s">
        <v>1855</v>
      </c>
    </row>
    <row r="31" ht="61.5" customHeight="1">
      <c r="A31" s="30" t="s">
        <v>1896</v>
      </c>
      <c r="B31" s="31" t="s">
        <v>403</v>
      </c>
      <c r="C31" s="31" t="s">
        <v>1673</v>
      </c>
      <c r="D31" s="31" t="s">
        <v>404</v>
      </c>
      <c r="E31" s="31" t="s">
        <v>407</v>
      </c>
      <c r="F31" s="31" t="s">
        <v>1850</v>
      </c>
      <c r="G31" s="31" t="s">
        <v>1870</v>
      </c>
      <c r="H31" s="31" t="s">
        <v>139</v>
      </c>
      <c r="I31" s="31" t="s">
        <v>1852</v>
      </c>
      <c r="J31" s="31" t="s">
        <v>1871</v>
      </c>
      <c r="K31" s="31" t="s">
        <v>1858</v>
      </c>
      <c r="L31" s="32" t="s">
        <v>1855</v>
      </c>
    </row>
    <row r="32" ht="61.5" customHeight="1">
      <c r="A32" s="30" t="s">
        <v>1897</v>
      </c>
      <c r="B32" s="31" t="s">
        <v>414</v>
      </c>
      <c r="C32" s="31" t="s">
        <v>1673</v>
      </c>
      <c r="D32" s="31" t="s">
        <v>415</v>
      </c>
      <c r="E32" s="31" t="s">
        <v>418</v>
      </c>
      <c r="F32" s="31" t="s">
        <v>1850</v>
      </c>
      <c r="G32" s="31" t="s">
        <v>1870</v>
      </c>
      <c r="H32" s="31" t="s">
        <v>139</v>
      </c>
      <c r="I32" s="31" t="s">
        <v>1852</v>
      </c>
      <c r="J32" s="31" t="s">
        <v>1871</v>
      </c>
      <c r="K32" s="31" t="s">
        <v>1858</v>
      </c>
      <c r="L32" s="32" t="s">
        <v>1855</v>
      </c>
    </row>
    <row r="33" ht="61.5" customHeight="1">
      <c r="A33" s="30" t="s">
        <v>1898</v>
      </c>
      <c r="B33" s="31" t="s">
        <v>423</v>
      </c>
      <c r="C33" s="31" t="s">
        <v>1701</v>
      </c>
      <c r="D33" s="31" t="s">
        <v>425</v>
      </c>
      <c r="E33" s="31" t="s">
        <v>428</v>
      </c>
      <c r="F33" s="31" t="s">
        <v>1850</v>
      </c>
      <c r="G33" s="31" t="s">
        <v>1851</v>
      </c>
      <c r="H33" s="31" t="s">
        <v>125</v>
      </c>
      <c r="I33" s="31" t="s">
        <v>1852</v>
      </c>
      <c r="J33" s="31" t="s">
        <v>1857</v>
      </c>
      <c r="K33" s="31" t="s">
        <v>1858</v>
      </c>
      <c r="L33" s="32" t="s">
        <v>1855</v>
      </c>
    </row>
    <row r="34" ht="61.5" customHeight="1">
      <c r="A34" s="30" t="s">
        <v>1899</v>
      </c>
      <c r="B34" s="31" t="s">
        <v>434</v>
      </c>
      <c r="C34" s="31" t="s">
        <v>1701</v>
      </c>
      <c r="D34" s="31" t="s">
        <v>435</v>
      </c>
      <c r="E34" s="31" t="s">
        <v>438</v>
      </c>
      <c r="F34" s="31" t="s">
        <v>1850</v>
      </c>
      <c r="G34" s="31" t="s">
        <v>1867</v>
      </c>
      <c r="H34" s="31" t="s">
        <v>125</v>
      </c>
      <c r="I34" s="31" t="s">
        <v>1852</v>
      </c>
      <c r="J34" s="31" t="s">
        <v>1868</v>
      </c>
      <c r="K34" s="31" t="s">
        <v>1858</v>
      </c>
      <c r="L34" s="32" t="s">
        <v>1855</v>
      </c>
    </row>
    <row r="35" ht="61.5" customHeight="1">
      <c r="A35" s="30" t="s">
        <v>1900</v>
      </c>
      <c r="B35" s="31" t="s">
        <v>444</v>
      </c>
      <c r="C35" s="31" t="s">
        <v>1701</v>
      </c>
      <c r="D35" s="31" t="s">
        <v>445</v>
      </c>
      <c r="E35" s="31" t="s">
        <v>448</v>
      </c>
      <c r="F35" s="31" t="s">
        <v>1850</v>
      </c>
      <c r="G35" s="31" t="s">
        <v>1864</v>
      </c>
      <c r="H35" s="31" t="s">
        <v>289</v>
      </c>
      <c r="I35" s="31" t="s">
        <v>1884</v>
      </c>
      <c r="J35" s="31" t="s">
        <v>1865</v>
      </c>
      <c r="K35" s="31" t="s">
        <v>1858</v>
      </c>
      <c r="L35" s="32" t="s">
        <v>1855</v>
      </c>
    </row>
    <row r="36" ht="61.5" customHeight="1">
      <c r="A36" s="30" t="s">
        <v>1901</v>
      </c>
      <c r="B36" s="31" t="s">
        <v>454</v>
      </c>
      <c r="C36" s="31" t="s">
        <v>1701</v>
      </c>
      <c r="D36" s="31" t="s">
        <v>455</v>
      </c>
      <c r="E36" s="31" t="s">
        <v>458</v>
      </c>
      <c r="F36" s="31" t="s">
        <v>1850</v>
      </c>
      <c r="G36" s="31" t="s">
        <v>1867</v>
      </c>
      <c r="H36" s="31" t="s">
        <v>125</v>
      </c>
      <c r="I36" s="31" t="s">
        <v>1852</v>
      </c>
      <c r="J36" s="31" t="s">
        <v>1868</v>
      </c>
      <c r="K36" s="31" t="s">
        <v>1858</v>
      </c>
      <c r="L36" s="32" t="s">
        <v>1855</v>
      </c>
    </row>
    <row r="37" ht="61.5" customHeight="1">
      <c r="A37" s="30" t="s">
        <v>1902</v>
      </c>
      <c r="B37" s="31" t="s">
        <v>464</v>
      </c>
      <c r="C37" s="31" t="s">
        <v>1701</v>
      </c>
      <c r="D37" s="31" t="s">
        <v>465</v>
      </c>
      <c r="E37" s="31" t="s">
        <v>468</v>
      </c>
      <c r="F37" s="31" t="s">
        <v>1850</v>
      </c>
      <c r="G37" s="31" t="s">
        <v>1864</v>
      </c>
      <c r="H37" s="31" t="s">
        <v>289</v>
      </c>
      <c r="I37" s="31" t="s">
        <v>1884</v>
      </c>
      <c r="J37" s="31" t="s">
        <v>1865</v>
      </c>
      <c r="K37" s="31" t="s">
        <v>1858</v>
      </c>
      <c r="L37" s="32" t="s">
        <v>1855</v>
      </c>
    </row>
    <row r="38" ht="61.5" customHeight="1">
      <c r="A38" s="30" t="s">
        <v>1903</v>
      </c>
      <c r="B38" s="31" t="s">
        <v>474</v>
      </c>
      <c r="C38" s="31" t="s">
        <v>1701</v>
      </c>
      <c r="D38" s="31" t="s">
        <v>475</v>
      </c>
      <c r="E38" s="31" t="s">
        <v>478</v>
      </c>
      <c r="F38" s="31" t="s">
        <v>1850</v>
      </c>
      <c r="G38" s="31" t="s">
        <v>1864</v>
      </c>
      <c r="H38" s="31" t="s">
        <v>139</v>
      </c>
      <c r="I38" s="31" t="s">
        <v>1852</v>
      </c>
      <c r="J38" s="31" t="s">
        <v>1865</v>
      </c>
      <c r="K38" s="31" t="s">
        <v>1858</v>
      </c>
      <c r="L38" s="32" t="s">
        <v>1855</v>
      </c>
    </row>
    <row r="39" ht="61.5" customHeight="1">
      <c r="A39" s="30" t="s">
        <v>1904</v>
      </c>
      <c r="B39" s="31" t="s">
        <v>483</v>
      </c>
      <c r="C39" s="31" t="s">
        <v>1701</v>
      </c>
      <c r="D39" s="31" t="s">
        <v>484</v>
      </c>
      <c r="E39" s="31" t="s">
        <v>488</v>
      </c>
      <c r="F39" s="31" t="s">
        <v>1850</v>
      </c>
      <c r="G39" s="31" t="s">
        <v>1867</v>
      </c>
      <c r="H39" s="31" t="s">
        <v>125</v>
      </c>
      <c r="I39" s="31" t="s">
        <v>1852</v>
      </c>
      <c r="J39" s="31" t="s">
        <v>1868</v>
      </c>
      <c r="K39" s="31" t="s">
        <v>1858</v>
      </c>
      <c r="L39" s="32" t="s">
        <v>1855</v>
      </c>
    </row>
    <row r="40" ht="61.5" customHeight="1">
      <c r="A40" s="30" t="s">
        <v>1905</v>
      </c>
      <c r="B40" s="31" t="s">
        <v>496</v>
      </c>
      <c r="C40" s="31" t="s">
        <v>1701</v>
      </c>
      <c r="D40" s="31" t="s">
        <v>497</v>
      </c>
      <c r="E40" s="31" t="s">
        <v>501</v>
      </c>
      <c r="F40" s="31" t="s">
        <v>1850</v>
      </c>
      <c r="G40" s="31" t="s">
        <v>1851</v>
      </c>
      <c r="H40" s="31" t="s">
        <v>125</v>
      </c>
      <c r="I40" s="31" t="s">
        <v>1852</v>
      </c>
      <c r="J40" s="31" t="s">
        <v>1862</v>
      </c>
      <c r="K40" s="31" t="s">
        <v>1858</v>
      </c>
      <c r="L40" s="32" t="s">
        <v>1855</v>
      </c>
    </row>
    <row r="41" ht="61.5" customHeight="1">
      <c r="A41" s="30" t="s">
        <v>1906</v>
      </c>
      <c r="B41" s="31" t="s">
        <v>506</v>
      </c>
      <c r="C41" s="31" t="s">
        <v>1701</v>
      </c>
      <c r="D41" s="31" t="s">
        <v>507</v>
      </c>
      <c r="E41" s="31" t="s">
        <v>510</v>
      </c>
      <c r="F41" s="31" t="s">
        <v>1850</v>
      </c>
      <c r="G41" s="31" t="s">
        <v>1870</v>
      </c>
      <c r="H41" s="31" t="s">
        <v>139</v>
      </c>
      <c r="I41" s="31" t="s">
        <v>1852</v>
      </c>
      <c r="J41" s="31" t="s">
        <v>1871</v>
      </c>
      <c r="K41" s="31" t="s">
        <v>1858</v>
      </c>
      <c r="L41" s="32" t="s">
        <v>1855</v>
      </c>
    </row>
    <row r="42" ht="61.5" customHeight="1">
      <c r="A42" s="30" t="s">
        <v>1907</v>
      </c>
      <c r="B42" s="31" t="s">
        <v>516</v>
      </c>
      <c r="C42" s="31" t="s">
        <v>1701</v>
      </c>
      <c r="D42" s="31" t="s">
        <v>517</v>
      </c>
      <c r="E42" s="31" t="s">
        <v>520</v>
      </c>
      <c r="F42" s="31" t="s">
        <v>1850</v>
      </c>
      <c r="G42" s="31" t="s">
        <v>1870</v>
      </c>
      <c r="H42" s="31" t="s">
        <v>139</v>
      </c>
      <c r="I42" s="31" t="s">
        <v>1852</v>
      </c>
      <c r="J42" s="31" t="s">
        <v>1871</v>
      </c>
      <c r="K42" s="31" t="s">
        <v>1858</v>
      </c>
      <c r="L42" s="32" t="s">
        <v>1855</v>
      </c>
    </row>
    <row r="43" ht="61.5" customHeight="1">
      <c r="A43" s="30" t="s">
        <v>1908</v>
      </c>
      <c r="B43" s="31" t="s">
        <v>526</v>
      </c>
      <c r="C43" s="31" t="s">
        <v>1725</v>
      </c>
      <c r="D43" s="31" t="s">
        <v>528</v>
      </c>
      <c r="E43" s="31" t="s">
        <v>532</v>
      </c>
      <c r="F43" s="31" t="s">
        <v>1850</v>
      </c>
      <c r="G43" s="31" t="s">
        <v>1851</v>
      </c>
      <c r="H43" s="31" t="s">
        <v>139</v>
      </c>
      <c r="I43" s="31" t="s">
        <v>1852</v>
      </c>
      <c r="J43" s="31" t="s">
        <v>1857</v>
      </c>
      <c r="K43" s="31" t="s">
        <v>1858</v>
      </c>
      <c r="L43" s="32" t="s">
        <v>1855</v>
      </c>
    </row>
    <row r="44" ht="61.5" customHeight="1">
      <c r="A44" s="30" t="s">
        <v>1909</v>
      </c>
      <c r="B44" s="31" t="s">
        <v>538</v>
      </c>
      <c r="C44" s="31" t="s">
        <v>1725</v>
      </c>
      <c r="D44" s="31" t="s">
        <v>539</v>
      </c>
      <c r="E44" s="31" t="s">
        <v>542</v>
      </c>
      <c r="F44" s="31" t="s">
        <v>1850</v>
      </c>
      <c r="G44" s="31" t="s">
        <v>1864</v>
      </c>
      <c r="H44" s="31" t="s">
        <v>139</v>
      </c>
      <c r="I44" s="31" t="s">
        <v>1852</v>
      </c>
      <c r="J44" s="31" t="s">
        <v>1865</v>
      </c>
      <c r="K44" s="31" t="s">
        <v>1858</v>
      </c>
      <c r="L44" s="32" t="s">
        <v>1855</v>
      </c>
    </row>
    <row r="45" ht="61.5" customHeight="1">
      <c r="A45" s="30" t="s">
        <v>1910</v>
      </c>
      <c r="B45" s="31" t="s">
        <v>548</v>
      </c>
      <c r="C45" s="31" t="s">
        <v>1725</v>
      </c>
      <c r="D45" s="31" t="s">
        <v>549</v>
      </c>
      <c r="E45" s="31" t="s">
        <v>552</v>
      </c>
      <c r="F45" s="31" t="s">
        <v>1850</v>
      </c>
      <c r="G45" s="31" t="s">
        <v>1851</v>
      </c>
      <c r="H45" s="31" t="s">
        <v>289</v>
      </c>
      <c r="I45" s="31" t="s">
        <v>1884</v>
      </c>
      <c r="J45" s="31" t="s">
        <v>1885</v>
      </c>
      <c r="K45" s="31" t="s">
        <v>1858</v>
      </c>
      <c r="L45" s="32" t="s">
        <v>1855</v>
      </c>
    </row>
    <row r="46" ht="61.5" customHeight="1">
      <c r="A46" s="30" t="s">
        <v>1911</v>
      </c>
      <c r="B46" s="31" t="s">
        <v>560</v>
      </c>
      <c r="C46" s="31" t="s">
        <v>1725</v>
      </c>
      <c r="D46" s="31" t="s">
        <v>561</v>
      </c>
      <c r="E46" s="31" t="s">
        <v>564</v>
      </c>
      <c r="F46" s="31" t="s">
        <v>1850</v>
      </c>
      <c r="G46" s="31" t="s">
        <v>1851</v>
      </c>
      <c r="H46" s="31" t="s">
        <v>153</v>
      </c>
      <c r="I46" s="31" t="s">
        <v>1861</v>
      </c>
      <c r="J46" s="31" t="s">
        <v>1862</v>
      </c>
      <c r="K46" s="31" t="s">
        <v>1858</v>
      </c>
      <c r="L46" s="32" t="s">
        <v>1855</v>
      </c>
    </row>
    <row r="47" ht="61.5" customHeight="1">
      <c r="A47" s="30" t="s">
        <v>1912</v>
      </c>
      <c r="B47" s="31" t="s">
        <v>570</v>
      </c>
      <c r="C47" s="31" t="s">
        <v>1725</v>
      </c>
      <c r="D47" s="31" t="s">
        <v>571</v>
      </c>
      <c r="E47" s="31" t="s">
        <v>574</v>
      </c>
      <c r="F47" s="31" t="s">
        <v>1850</v>
      </c>
      <c r="G47" s="31" t="s">
        <v>1864</v>
      </c>
      <c r="H47" s="31" t="s">
        <v>289</v>
      </c>
      <c r="I47" s="31" t="s">
        <v>1884</v>
      </c>
      <c r="J47" s="31" t="s">
        <v>1865</v>
      </c>
      <c r="K47" s="31" t="s">
        <v>1858</v>
      </c>
      <c r="L47" s="32" t="s">
        <v>1855</v>
      </c>
    </row>
    <row r="48" ht="61.5" customHeight="1">
      <c r="A48" s="30" t="s">
        <v>1913</v>
      </c>
      <c r="B48" s="31" t="s">
        <v>580</v>
      </c>
      <c r="C48" s="31" t="s">
        <v>1725</v>
      </c>
      <c r="D48" s="31" t="s">
        <v>581</v>
      </c>
      <c r="E48" s="31" t="s">
        <v>584</v>
      </c>
      <c r="F48" s="31" t="s">
        <v>1850</v>
      </c>
      <c r="G48" s="31" t="s">
        <v>1867</v>
      </c>
      <c r="H48" s="31" t="s">
        <v>125</v>
      </c>
      <c r="I48" s="31" t="s">
        <v>1852</v>
      </c>
      <c r="J48" s="31" t="s">
        <v>1868</v>
      </c>
      <c r="K48" s="31" t="s">
        <v>1858</v>
      </c>
      <c r="L48" s="32" t="s">
        <v>1855</v>
      </c>
    </row>
    <row r="49" ht="61.5" customHeight="1">
      <c r="A49" s="30" t="s">
        <v>1914</v>
      </c>
      <c r="B49" s="31" t="s">
        <v>590</v>
      </c>
      <c r="C49" s="31" t="s">
        <v>1725</v>
      </c>
      <c r="D49" s="31" t="s">
        <v>591</v>
      </c>
      <c r="E49" s="31" t="s">
        <v>594</v>
      </c>
      <c r="F49" s="31" t="s">
        <v>1850</v>
      </c>
      <c r="G49" s="31" t="s">
        <v>1870</v>
      </c>
      <c r="H49" s="31" t="s">
        <v>139</v>
      </c>
      <c r="I49" s="31" t="s">
        <v>1852</v>
      </c>
      <c r="J49" s="31" t="s">
        <v>1871</v>
      </c>
      <c r="K49" s="31" t="s">
        <v>1858</v>
      </c>
      <c r="L49" s="32" t="s">
        <v>1855</v>
      </c>
    </row>
    <row r="50" ht="61.5" customHeight="1">
      <c r="A50" s="30" t="s">
        <v>1915</v>
      </c>
      <c r="B50" s="31" t="s">
        <v>599</v>
      </c>
      <c r="C50" s="31" t="s">
        <v>1725</v>
      </c>
      <c r="D50" s="31" t="s">
        <v>600</v>
      </c>
      <c r="E50" s="31" t="s">
        <v>603</v>
      </c>
      <c r="F50" s="31" t="s">
        <v>1850</v>
      </c>
      <c r="G50" s="31" t="s">
        <v>1851</v>
      </c>
      <c r="H50" s="31" t="s">
        <v>153</v>
      </c>
      <c r="I50" s="31" t="s">
        <v>1861</v>
      </c>
      <c r="J50" s="31" t="s">
        <v>1857</v>
      </c>
      <c r="K50" s="31" t="s">
        <v>1858</v>
      </c>
      <c r="L50" s="32" t="s">
        <v>1855</v>
      </c>
    </row>
    <row r="51" ht="61.5" customHeight="1">
      <c r="A51" s="30" t="s">
        <v>1916</v>
      </c>
      <c r="B51" s="31" t="s">
        <v>609</v>
      </c>
      <c r="C51" s="31" t="s">
        <v>1725</v>
      </c>
      <c r="D51" s="31" t="s">
        <v>610</v>
      </c>
      <c r="E51" s="31" t="s">
        <v>613</v>
      </c>
      <c r="F51" s="31" t="s">
        <v>1850</v>
      </c>
      <c r="G51" s="31" t="s">
        <v>1864</v>
      </c>
      <c r="H51" s="31" t="s">
        <v>289</v>
      </c>
      <c r="I51" s="31" t="s">
        <v>1884</v>
      </c>
      <c r="J51" s="31" t="s">
        <v>1865</v>
      </c>
      <c r="K51" s="31" t="s">
        <v>1858</v>
      </c>
      <c r="L51" s="32" t="s">
        <v>1855</v>
      </c>
    </row>
    <row r="52" ht="61.5" customHeight="1">
      <c r="A52" s="30" t="s">
        <v>1917</v>
      </c>
      <c r="B52" s="31" t="s">
        <v>619</v>
      </c>
      <c r="C52" s="31" t="s">
        <v>1725</v>
      </c>
      <c r="D52" s="31" t="s">
        <v>621</v>
      </c>
      <c r="E52" s="31" t="s">
        <v>624</v>
      </c>
      <c r="F52" s="31" t="s">
        <v>1850</v>
      </c>
      <c r="G52" s="31" t="s">
        <v>1851</v>
      </c>
      <c r="H52" s="31" t="s">
        <v>625</v>
      </c>
      <c r="I52" s="31" t="s">
        <v>1852</v>
      </c>
      <c r="J52" s="31" t="s">
        <v>1918</v>
      </c>
      <c r="K52" s="31" t="s">
        <v>1858</v>
      </c>
      <c r="L52" s="32" t="s">
        <v>1855</v>
      </c>
    </row>
    <row r="53" ht="61.5" customHeight="1">
      <c r="A53" s="30" t="s">
        <v>1919</v>
      </c>
      <c r="B53" s="31" t="s">
        <v>632</v>
      </c>
      <c r="C53" s="31" t="s">
        <v>1737</v>
      </c>
      <c r="D53" s="31" t="s">
        <v>634</v>
      </c>
      <c r="E53" s="31" t="s">
        <v>637</v>
      </c>
      <c r="F53" s="31" t="s">
        <v>1850</v>
      </c>
      <c r="G53" s="31" t="s">
        <v>1864</v>
      </c>
      <c r="H53" s="31" t="s">
        <v>139</v>
      </c>
      <c r="I53" s="31" t="s">
        <v>1852</v>
      </c>
      <c r="J53" s="31" t="s">
        <v>1865</v>
      </c>
      <c r="K53" s="31" t="s">
        <v>1858</v>
      </c>
      <c r="L53" s="32" t="s">
        <v>1855</v>
      </c>
    </row>
    <row r="54" ht="61.5" customHeight="1">
      <c r="A54" s="30" t="s">
        <v>1920</v>
      </c>
      <c r="B54" s="31" t="s">
        <v>644</v>
      </c>
      <c r="C54" s="31" t="s">
        <v>1737</v>
      </c>
      <c r="D54" s="31" t="s">
        <v>645</v>
      </c>
      <c r="E54" s="31" t="s">
        <v>648</v>
      </c>
      <c r="F54" s="31" t="s">
        <v>1850</v>
      </c>
      <c r="G54" s="31" t="s">
        <v>1851</v>
      </c>
      <c r="H54" s="31" t="s">
        <v>289</v>
      </c>
      <c r="I54" s="31" t="s">
        <v>1884</v>
      </c>
      <c r="J54" s="31" t="s">
        <v>1885</v>
      </c>
      <c r="K54" s="31" t="s">
        <v>1858</v>
      </c>
      <c r="L54" s="32" t="s">
        <v>1855</v>
      </c>
    </row>
    <row r="55" ht="61.5" customHeight="1">
      <c r="A55" s="30" t="s">
        <v>1921</v>
      </c>
      <c r="B55" s="31" t="s">
        <v>655</v>
      </c>
      <c r="C55" s="31" t="s">
        <v>1737</v>
      </c>
      <c r="D55" s="31" t="s">
        <v>656</v>
      </c>
      <c r="E55" s="31" t="s">
        <v>659</v>
      </c>
      <c r="F55" s="31" t="s">
        <v>1850</v>
      </c>
      <c r="G55" s="31" t="s">
        <v>1851</v>
      </c>
      <c r="H55" s="31" t="s">
        <v>289</v>
      </c>
      <c r="I55" s="31" t="s">
        <v>1884</v>
      </c>
      <c r="J55" s="31" t="s">
        <v>1885</v>
      </c>
      <c r="K55" s="31" t="s">
        <v>1858</v>
      </c>
      <c r="L55" s="32" t="s">
        <v>1855</v>
      </c>
    </row>
    <row r="56" ht="61.5" customHeight="1">
      <c r="A56" s="30" t="s">
        <v>1922</v>
      </c>
      <c r="B56" s="31" t="s">
        <v>665</v>
      </c>
      <c r="C56" s="31" t="s">
        <v>1737</v>
      </c>
      <c r="D56" s="31" t="s">
        <v>666</v>
      </c>
      <c r="E56" s="31" t="s">
        <v>669</v>
      </c>
      <c r="F56" s="31" t="s">
        <v>1850</v>
      </c>
      <c r="G56" s="31" t="s">
        <v>1867</v>
      </c>
      <c r="H56" s="31" t="s">
        <v>125</v>
      </c>
      <c r="I56" s="31" t="s">
        <v>1852</v>
      </c>
      <c r="J56" s="31" t="s">
        <v>1868</v>
      </c>
      <c r="K56" s="31" t="s">
        <v>1858</v>
      </c>
      <c r="L56" s="32" t="s">
        <v>1855</v>
      </c>
    </row>
    <row r="57" ht="61.5" customHeight="1">
      <c r="A57" s="30" t="s">
        <v>1923</v>
      </c>
      <c r="B57" s="31" t="s">
        <v>675</v>
      </c>
      <c r="C57" s="31" t="s">
        <v>1737</v>
      </c>
      <c r="D57" s="31" t="s">
        <v>676</v>
      </c>
      <c r="E57" s="31" t="s">
        <v>679</v>
      </c>
      <c r="F57" s="31" t="s">
        <v>1850</v>
      </c>
      <c r="G57" s="31" t="s">
        <v>1867</v>
      </c>
      <c r="H57" s="31" t="s">
        <v>289</v>
      </c>
      <c r="I57" s="31" t="s">
        <v>1884</v>
      </c>
      <c r="J57" s="31" t="s">
        <v>1868</v>
      </c>
      <c r="K57" s="31" t="s">
        <v>1858</v>
      </c>
      <c r="L57" s="32" t="s">
        <v>1855</v>
      </c>
    </row>
    <row r="58" ht="61.5" customHeight="1">
      <c r="A58" s="30" t="s">
        <v>1924</v>
      </c>
      <c r="B58" s="31" t="s">
        <v>685</v>
      </c>
      <c r="C58" s="31" t="s">
        <v>1737</v>
      </c>
      <c r="D58" s="31" t="s">
        <v>686</v>
      </c>
      <c r="E58" s="31" t="s">
        <v>689</v>
      </c>
      <c r="F58" s="31" t="s">
        <v>1850</v>
      </c>
      <c r="G58" s="31" t="s">
        <v>1867</v>
      </c>
      <c r="H58" s="31" t="s">
        <v>125</v>
      </c>
      <c r="I58" s="31" t="s">
        <v>1852</v>
      </c>
      <c r="J58" s="31" t="s">
        <v>1868</v>
      </c>
      <c r="K58" s="31" t="s">
        <v>1858</v>
      </c>
      <c r="L58" s="32" t="s">
        <v>1855</v>
      </c>
    </row>
    <row r="59" ht="61.5" customHeight="1">
      <c r="A59" s="30" t="s">
        <v>1925</v>
      </c>
      <c r="B59" s="31" t="s">
        <v>695</v>
      </c>
      <c r="C59" s="31" t="s">
        <v>1737</v>
      </c>
      <c r="D59" s="31" t="s">
        <v>696</v>
      </c>
      <c r="E59" s="31" t="s">
        <v>699</v>
      </c>
      <c r="F59" s="31" t="s">
        <v>1850</v>
      </c>
      <c r="G59" s="31" t="s">
        <v>1870</v>
      </c>
      <c r="H59" s="31" t="s">
        <v>106</v>
      </c>
      <c r="I59" s="31" t="s">
        <v>1852</v>
      </c>
      <c r="J59" s="31" t="s">
        <v>1871</v>
      </c>
      <c r="K59" s="31" t="s">
        <v>1858</v>
      </c>
      <c r="L59" s="32" t="s">
        <v>1855</v>
      </c>
    </row>
    <row r="60" ht="61.5" customHeight="1">
      <c r="A60" s="30" t="s">
        <v>1926</v>
      </c>
      <c r="B60" s="31" t="s">
        <v>706</v>
      </c>
      <c r="C60" s="31" t="s">
        <v>1737</v>
      </c>
      <c r="D60" s="31" t="s">
        <v>707</v>
      </c>
      <c r="E60" s="31" t="s">
        <v>710</v>
      </c>
      <c r="F60" s="31" t="s">
        <v>1850</v>
      </c>
      <c r="G60" s="31" t="s">
        <v>1870</v>
      </c>
      <c r="H60" s="31" t="s">
        <v>139</v>
      </c>
      <c r="I60" s="31" t="s">
        <v>1852</v>
      </c>
      <c r="J60" s="31" t="s">
        <v>1871</v>
      </c>
      <c r="K60" s="31" t="s">
        <v>1858</v>
      </c>
      <c r="L60" s="32" t="s">
        <v>1855</v>
      </c>
    </row>
    <row r="61" ht="61.5" customHeight="1">
      <c r="A61" s="30" t="s">
        <v>1927</v>
      </c>
      <c r="B61" s="31" t="s">
        <v>716</v>
      </c>
      <c r="C61" s="31" t="s">
        <v>1737</v>
      </c>
      <c r="D61" s="31" t="s">
        <v>717</v>
      </c>
      <c r="E61" s="31" t="s">
        <v>720</v>
      </c>
      <c r="F61" s="31" t="s">
        <v>1850</v>
      </c>
      <c r="G61" s="31" t="s">
        <v>1851</v>
      </c>
      <c r="H61" s="31" t="s">
        <v>139</v>
      </c>
      <c r="I61" s="31" t="s">
        <v>1852</v>
      </c>
      <c r="J61" s="31" t="s">
        <v>1918</v>
      </c>
      <c r="K61" s="31" t="s">
        <v>1858</v>
      </c>
      <c r="L61" s="32" t="s">
        <v>1855</v>
      </c>
    </row>
    <row r="62" ht="61.5" customHeight="1">
      <c r="A62" s="30" t="s">
        <v>1928</v>
      </c>
      <c r="B62" s="31" t="s">
        <v>727</v>
      </c>
      <c r="C62" s="31" t="s">
        <v>1737</v>
      </c>
      <c r="D62" s="31" t="s">
        <v>729</v>
      </c>
      <c r="E62" s="31" t="s">
        <v>732</v>
      </c>
      <c r="F62" s="31" t="s">
        <v>1850</v>
      </c>
      <c r="G62" s="31" t="s">
        <v>1851</v>
      </c>
      <c r="H62" s="31" t="s">
        <v>625</v>
      </c>
      <c r="I62" s="31" t="s">
        <v>1852</v>
      </c>
      <c r="J62" s="31" t="s">
        <v>1929</v>
      </c>
      <c r="K62" s="31" t="s">
        <v>1858</v>
      </c>
      <c r="L62" s="32" t="s">
        <v>1855</v>
      </c>
    </row>
    <row r="63" ht="61.5" customHeight="1">
      <c r="A63" s="30" t="s">
        <v>1930</v>
      </c>
      <c r="B63" s="31" t="s">
        <v>739</v>
      </c>
      <c r="C63" s="31" t="s">
        <v>38</v>
      </c>
      <c r="D63" s="31" t="s">
        <v>741</v>
      </c>
      <c r="E63" s="31" t="s">
        <v>744</v>
      </c>
      <c r="F63" s="31" t="s">
        <v>1850</v>
      </c>
      <c r="G63" s="31" t="s">
        <v>1851</v>
      </c>
      <c r="H63" s="31" t="s">
        <v>139</v>
      </c>
      <c r="I63" s="31" t="s">
        <v>1852</v>
      </c>
      <c r="J63" s="31" t="s">
        <v>1857</v>
      </c>
      <c r="K63" s="31" t="s">
        <v>1858</v>
      </c>
      <c r="L63" s="32" t="s">
        <v>1855</v>
      </c>
    </row>
    <row r="64" ht="61.5" customHeight="1">
      <c r="A64" s="30" t="s">
        <v>1931</v>
      </c>
      <c r="B64" s="31" t="s">
        <v>751</v>
      </c>
      <c r="C64" s="31" t="s">
        <v>38</v>
      </c>
      <c r="D64" s="31" t="s">
        <v>752</v>
      </c>
      <c r="E64" s="31" t="s">
        <v>755</v>
      </c>
      <c r="F64" s="31" t="s">
        <v>1850</v>
      </c>
      <c r="G64" s="31" t="s">
        <v>1873</v>
      </c>
      <c r="H64" s="31" t="s">
        <v>139</v>
      </c>
      <c r="I64" s="31" t="s">
        <v>1852</v>
      </c>
      <c r="J64" s="31" t="s">
        <v>1874</v>
      </c>
      <c r="K64" s="31" t="s">
        <v>1858</v>
      </c>
      <c r="L64" s="32" t="s">
        <v>1855</v>
      </c>
    </row>
    <row r="65" ht="61.5" customHeight="1">
      <c r="A65" s="30" t="s">
        <v>1932</v>
      </c>
      <c r="B65" s="31" t="s">
        <v>761</v>
      </c>
      <c r="C65" s="31" t="s">
        <v>38</v>
      </c>
      <c r="D65" s="31" t="s">
        <v>762</v>
      </c>
      <c r="E65" s="31" t="s">
        <v>275</v>
      </c>
      <c r="F65" s="31" t="s">
        <v>1850</v>
      </c>
      <c r="G65" s="31" t="s">
        <v>1851</v>
      </c>
      <c r="H65" s="31" t="s">
        <v>276</v>
      </c>
      <c r="I65" s="31" t="s">
        <v>1861</v>
      </c>
      <c r="J65" s="31" t="s">
        <v>1862</v>
      </c>
      <c r="K65" s="31" t="s">
        <v>1858</v>
      </c>
      <c r="L65" s="32" t="s">
        <v>1855</v>
      </c>
    </row>
    <row r="66" ht="61.5" customHeight="1">
      <c r="A66" s="30" t="s">
        <v>1933</v>
      </c>
      <c r="B66" s="31" t="s">
        <v>769</v>
      </c>
      <c r="C66" s="31" t="s">
        <v>38</v>
      </c>
      <c r="D66" s="31" t="s">
        <v>770</v>
      </c>
      <c r="E66" s="31" t="s">
        <v>773</v>
      </c>
      <c r="F66" s="31" t="s">
        <v>1850</v>
      </c>
      <c r="G66" s="31" t="s">
        <v>1873</v>
      </c>
      <c r="H66" s="31" t="s">
        <v>153</v>
      </c>
      <c r="I66" s="31" t="s">
        <v>1861</v>
      </c>
      <c r="J66" s="31" t="s">
        <v>1874</v>
      </c>
      <c r="K66" s="31" t="s">
        <v>1858</v>
      </c>
      <c r="L66" s="32" t="s">
        <v>1855</v>
      </c>
    </row>
    <row r="67" ht="61.5" customHeight="1">
      <c r="A67" s="30" t="s">
        <v>1934</v>
      </c>
      <c r="B67" s="31" t="s">
        <v>778</v>
      </c>
      <c r="C67" s="31" t="s">
        <v>38</v>
      </c>
      <c r="D67" s="31" t="s">
        <v>779</v>
      </c>
      <c r="E67" s="31" t="s">
        <v>782</v>
      </c>
      <c r="F67" s="31" t="s">
        <v>1850</v>
      </c>
      <c r="G67" s="31" t="s">
        <v>1867</v>
      </c>
      <c r="H67" s="31" t="s">
        <v>125</v>
      </c>
      <c r="I67" s="31" t="s">
        <v>1852</v>
      </c>
      <c r="J67" s="31" t="s">
        <v>1868</v>
      </c>
      <c r="K67" s="31" t="s">
        <v>1858</v>
      </c>
      <c r="L67" s="32" t="s">
        <v>1855</v>
      </c>
    </row>
    <row r="68" ht="61.5" customHeight="1">
      <c r="A68" s="30" t="s">
        <v>1935</v>
      </c>
      <c r="B68" s="31" t="s">
        <v>788</v>
      </c>
      <c r="C68" s="31" t="s">
        <v>38</v>
      </c>
      <c r="D68" s="31" t="s">
        <v>789</v>
      </c>
      <c r="E68" s="31" t="s">
        <v>793</v>
      </c>
      <c r="F68" s="31" t="s">
        <v>1850</v>
      </c>
      <c r="G68" s="31" t="s">
        <v>1873</v>
      </c>
      <c r="H68" s="31" t="s">
        <v>139</v>
      </c>
      <c r="I68" s="31" t="s">
        <v>1852</v>
      </c>
      <c r="J68" s="31" t="s">
        <v>1874</v>
      </c>
      <c r="K68" s="31" t="s">
        <v>1858</v>
      </c>
      <c r="L68" s="32" t="s">
        <v>1855</v>
      </c>
    </row>
    <row r="69" ht="61.5" customHeight="1">
      <c r="A69" s="30" t="s">
        <v>1936</v>
      </c>
      <c r="B69" s="31" t="s">
        <v>798</v>
      </c>
      <c r="C69" s="31" t="s">
        <v>38</v>
      </c>
      <c r="D69" s="31" t="s">
        <v>799</v>
      </c>
      <c r="E69" s="31" t="s">
        <v>802</v>
      </c>
      <c r="F69" s="31" t="s">
        <v>1850</v>
      </c>
      <c r="G69" s="31" t="s">
        <v>1870</v>
      </c>
      <c r="H69" s="31" t="s">
        <v>139</v>
      </c>
      <c r="I69" s="31" t="s">
        <v>1852</v>
      </c>
      <c r="J69" s="31" t="s">
        <v>1871</v>
      </c>
      <c r="K69" s="31" t="s">
        <v>1858</v>
      </c>
      <c r="L69" s="32" t="s">
        <v>1855</v>
      </c>
    </row>
    <row r="70" ht="61.5" customHeight="1">
      <c r="A70" s="30" t="s">
        <v>1937</v>
      </c>
      <c r="B70" s="31" t="s">
        <v>806</v>
      </c>
      <c r="C70" s="31" t="s">
        <v>38</v>
      </c>
      <c r="D70" s="31" t="s">
        <v>807</v>
      </c>
      <c r="E70" s="31" t="s">
        <v>810</v>
      </c>
      <c r="F70" s="31" t="s">
        <v>1850</v>
      </c>
      <c r="G70" s="31" t="s">
        <v>1870</v>
      </c>
      <c r="H70" s="31" t="s">
        <v>139</v>
      </c>
      <c r="I70" s="31" t="s">
        <v>1852</v>
      </c>
      <c r="J70" s="31" t="s">
        <v>1871</v>
      </c>
      <c r="K70" s="31" t="s">
        <v>1858</v>
      </c>
      <c r="L70" s="32" t="s">
        <v>1855</v>
      </c>
    </row>
    <row r="71" ht="61.5" customHeight="1">
      <c r="A71" s="30" t="s">
        <v>1938</v>
      </c>
      <c r="B71" s="31" t="s">
        <v>816</v>
      </c>
      <c r="C71" s="31" t="s">
        <v>38</v>
      </c>
      <c r="D71" s="31" t="s">
        <v>817</v>
      </c>
      <c r="E71" s="31" t="s">
        <v>820</v>
      </c>
      <c r="F71" s="31" t="s">
        <v>1850</v>
      </c>
      <c r="G71" s="31" t="s">
        <v>1851</v>
      </c>
      <c r="H71" s="31" t="s">
        <v>139</v>
      </c>
      <c r="I71" s="31" t="s">
        <v>1852</v>
      </c>
      <c r="J71" s="31" t="s">
        <v>1929</v>
      </c>
      <c r="K71" s="31" t="s">
        <v>1858</v>
      </c>
      <c r="L71" s="32" t="s">
        <v>1855</v>
      </c>
    </row>
    <row r="72" ht="61.5" customHeight="1">
      <c r="A72" s="35" t="s">
        <v>1939</v>
      </c>
      <c r="B72" s="36" t="s">
        <v>826</v>
      </c>
      <c r="C72" s="36" t="s">
        <v>38</v>
      </c>
      <c r="D72" s="36" t="s">
        <v>827</v>
      </c>
      <c r="E72" s="36" t="s">
        <v>830</v>
      </c>
      <c r="F72" s="36" t="s">
        <v>1850</v>
      </c>
      <c r="G72" s="36" t="s">
        <v>1851</v>
      </c>
      <c r="H72" s="36" t="s">
        <v>139</v>
      </c>
      <c r="I72" s="36" t="s">
        <v>1852</v>
      </c>
      <c r="J72" s="36" t="s">
        <v>1853</v>
      </c>
      <c r="K72" s="36" t="s">
        <v>1858</v>
      </c>
      <c r="L72" s="37" t="s">
        <v>1855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K5:K72">
      <formula1>"Planned,Designed,HTML Built,Reviewed,Locked prototype"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6.0"/>
    <col customWidth="1" min="3" max="3" width="18.0"/>
    <col customWidth="1" min="4" max="4" width="24.0"/>
    <col customWidth="1" min="5" max="5" width="32.0"/>
    <col customWidth="1" min="6" max="6" width="40.0"/>
    <col customWidth="1" min="7" max="7" width="52.0"/>
    <col customWidth="1" min="8" max="10" width="48.0"/>
    <col customWidth="1" min="11" max="11" width="52.0"/>
    <col customWidth="1" min="12" max="12" width="44.0"/>
    <col customWidth="1" min="13" max="13" width="48.0"/>
    <col customWidth="1" min="14" max="14" width="42.0"/>
    <col customWidth="1" min="15" max="26" width="8.63"/>
  </cols>
  <sheetData>
    <row r="1">
      <c r="A1" s="2" t="s">
        <v>1940</v>
      </c>
    </row>
    <row r="2">
      <c r="A2" s="4" t="s">
        <v>1941</v>
      </c>
    </row>
    <row r="4">
      <c r="A4" s="40" t="s">
        <v>76</v>
      </c>
      <c r="B4" s="41" t="s">
        <v>4</v>
      </c>
      <c r="C4" s="41" t="s">
        <v>77</v>
      </c>
      <c r="D4" s="41" t="s">
        <v>839</v>
      </c>
      <c r="E4" s="41" t="s">
        <v>80</v>
      </c>
      <c r="F4" s="41" t="s">
        <v>1942</v>
      </c>
      <c r="G4" s="41" t="s">
        <v>1943</v>
      </c>
      <c r="H4" s="41" t="s">
        <v>1944</v>
      </c>
      <c r="I4" s="41" t="s">
        <v>1945</v>
      </c>
      <c r="J4" s="41" t="s">
        <v>1946</v>
      </c>
      <c r="K4" s="41" t="s">
        <v>1947</v>
      </c>
      <c r="L4" s="41" t="s">
        <v>1948</v>
      </c>
      <c r="M4" s="41" t="s">
        <v>1949</v>
      </c>
      <c r="N4" s="42" t="s">
        <v>1950</v>
      </c>
    </row>
    <row r="5" ht="85.5" customHeight="1">
      <c r="A5" s="30" t="s">
        <v>97</v>
      </c>
      <c r="B5" s="31" t="s">
        <v>1621</v>
      </c>
      <c r="C5" s="31" t="s">
        <v>98</v>
      </c>
      <c r="D5" s="31" t="s">
        <v>99</v>
      </c>
      <c r="E5" s="31" t="s">
        <v>100</v>
      </c>
      <c r="F5" s="31" t="s">
        <v>107</v>
      </c>
      <c r="G5" s="31" t="s">
        <v>1951</v>
      </c>
      <c r="H5" s="31" t="s">
        <v>1952</v>
      </c>
      <c r="I5" s="31" t="s">
        <v>1953</v>
      </c>
      <c r="J5" s="31" t="s">
        <v>1954</v>
      </c>
      <c r="K5" s="31" t="s">
        <v>1955</v>
      </c>
      <c r="L5" s="31" t="s">
        <v>1956</v>
      </c>
      <c r="M5" s="31" t="s">
        <v>1957</v>
      </c>
      <c r="N5" s="32" t="s">
        <v>1958</v>
      </c>
    </row>
    <row r="6" ht="85.5" customHeight="1">
      <c r="A6" s="30" t="s">
        <v>118</v>
      </c>
      <c r="B6" s="31" t="s">
        <v>1621</v>
      </c>
      <c r="C6" s="31" t="s">
        <v>98</v>
      </c>
      <c r="D6" s="31" t="s">
        <v>119</v>
      </c>
      <c r="E6" s="31" t="s">
        <v>120</v>
      </c>
      <c r="F6" s="31" t="s">
        <v>126</v>
      </c>
      <c r="G6" s="31" t="s">
        <v>1951</v>
      </c>
      <c r="H6" s="31" t="s">
        <v>1959</v>
      </c>
      <c r="I6" s="31" t="s">
        <v>1960</v>
      </c>
      <c r="J6" s="31" t="s">
        <v>1961</v>
      </c>
      <c r="K6" s="31" t="s">
        <v>1962</v>
      </c>
      <c r="L6" s="31" t="s">
        <v>1963</v>
      </c>
      <c r="M6" s="31" t="s">
        <v>1957</v>
      </c>
      <c r="N6" s="32" t="s">
        <v>1958</v>
      </c>
    </row>
    <row r="7" ht="85.5" customHeight="1">
      <c r="A7" s="30" t="s">
        <v>134</v>
      </c>
      <c r="B7" s="31" t="s">
        <v>1621</v>
      </c>
      <c r="C7" s="31" t="s">
        <v>98</v>
      </c>
      <c r="D7" s="31" t="s">
        <v>119</v>
      </c>
      <c r="E7" s="31" t="s">
        <v>135</v>
      </c>
      <c r="F7" s="31" t="s">
        <v>140</v>
      </c>
      <c r="G7" s="31" t="s">
        <v>1951</v>
      </c>
      <c r="H7" s="31" t="s">
        <v>1964</v>
      </c>
      <c r="I7" s="31" t="s">
        <v>1965</v>
      </c>
      <c r="J7" s="31" t="s">
        <v>1966</v>
      </c>
      <c r="K7" s="31" t="s">
        <v>1967</v>
      </c>
      <c r="L7" s="31" t="s">
        <v>1968</v>
      </c>
      <c r="M7" s="31" t="s">
        <v>1957</v>
      </c>
      <c r="N7" s="32" t="s">
        <v>1958</v>
      </c>
    </row>
    <row r="8" ht="85.5" customHeight="1">
      <c r="A8" s="30" t="s">
        <v>146</v>
      </c>
      <c r="B8" s="31" t="s">
        <v>1621</v>
      </c>
      <c r="C8" s="31" t="s">
        <v>98</v>
      </c>
      <c r="D8" s="31" t="s">
        <v>147</v>
      </c>
      <c r="E8" s="31" t="s">
        <v>148</v>
      </c>
      <c r="F8" s="31" t="s">
        <v>154</v>
      </c>
      <c r="G8" s="31" t="s">
        <v>1951</v>
      </c>
      <c r="H8" s="31" t="s">
        <v>1969</v>
      </c>
      <c r="I8" s="31" t="s">
        <v>1970</v>
      </c>
      <c r="J8" s="31" t="s">
        <v>1971</v>
      </c>
      <c r="K8" s="31" t="s">
        <v>1972</v>
      </c>
      <c r="L8" s="31" t="s">
        <v>1973</v>
      </c>
      <c r="M8" s="31" t="s">
        <v>1957</v>
      </c>
      <c r="N8" s="32" t="s">
        <v>1958</v>
      </c>
    </row>
    <row r="9" ht="85.5" customHeight="1">
      <c r="A9" s="30" t="s">
        <v>160</v>
      </c>
      <c r="B9" s="31" t="s">
        <v>1621</v>
      </c>
      <c r="C9" s="31" t="s">
        <v>98</v>
      </c>
      <c r="D9" s="31" t="s">
        <v>161</v>
      </c>
      <c r="E9" s="31" t="s">
        <v>162</v>
      </c>
      <c r="F9" s="31" t="s">
        <v>166</v>
      </c>
      <c r="G9" s="31" t="s">
        <v>1951</v>
      </c>
      <c r="H9" s="31" t="s">
        <v>1974</v>
      </c>
      <c r="I9" s="31" t="s">
        <v>1975</v>
      </c>
      <c r="J9" s="31" t="s">
        <v>1976</v>
      </c>
      <c r="K9" s="31" t="s">
        <v>1977</v>
      </c>
      <c r="L9" s="31" t="s">
        <v>1978</v>
      </c>
      <c r="M9" s="31" t="s">
        <v>1957</v>
      </c>
      <c r="N9" s="32" t="s">
        <v>1958</v>
      </c>
    </row>
    <row r="10" ht="85.5" customHeight="1">
      <c r="A10" s="30" t="s">
        <v>171</v>
      </c>
      <c r="B10" s="31" t="s">
        <v>1621</v>
      </c>
      <c r="C10" s="31" t="s">
        <v>98</v>
      </c>
      <c r="D10" s="31" t="s">
        <v>172</v>
      </c>
      <c r="E10" s="31" t="s">
        <v>173</v>
      </c>
      <c r="F10" s="31" t="s">
        <v>178</v>
      </c>
      <c r="G10" s="31" t="s">
        <v>1951</v>
      </c>
      <c r="H10" s="31" t="s">
        <v>1979</v>
      </c>
      <c r="I10" s="31" t="s">
        <v>1980</v>
      </c>
      <c r="J10" s="31" t="s">
        <v>1981</v>
      </c>
      <c r="K10" s="31" t="s">
        <v>1982</v>
      </c>
      <c r="L10" s="31" t="s">
        <v>1983</v>
      </c>
      <c r="M10" s="31" t="s">
        <v>1957</v>
      </c>
      <c r="N10" s="32" t="s">
        <v>1958</v>
      </c>
    </row>
    <row r="11" ht="85.5" customHeight="1">
      <c r="A11" s="30" t="s">
        <v>184</v>
      </c>
      <c r="B11" s="31" t="s">
        <v>1621</v>
      </c>
      <c r="C11" s="31" t="s">
        <v>98</v>
      </c>
      <c r="D11" s="31" t="s">
        <v>185</v>
      </c>
      <c r="E11" s="31" t="s">
        <v>186</v>
      </c>
      <c r="F11" s="31" t="s">
        <v>190</v>
      </c>
      <c r="G11" s="31" t="s">
        <v>1951</v>
      </c>
      <c r="H11" s="31" t="s">
        <v>1984</v>
      </c>
      <c r="I11" s="31" t="s">
        <v>1985</v>
      </c>
      <c r="J11" s="31" t="s">
        <v>1986</v>
      </c>
      <c r="K11" s="31" t="s">
        <v>1987</v>
      </c>
      <c r="L11" s="31" t="s">
        <v>1988</v>
      </c>
      <c r="M11" s="31" t="s">
        <v>1957</v>
      </c>
      <c r="N11" s="32" t="s">
        <v>1958</v>
      </c>
    </row>
    <row r="12" ht="85.5" customHeight="1">
      <c r="A12" s="30" t="s">
        <v>195</v>
      </c>
      <c r="B12" s="31" t="s">
        <v>1621</v>
      </c>
      <c r="C12" s="31" t="s">
        <v>98</v>
      </c>
      <c r="D12" s="31" t="s">
        <v>196</v>
      </c>
      <c r="E12" s="31" t="s">
        <v>197</v>
      </c>
      <c r="F12" s="31" t="s">
        <v>202</v>
      </c>
      <c r="G12" s="31" t="s">
        <v>1951</v>
      </c>
      <c r="H12" s="31" t="s">
        <v>1989</v>
      </c>
      <c r="I12" s="31" t="s">
        <v>1990</v>
      </c>
      <c r="J12" s="31" t="s">
        <v>1991</v>
      </c>
      <c r="K12" s="31" t="s">
        <v>1992</v>
      </c>
      <c r="L12" s="31" t="s">
        <v>1993</v>
      </c>
      <c r="M12" s="31" t="s">
        <v>1957</v>
      </c>
      <c r="N12" s="32" t="s">
        <v>1958</v>
      </c>
    </row>
    <row r="13" ht="85.5" customHeight="1">
      <c r="A13" s="30" t="s">
        <v>208</v>
      </c>
      <c r="B13" s="31" t="s">
        <v>1650</v>
      </c>
      <c r="C13" s="31" t="s">
        <v>209</v>
      </c>
      <c r="D13" s="31" t="s">
        <v>119</v>
      </c>
      <c r="E13" s="31" t="s">
        <v>210</v>
      </c>
      <c r="F13" s="31" t="s">
        <v>215</v>
      </c>
      <c r="G13" s="31" t="s">
        <v>1951</v>
      </c>
      <c r="H13" s="31" t="s">
        <v>1994</v>
      </c>
      <c r="I13" s="31" t="s">
        <v>1995</v>
      </c>
      <c r="J13" s="31" t="s">
        <v>1996</v>
      </c>
      <c r="K13" s="31" t="s">
        <v>1997</v>
      </c>
      <c r="L13" s="31" t="s">
        <v>1998</v>
      </c>
      <c r="M13" s="31" t="s">
        <v>1957</v>
      </c>
      <c r="N13" s="32" t="s">
        <v>1958</v>
      </c>
    </row>
    <row r="14" ht="85.5" customHeight="1">
      <c r="A14" s="30" t="s">
        <v>222</v>
      </c>
      <c r="B14" s="31" t="s">
        <v>1650</v>
      </c>
      <c r="C14" s="31" t="s">
        <v>209</v>
      </c>
      <c r="D14" s="31" t="s">
        <v>119</v>
      </c>
      <c r="E14" s="31" t="s">
        <v>223</v>
      </c>
      <c r="F14" s="31" t="s">
        <v>228</v>
      </c>
      <c r="G14" s="31" t="s">
        <v>1951</v>
      </c>
      <c r="H14" s="31" t="s">
        <v>1999</v>
      </c>
      <c r="I14" s="31" t="s">
        <v>2000</v>
      </c>
      <c r="J14" s="31" t="s">
        <v>2001</v>
      </c>
      <c r="K14" s="31" t="s">
        <v>1962</v>
      </c>
      <c r="L14" s="31" t="s">
        <v>2002</v>
      </c>
      <c r="M14" s="31" t="s">
        <v>1957</v>
      </c>
      <c r="N14" s="32" t="s">
        <v>1958</v>
      </c>
    </row>
    <row r="15" ht="85.5" customHeight="1">
      <c r="A15" s="30" t="s">
        <v>233</v>
      </c>
      <c r="B15" s="31" t="s">
        <v>1650</v>
      </c>
      <c r="C15" s="31" t="s">
        <v>209</v>
      </c>
      <c r="D15" s="31" t="s">
        <v>161</v>
      </c>
      <c r="E15" s="31" t="s">
        <v>234</v>
      </c>
      <c r="F15" s="31" t="s">
        <v>238</v>
      </c>
      <c r="G15" s="31" t="s">
        <v>1951</v>
      </c>
      <c r="H15" s="31" t="s">
        <v>2003</v>
      </c>
      <c r="I15" s="31" t="s">
        <v>2004</v>
      </c>
      <c r="J15" s="31" t="s">
        <v>2005</v>
      </c>
      <c r="K15" s="31" t="s">
        <v>2006</v>
      </c>
      <c r="L15" s="31" t="s">
        <v>2007</v>
      </c>
      <c r="M15" s="31" t="s">
        <v>1957</v>
      </c>
      <c r="N15" s="32" t="s">
        <v>1958</v>
      </c>
    </row>
    <row r="16" ht="85.5" customHeight="1">
      <c r="A16" s="30" t="s">
        <v>241</v>
      </c>
      <c r="B16" s="31" t="s">
        <v>1650</v>
      </c>
      <c r="C16" s="31" t="s">
        <v>209</v>
      </c>
      <c r="D16" s="31" t="s">
        <v>147</v>
      </c>
      <c r="E16" s="31" t="s">
        <v>242</v>
      </c>
      <c r="F16" s="31" t="s">
        <v>246</v>
      </c>
      <c r="G16" s="31" t="s">
        <v>1951</v>
      </c>
      <c r="H16" s="31" t="s">
        <v>2008</v>
      </c>
      <c r="I16" s="31" t="s">
        <v>2009</v>
      </c>
      <c r="J16" s="31" t="s">
        <v>2010</v>
      </c>
      <c r="K16" s="31" t="s">
        <v>2011</v>
      </c>
      <c r="L16" s="31" t="s">
        <v>2012</v>
      </c>
      <c r="M16" s="31" t="s">
        <v>1957</v>
      </c>
      <c r="N16" s="32" t="s">
        <v>1958</v>
      </c>
    </row>
    <row r="17" ht="85.5" customHeight="1">
      <c r="A17" s="30" t="s">
        <v>250</v>
      </c>
      <c r="B17" s="31" t="s">
        <v>1650</v>
      </c>
      <c r="C17" s="31" t="s">
        <v>209</v>
      </c>
      <c r="D17" s="31" t="s">
        <v>172</v>
      </c>
      <c r="E17" s="31" t="s">
        <v>251</v>
      </c>
      <c r="F17" s="31" t="s">
        <v>256</v>
      </c>
      <c r="G17" s="31" t="s">
        <v>1951</v>
      </c>
      <c r="H17" s="31" t="s">
        <v>2013</v>
      </c>
      <c r="I17" s="31" t="s">
        <v>2014</v>
      </c>
      <c r="J17" s="31" t="s">
        <v>2015</v>
      </c>
      <c r="K17" s="31" t="s">
        <v>2016</v>
      </c>
      <c r="L17" s="31" t="s">
        <v>2017</v>
      </c>
      <c r="M17" s="31" t="s">
        <v>1957</v>
      </c>
      <c r="N17" s="32" t="s">
        <v>1958</v>
      </c>
    </row>
    <row r="18" ht="85.5" customHeight="1">
      <c r="A18" s="30" t="s">
        <v>260</v>
      </c>
      <c r="B18" s="31" t="s">
        <v>1650</v>
      </c>
      <c r="C18" s="31" t="s">
        <v>209</v>
      </c>
      <c r="D18" s="31" t="s">
        <v>172</v>
      </c>
      <c r="E18" s="31" t="s">
        <v>261</v>
      </c>
      <c r="F18" s="31" t="s">
        <v>266</v>
      </c>
      <c r="G18" s="31" t="s">
        <v>1951</v>
      </c>
      <c r="H18" s="31" t="s">
        <v>2018</v>
      </c>
      <c r="I18" s="31" t="s">
        <v>2019</v>
      </c>
      <c r="J18" s="31" t="s">
        <v>2020</v>
      </c>
      <c r="K18" s="31" t="s">
        <v>2021</v>
      </c>
      <c r="L18" s="31" t="s">
        <v>2022</v>
      </c>
      <c r="M18" s="31" t="s">
        <v>1957</v>
      </c>
      <c r="N18" s="32" t="s">
        <v>1958</v>
      </c>
    </row>
    <row r="19" ht="85.5" customHeight="1">
      <c r="A19" s="30" t="s">
        <v>270</v>
      </c>
      <c r="B19" s="31" t="s">
        <v>1650</v>
      </c>
      <c r="C19" s="31" t="s">
        <v>209</v>
      </c>
      <c r="D19" s="31" t="s">
        <v>147</v>
      </c>
      <c r="E19" s="31" t="s">
        <v>271</v>
      </c>
      <c r="F19" s="31" t="s">
        <v>277</v>
      </c>
      <c r="G19" s="31" t="s">
        <v>1951</v>
      </c>
      <c r="H19" s="31" t="s">
        <v>2023</v>
      </c>
      <c r="I19" s="31" t="s">
        <v>2024</v>
      </c>
      <c r="J19" s="31" t="s">
        <v>2025</v>
      </c>
      <c r="K19" s="31" t="s">
        <v>2026</v>
      </c>
      <c r="L19" s="31" t="s">
        <v>2027</v>
      </c>
      <c r="M19" s="31" t="s">
        <v>1957</v>
      </c>
      <c r="N19" s="32" t="s">
        <v>1958</v>
      </c>
    </row>
    <row r="20" ht="85.5" customHeight="1">
      <c r="A20" s="30" t="s">
        <v>283</v>
      </c>
      <c r="B20" s="31" t="s">
        <v>1650</v>
      </c>
      <c r="C20" s="31" t="s">
        <v>209</v>
      </c>
      <c r="D20" s="31" t="s">
        <v>284</v>
      </c>
      <c r="E20" s="31" t="s">
        <v>285</v>
      </c>
      <c r="F20" s="31" t="s">
        <v>290</v>
      </c>
      <c r="G20" s="31" t="s">
        <v>1951</v>
      </c>
      <c r="H20" s="31" t="s">
        <v>2028</v>
      </c>
      <c r="I20" s="31" t="s">
        <v>2029</v>
      </c>
      <c r="J20" s="31" t="s">
        <v>2030</v>
      </c>
      <c r="K20" s="31" t="s">
        <v>2031</v>
      </c>
      <c r="L20" s="31" t="s">
        <v>2032</v>
      </c>
      <c r="M20" s="31" t="s">
        <v>1957</v>
      </c>
      <c r="N20" s="32" t="s">
        <v>1958</v>
      </c>
    </row>
    <row r="21" ht="85.5" customHeight="1">
      <c r="A21" s="30" t="s">
        <v>295</v>
      </c>
      <c r="B21" s="31" t="s">
        <v>1650</v>
      </c>
      <c r="C21" s="31" t="s">
        <v>209</v>
      </c>
      <c r="D21" s="31" t="s">
        <v>185</v>
      </c>
      <c r="E21" s="31" t="s">
        <v>296</v>
      </c>
      <c r="F21" s="31" t="s">
        <v>301</v>
      </c>
      <c r="G21" s="31" t="s">
        <v>1951</v>
      </c>
      <c r="H21" s="31" t="s">
        <v>2033</v>
      </c>
      <c r="I21" s="31" t="s">
        <v>2034</v>
      </c>
      <c r="J21" s="31" t="s">
        <v>2035</v>
      </c>
      <c r="K21" s="31" t="s">
        <v>2036</v>
      </c>
      <c r="L21" s="31" t="s">
        <v>2037</v>
      </c>
      <c r="M21" s="31" t="s">
        <v>1957</v>
      </c>
      <c r="N21" s="32" t="s">
        <v>1958</v>
      </c>
    </row>
    <row r="22" ht="85.5" customHeight="1">
      <c r="A22" s="30" t="s">
        <v>305</v>
      </c>
      <c r="B22" s="31" t="s">
        <v>1650</v>
      </c>
      <c r="C22" s="31" t="s">
        <v>209</v>
      </c>
      <c r="D22" s="31" t="s">
        <v>185</v>
      </c>
      <c r="E22" s="31" t="s">
        <v>306</v>
      </c>
      <c r="F22" s="31" t="s">
        <v>311</v>
      </c>
      <c r="G22" s="31" t="s">
        <v>1951</v>
      </c>
      <c r="H22" s="31" t="s">
        <v>2038</v>
      </c>
      <c r="I22" s="31" t="s">
        <v>2039</v>
      </c>
      <c r="J22" s="31" t="s">
        <v>2040</v>
      </c>
      <c r="K22" s="31" t="s">
        <v>2041</v>
      </c>
      <c r="L22" s="31" t="s">
        <v>2042</v>
      </c>
      <c r="M22" s="31" t="s">
        <v>1957</v>
      </c>
      <c r="N22" s="32" t="s">
        <v>1958</v>
      </c>
    </row>
    <row r="23" ht="85.5" customHeight="1">
      <c r="A23" s="30" t="s">
        <v>316</v>
      </c>
      <c r="B23" s="31" t="s">
        <v>1673</v>
      </c>
      <c r="C23" s="31" t="s">
        <v>317</v>
      </c>
      <c r="D23" s="31" t="s">
        <v>119</v>
      </c>
      <c r="E23" s="31" t="s">
        <v>318</v>
      </c>
      <c r="F23" s="31" t="s">
        <v>323</v>
      </c>
      <c r="G23" s="31" t="s">
        <v>1951</v>
      </c>
      <c r="H23" s="31" t="s">
        <v>2043</v>
      </c>
      <c r="I23" s="31" t="s">
        <v>2044</v>
      </c>
      <c r="J23" s="31" t="s">
        <v>1961</v>
      </c>
      <c r="K23" s="31" t="s">
        <v>2045</v>
      </c>
      <c r="L23" s="31" t="s">
        <v>2046</v>
      </c>
      <c r="M23" s="31" t="s">
        <v>1957</v>
      </c>
      <c r="N23" s="32" t="s">
        <v>1958</v>
      </c>
    </row>
    <row r="24" ht="85.5" customHeight="1">
      <c r="A24" s="30" t="s">
        <v>327</v>
      </c>
      <c r="B24" s="31" t="s">
        <v>1673</v>
      </c>
      <c r="C24" s="31" t="s">
        <v>317</v>
      </c>
      <c r="D24" s="31" t="s">
        <v>161</v>
      </c>
      <c r="E24" s="31" t="s">
        <v>328</v>
      </c>
      <c r="F24" s="31" t="s">
        <v>332</v>
      </c>
      <c r="G24" s="31" t="s">
        <v>1951</v>
      </c>
      <c r="H24" s="31" t="s">
        <v>2047</v>
      </c>
      <c r="I24" s="31" t="s">
        <v>2048</v>
      </c>
      <c r="J24" s="31" t="s">
        <v>2049</v>
      </c>
      <c r="K24" s="31" t="s">
        <v>2050</v>
      </c>
      <c r="L24" s="31" t="s">
        <v>2051</v>
      </c>
      <c r="M24" s="31" t="s">
        <v>1957</v>
      </c>
      <c r="N24" s="32" t="s">
        <v>1958</v>
      </c>
    </row>
    <row r="25" ht="85.5" customHeight="1">
      <c r="A25" s="30" t="s">
        <v>337</v>
      </c>
      <c r="B25" s="31" t="s">
        <v>1673</v>
      </c>
      <c r="C25" s="31" t="s">
        <v>317</v>
      </c>
      <c r="D25" s="31" t="s">
        <v>161</v>
      </c>
      <c r="E25" s="31" t="s">
        <v>338</v>
      </c>
      <c r="F25" s="31" t="s">
        <v>343</v>
      </c>
      <c r="G25" s="31" t="s">
        <v>1951</v>
      </c>
      <c r="H25" s="31" t="s">
        <v>2052</v>
      </c>
      <c r="I25" s="31" t="s">
        <v>1965</v>
      </c>
      <c r="J25" s="31" t="s">
        <v>2053</v>
      </c>
      <c r="K25" s="31" t="s">
        <v>2054</v>
      </c>
      <c r="L25" s="31" t="s">
        <v>2055</v>
      </c>
      <c r="M25" s="31" t="s">
        <v>1957</v>
      </c>
      <c r="N25" s="32" t="s">
        <v>1958</v>
      </c>
    </row>
    <row r="26" ht="85.5" customHeight="1">
      <c r="A26" s="30" t="s">
        <v>349</v>
      </c>
      <c r="B26" s="31" t="s">
        <v>1673</v>
      </c>
      <c r="C26" s="31" t="s">
        <v>317</v>
      </c>
      <c r="D26" s="31" t="s">
        <v>284</v>
      </c>
      <c r="E26" s="31" t="s">
        <v>350</v>
      </c>
      <c r="F26" s="31" t="s">
        <v>355</v>
      </c>
      <c r="G26" s="31" t="s">
        <v>1951</v>
      </c>
      <c r="H26" s="31" t="s">
        <v>2056</v>
      </c>
      <c r="I26" s="31" t="s">
        <v>2057</v>
      </c>
      <c r="J26" s="31" t="s">
        <v>2058</v>
      </c>
      <c r="K26" s="31" t="s">
        <v>2059</v>
      </c>
      <c r="L26" s="31" t="s">
        <v>2060</v>
      </c>
      <c r="M26" s="31" t="s">
        <v>1957</v>
      </c>
      <c r="N26" s="32" t="s">
        <v>1958</v>
      </c>
    </row>
    <row r="27" ht="85.5" customHeight="1">
      <c r="A27" s="30" t="s">
        <v>361</v>
      </c>
      <c r="B27" s="31" t="s">
        <v>1673</v>
      </c>
      <c r="C27" s="31" t="s">
        <v>317</v>
      </c>
      <c r="D27" s="31" t="s">
        <v>161</v>
      </c>
      <c r="E27" s="31" t="s">
        <v>362</v>
      </c>
      <c r="F27" s="31" t="s">
        <v>366</v>
      </c>
      <c r="G27" s="31" t="s">
        <v>1951</v>
      </c>
      <c r="H27" s="31" t="s">
        <v>2061</v>
      </c>
      <c r="I27" s="31" t="s">
        <v>2062</v>
      </c>
      <c r="J27" s="31" t="s">
        <v>2063</v>
      </c>
      <c r="K27" s="31" t="s">
        <v>2064</v>
      </c>
      <c r="L27" s="31" t="s">
        <v>2065</v>
      </c>
      <c r="M27" s="31" t="s">
        <v>1957</v>
      </c>
      <c r="N27" s="32" t="s">
        <v>1958</v>
      </c>
    </row>
    <row r="28" ht="85.5" customHeight="1">
      <c r="A28" s="30" t="s">
        <v>370</v>
      </c>
      <c r="B28" s="31" t="s">
        <v>1673</v>
      </c>
      <c r="C28" s="31" t="s">
        <v>317</v>
      </c>
      <c r="D28" s="31" t="s">
        <v>172</v>
      </c>
      <c r="E28" s="31" t="s">
        <v>371</v>
      </c>
      <c r="F28" s="31" t="s">
        <v>375</v>
      </c>
      <c r="G28" s="31" t="s">
        <v>1951</v>
      </c>
      <c r="H28" s="31" t="s">
        <v>2066</v>
      </c>
      <c r="I28" s="31" t="s">
        <v>2067</v>
      </c>
      <c r="J28" s="31" t="s">
        <v>2068</v>
      </c>
      <c r="K28" s="31" t="s">
        <v>2069</v>
      </c>
      <c r="L28" s="31" t="s">
        <v>2070</v>
      </c>
      <c r="M28" s="31" t="s">
        <v>1957</v>
      </c>
      <c r="N28" s="32" t="s">
        <v>1958</v>
      </c>
    </row>
    <row r="29" ht="85.5" customHeight="1">
      <c r="A29" s="30" t="s">
        <v>380</v>
      </c>
      <c r="B29" s="31" t="s">
        <v>1673</v>
      </c>
      <c r="C29" s="31" t="s">
        <v>317</v>
      </c>
      <c r="D29" s="31" t="s">
        <v>172</v>
      </c>
      <c r="E29" s="31" t="s">
        <v>381</v>
      </c>
      <c r="F29" s="31" t="s">
        <v>386</v>
      </c>
      <c r="G29" s="31" t="s">
        <v>1951</v>
      </c>
      <c r="H29" s="31" t="s">
        <v>2071</v>
      </c>
      <c r="I29" s="31" t="s">
        <v>2072</v>
      </c>
      <c r="J29" s="31" t="s">
        <v>2073</v>
      </c>
      <c r="K29" s="31" t="s">
        <v>2074</v>
      </c>
      <c r="L29" s="31" t="s">
        <v>2075</v>
      </c>
      <c r="M29" s="31" t="s">
        <v>1957</v>
      </c>
      <c r="N29" s="32" t="s">
        <v>1958</v>
      </c>
    </row>
    <row r="30" ht="85.5" customHeight="1">
      <c r="A30" s="30" t="s">
        <v>390</v>
      </c>
      <c r="B30" s="31" t="s">
        <v>1673</v>
      </c>
      <c r="C30" s="31" t="s">
        <v>317</v>
      </c>
      <c r="D30" s="31" t="s">
        <v>147</v>
      </c>
      <c r="E30" s="31" t="s">
        <v>391</v>
      </c>
      <c r="F30" s="31" t="s">
        <v>396</v>
      </c>
      <c r="G30" s="31" t="s">
        <v>1951</v>
      </c>
      <c r="H30" s="31" t="s">
        <v>2076</v>
      </c>
      <c r="I30" s="31" t="s">
        <v>2077</v>
      </c>
      <c r="J30" s="31" t="s">
        <v>2078</v>
      </c>
      <c r="K30" s="31" t="s">
        <v>2079</v>
      </c>
      <c r="L30" s="31" t="s">
        <v>2080</v>
      </c>
      <c r="M30" s="31" t="s">
        <v>1957</v>
      </c>
      <c r="N30" s="32" t="s">
        <v>1958</v>
      </c>
    </row>
    <row r="31" ht="85.5" customHeight="1">
      <c r="A31" s="30" t="s">
        <v>403</v>
      </c>
      <c r="B31" s="31" t="s">
        <v>1673</v>
      </c>
      <c r="C31" s="31" t="s">
        <v>317</v>
      </c>
      <c r="D31" s="31" t="s">
        <v>185</v>
      </c>
      <c r="E31" s="31" t="s">
        <v>404</v>
      </c>
      <c r="F31" s="31" t="s">
        <v>408</v>
      </c>
      <c r="G31" s="31" t="s">
        <v>1951</v>
      </c>
      <c r="H31" s="31" t="s">
        <v>2081</v>
      </c>
      <c r="I31" s="31" t="s">
        <v>2082</v>
      </c>
      <c r="J31" s="31" t="s">
        <v>2083</v>
      </c>
      <c r="K31" s="31" t="s">
        <v>2084</v>
      </c>
      <c r="L31" s="31" t="s">
        <v>2085</v>
      </c>
      <c r="M31" s="31" t="s">
        <v>1957</v>
      </c>
      <c r="N31" s="32" t="s">
        <v>1958</v>
      </c>
    </row>
    <row r="32" ht="85.5" customHeight="1">
      <c r="A32" s="30" t="s">
        <v>414</v>
      </c>
      <c r="B32" s="31" t="s">
        <v>1673</v>
      </c>
      <c r="C32" s="31" t="s">
        <v>317</v>
      </c>
      <c r="D32" s="31" t="s">
        <v>185</v>
      </c>
      <c r="E32" s="31" t="s">
        <v>415</v>
      </c>
      <c r="F32" s="31" t="s">
        <v>419</v>
      </c>
      <c r="G32" s="31" t="s">
        <v>1951</v>
      </c>
      <c r="H32" s="31" t="s">
        <v>2086</v>
      </c>
      <c r="I32" s="31" t="s">
        <v>2087</v>
      </c>
      <c r="J32" s="31" t="s">
        <v>2088</v>
      </c>
      <c r="K32" s="31" t="s">
        <v>2089</v>
      </c>
      <c r="L32" s="31" t="s">
        <v>2090</v>
      </c>
      <c r="M32" s="31" t="s">
        <v>1957</v>
      </c>
      <c r="N32" s="32" t="s">
        <v>1958</v>
      </c>
    </row>
    <row r="33" ht="85.5" customHeight="1">
      <c r="A33" s="30" t="s">
        <v>423</v>
      </c>
      <c r="B33" s="31" t="s">
        <v>1701</v>
      </c>
      <c r="C33" s="31" t="s">
        <v>424</v>
      </c>
      <c r="D33" s="31" t="s">
        <v>119</v>
      </c>
      <c r="E33" s="31" t="s">
        <v>425</v>
      </c>
      <c r="F33" s="31" t="s">
        <v>429</v>
      </c>
      <c r="G33" s="31" t="s">
        <v>1951</v>
      </c>
      <c r="H33" s="31" t="s">
        <v>2091</v>
      </c>
      <c r="I33" s="31" t="s">
        <v>2092</v>
      </c>
      <c r="J33" s="31" t="s">
        <v>2093</v>
      </c>
      <c r="K33" s="31" t="s">
        <v>2094</v>
      </c>
      <c r="L33" s="31" t="s">
        <v>2095</v>
      </c>
      <c r="M33" s="31" t="s">
        <v>1957</v>
      </c>
      <c r="N33" s="32" t="s">
        <v>1958</v>
      </c>
    </row>
    <row r="34" ht="85.5" customHeight="1">
      <c r="A34" s="30" t="s">
        <v>434</v>
      </c>
      <c r="B34" s="31" t="s">
        <v>1701</v>
      </c>
      <c r="C34" s="31" t="s">
        <v>424</v>
      </c>
      <c r="D34" s="31" t="s">
        <v>172</v>
      </c>
      <c r="E34" s="31" t="s">
        <v>435</v>
      </c>
      <c r="F34" s="31" t="s">
        <v>439</v>
      </c>
      <c r="G34" s="31" t="s">
        <v>1951</v>
      </c>
      <c r="H34" s="31" t="s">
        <v>2096</v>
      </c>
      <c r="I34" s="31" t="s">
        <v>2097</v>
      </c>
      <c r="J34" s="31" t="s">
        <v>2098</v>
      </c>
      <c r="K34" s="31" t="s">
        <v>2099</v>
      </c>
      <c r="L34" s="31" t="s">
        <v>2100</v>
      </c>
      <c r="M34" s="31" t="s">
        <v>1957</v>
      </c>
      <c r="N34" s="32" t="s">
        <v>1958</v>
      </c>
    </row>
    <row r="35" ht="85.5" customHeight="1">
      <c r="A35" s="30" t="s">
        <v>444</v>
      </c>
      <c r="B35" s="31" t="s">
        <v>1701</v>
      </c>
      <c r="C35" s="31" t="s">
        <v>424</v>
      </c>
      <c r="D35" s="31" t="s">
        <v>161</v>
      </c>
      <c r="E35" s="31" t="s">
        <v>445</v>
      </c>
      <c r="F35" s="31" t="s">
        <v>449</v>
      </c>
      <c r="G35" s="31" t="s">
        <v>1951</v>
      </c>
      <c r="H35" s="31" t="s">
        <v>2101</v>
      </c>
      <c r="I35" s="31" t="s">
        <v>2102</v>
      </c>
      <c r="J35" s="31" t="s">
        <v>2103</v>
      </c>
      <c r="K35" s="31" t="s">
        <v>2104</v>
      </c>
      <c r="L35" s="31" t="s">
        <v>2105</v>
      </c>
      <c r="M35" s="31" t="s">
        <v>1957</v>
      </c>
      <c r="N35" s="32" t="s">
        <v>1958</v>
      </c>
    </row>
    <row r="36" ht="85.5" customHeight="1">
      <c r="A36" s="30" t="s">
        <v>454</v>
      </c>
      <c r="B36" s="31" t="s">
        <v>1701</v>
      </c>
      <c r="C36" s="31" t="s">
        <v>424</v>
      </c>
      <c r="D36" s="31" t="s">
        <v>172</v>
      </c>
      <c r="E36" s="31" t="s">
        <v>455</v>
      </c>
      <c r="F36" s="31" t="s">
        <v>459</v>
      </c>
      <c r="G36" s="31" t="s">
        <v>1951</v>
      </c>
      <c r="H36" s="31" t="s">
        <v>2106</v>
      </c>
      <c r="I36" s="31" t="s">
        <v>2107</v>
      </c>
      <c r="J36" s="31" t="s">
        <v>2108</v>
      </c>
      <c r="K36" s="31" t="s">
        <v>2109</v>
      </c>
      <c r="L36" s="31" t="s">
        <v>2110</v>
      </c>
      <c r="M36" s="31" t="s">
        <v>1957</v>
      </c>
      <c r="N36" s="32" t="s">
        <v>1958</v>
      </c>
    </row>
    <row r="37" ht="85.5" customHeight="1">
      <c r="A37" s="30" t="s">
        <v>464</v>
      </c>
      <c r="B37" s="31" t="s">
        <v>1701</v>
      </c>
      <c r="C37" s="31" t="s">
        <v>424</v>
      </c>
      <c r="D37" s="31" t="s">
        <v>161</v>
      </c>
      <c r="E37" s="31" t="s">
        <v>465</v>
      </c>
      <c r="F37" s="31" t="s">
        <v>469</v>
      </c>
      <c r="G37" s="31" t="s">
        <v>1951</v>
      </c>
      <c r="H37" s="31" t="s">
        <v>2111</v>
      </c>
      <c r="I37" s="31" t="s">
        <v>2112</v>
      </c>
      <c r="J37" s="31" t="s">
        <v>2113</v>
      </c>
      <c r="K37" s="31" t="s">
        <v>2114</v>
      </c>
      <c r="L37" s="31" t="s">
        <v>2115</v>
      </c>
      <c r="M37" s="31" t="s">
        <v>1957</v>
      </c>
      <c r="N37" s="32" t="s">
        <v>1958</v>
      </c>
    </row>
    <row r="38" ht="85.5" customHeight="1">
      <c r="A38" s="30" t="s">
        <v>474</v>
      </c>
      <c r="B38" s="31" t="s">
        <v>1701</v>
      </c>
      <c r="C38" s="31" t="s">
        <v>424</v>
      </c>
      <c r="D38" s="31" t="s">
        <v>161</v>
      </c>
      <c r="E38" s="31" t="s">
        <v>475</v>
      </c>
      <c r="F38" s="31" t="s">
        <v>479</v>
      </c>
      <c r="G38" s="31" t="s">
        <v>1951</v>
      </c>
      <c r="H38" s="31" t="s">
        <v>2116</v>
      </c>
      <c r="I38" s="31" t="s">
        <v>2117</v>
      </c>
      <c r="J38" s="31" t="s">
        <v>2118</v>
      </c>
      <c r="K38" s="31" t="s">
        <v>2119</v>
      </c>
      <c r="L38" s="31" t="s">
        <v>2120</v>
      </c>
      <c r="M38" s="31" t="s">
        <v>1957</v>
      </c>
      <c r="N38" s="32" t="s">
        <v>1958</v>
      </c>
    </row>
    <row r="39" ht="85.5" customHeight="1">
      <c r="A39" s="30" t="s">
        <v>483</v>
      </c>
      <c r="B39" s="31" t="s">
        <v>1701</v>
      </c>
      <c r="C39" s="31" t="s">
        <v>424</v>
      </c>
      <c r="D39" s="31" t="s">
        <v>172</v>
      </c>
      <c r="E39" s="31" t="s">
        <v>484</v>
      </c>
      <c r="F39" s="31" t="s">
        <v>489</v>
      </c>
      <c r="G39" s="31" t="s">
        <v>1951</v>
      </c>
      <c r="H39" s="31" t="s">
        <v>2121</v>
      </c>
      <c r="I39" s="31" t="s">
        <v>2122</v>
      </c>
      <c r="J39" s="31" t="s">
        <v>2123</v>
      </c>
      <c r="K39" s="31" t="s">
        <v>2124</v>
      </c>
      <c r="L39" s="31" t="s">
        <v>2125</v>
      </c>
      <c r="M39" s="31" t="s">
        <v>1957</v>
      </c>
      <c r="N39" s="32" t="s">
        <v>1958</v>
      </c>
    </row>
    <row r="40" ht="85.5" customHeight="1">
      <c r="A40" s="30" t="s">
        <v>496</v>
      </c>
      <c r="B40" s="31" t="s">
        <v>1701</v>
      </c>
      <c r="C40" s="31" t="s">
        <v>424</v>
      </c>
      <c r="D40" s="31" t="s">
        <v>147</v>
      </c>
      <c r="E40" s="31" t="s">
        <v>497</v>
      </c>
      <c r="F40" s="31" t="s">
        <v>502</v>
      </c>
      <c r="G40" s="31" t="s">
        <v>1951</v>
      </c>
      <c r="H40" s="31" t="s">
        <v>2126</v>
      </c>
      <c r="I40" s="31" t="s">
        <v>2127</v>
      </c>
      <c r="J40" s="31" t="s">
        <v>2128</v>
      </c>
      <c r="K40" s="31" t="s">
        <v>2129</v>
      </c>
      <c r="L40" s="31" t="s">
        <v>2130</v>
      </c>
      <c r="M40" s="31" t="s">
        <v>1957</v>
      </c>
      <c r="N40" s="32" t="s">
        <v>1958</v>
      </c>
    </row>
    <row r="41" ht="85.5" customHeight="1">
      <c r="A41" s="30" t="s">
        <v>506</v>
      </c>
      <c r="B41" s="31" t="s">
        <v>1701</v>
      </c>
      <c r="C41" s="31" t="s">
        <v>424</v>
      </c>
      <c r="D41" s="31" t="s">
        <v>185</v>
      </c>
      <c r="E41" s="31" t="s">
        <v>507</v>
      </c>
      <c r="F41" s="31" t="s">
        <v>511</v>
      </c>
      <c r="G41" s="31" t="s">
        <v>1951</v>
      </c>
      <c r="H41" s="31" t="s">
        <v>2131</v>
      </c>
      <c r="I41" s="31" t="s">
        <v>2132</v>
      </c>
      <c r="J41" s="31" t="s">
        <v>2133</v>
      </c>
      <c r="K41" s="31" t="s">
        <v>2134</v>
      </c>
      <c r="L41" s="31" t="s">
        <v>2135</v>
      </c>
      <c r="M41" s="31" t="s">
        <v>1957</v>
      </c>
      <c r="N41" s="32" t="s">
        <v>1958</v>
      </c>
    </row>
    <row r="42" ht="85.5" customHeight="1">
      <c r="A42" s="30" t="s">
        <v>516</v>
      </c>
      <c r="B42" s="31" t="s">
        <v>1701</v>
      </c>
      <c r="C42" s="31" t="s">
        <v>424</v>
      </c>
      <c r="D42" s="31" t="s">
        <v>185</v>
      </c>
      <c r="E42" s="31" t="s">
        <v>517</v>
      </c>
      <c r="F42" s="31" t="s">
        <v>521</v>
      </c>
      <c r="G42" s="31" t="s">
        <v>1951</v>
      </c>
      <c r="H42" s="31" t="s">
        <v>2136</v>
      </c>
      <c r="I42" s="31" t="s">
        <v>2137</v>
      </c>
      <c r="J42" s="31" t="s">
        <v>2138</v>
      </c>
      <c r="K42" s="31" t="s">
        <v>2139</v>
      </c>
      <c r="L42" s="31" t="s">
        <v>2140</v>
      </c>
      <c r="M42" s="31" t="s">
        <v>1957</v>
      </c>
      <c r="N42" s="32" t="s">
        <v>1958</v>
      </c>
    </row>
    <row r="43" ht="85.5" customHeight="1">
      <c r="A43" s="30" t="s">
        <v>526</v>
      </c>
      <c r="B43" s="31" t="s">
        <v>1725</v>
      </c>
      <c r="C43" s="31" t="s">
        <v>527</v>
      </c>
      <c r="D43" s="31" t="s">
        <v>119</v>
      </c>
      <c r="E43" s="31" t="s">
        <v>528</v>
      </c>
      <c r="F43" s="31" t="s">
        <v>533</v>
      </c>
      <c r="G43" s="31" t="s">
        <v>1951</v>
      </c>
      <c r="H43" s="31" t="s">
        <v>2141</v>
      </c>
      <c r="I43" s="31" t="s">
        <v>2142</v>
      </c>
      <c r="J43" s="31" t="s">
        <v>1961</v>
      </c>
      <c r="K43" s="31" t="s">
        <v>2143</v>
      </c>
      <c r="L43" s="31" t="s">
        <v>2144</v>
      </c>
      <c r="M43" s="31" t="s">
        <v>1957</v>
      </c>
      <c r="N43" s="32" t="s">
        <v>1958</v>
      </c>
    </row>
    <row r="44" ht="85.5" customHeight="1">
      <c r="A44" s="30" t="s">
        <v>538</v>
      </c>
      <c r="B44" s="31" t="s">
        <v>1725</v>
      </c>
      <c r="C44" s="31" t="s">
        <v>527</v>
      </c>
      <c r="D44" s="31" t="s">
        <v>161</v>
      </c>
      <c r="E44" s="31" t="s">
        <v>539</v>
      </c>
      <c r="F44" s="31" t="s">
        <v>543</v>
      </c>
      <c r="G44" s="31" t="s">
        <v>1951</v>
      </c>
      <c r="H44" s="31" t="s">
        <v>2145</v>
      </c>
      <c r="I44" s="31" t="s">
        <v>2048</v>
      </c>
      <c r="J44" s="31" t="s">
        <v>2146</v>
      </c>
      <c r="K44" s="31" t="s">
        <v>2147</v>
      </c>
      <c r="L44" s="31" t="s">
        <v>2148</v>
      </c>
      <c r="M44" s="31" t="s">
        <v>1957</v>
      </c>
      <c r="N44" s="32" t="s">
        <v>1958</v>
      </c>
    </row>
    <row r="45" ht="85.5" customHeight="1">
      <c r="A45" s="30" t="s">
        <v>548</v>
      </c>
      <c r="B45" s="31" t="s">
        <v>1725</v>
      </c>
      <c r="C45" s="31" t="s">
        <v>527</v>
      </c>
      <c r="D45" s="31" t="s">
        <v>284</v>
      </c>
      <c r="E45" s="31" t="s">
        <v>549</v>
      </c>
      <c r="F45" s="31" t="s">
        <v>553</v>
      </c>
      <c r="G45" s="31" t="s">
        <v>1951</v>
      </c>
      <c r="H45" s="31" t="s">
        <v>2149</v>
      </c>
      <c r="I45" s="31" t="s">
        <v>2150</v>
      </c>
      <c r="J45" s="31" t="s">
        <v>2151</v>
      </c>
      <c r="K45" s="31" t="s">
        <v>2152</v>
      </c>
      <c r="L45" s="31" t="s">
        <v>2153</v>
      </c>
      <c r="M45" s="31" t="s">
        <v>1957</v>
      </c>
      <c r="N45" s="32" t="s">
        <v>1958</v>
      </c>
    </row>
    <row r="46" ht="85.5" customHeight="1">
      <c r="A46" s="30" t="s">
        <v>560</v>
      </c>
      <c r="B46" s="31" t="s">
        <v>1725</v>
      </c>
      <c r="C46" s="31" t="s">
        <v>527</v>
      </c>
      <c r="D46" s="31" t="s">
        <v>147</v>
      </c>
      <c r="E46" s="31" t="s">
        <v>561</v>
      </c>
      <c r="F46" s="31" t="s">
        <v>565</v>
      </c>
      <c r="G46" s="31" t="s">
        <v>1951</v>
      </c>
      <c r="H46" s="31" t="s">
        <v>2154</v>
      </c>
      <c r="I46" s="31" t="s">
        <v>2155</v>
      </c>
      <c r="J46" s="31" t="s">
        <v>2156</v>
      </c>
      <c r="K46" s="31" t="s">
        <v>2157</v>
      </c>
      <c r="L46" s="31" t="s">
        <v>2158</v>
      </c>
      <c r="M46" s="31" t="s">
        <v>1957</v>
      </c>
      <c r="N46" s="32" t="s">
        <v>1958</v>
      </c>
    </row>
    <row r="47" ht="85.5" customHeight="1">
      <c r="A47" s="30" t="s">
        <v>570</v>
      </c>
      <c r="B47" s="31" t="s">
        <v>1725</v>
      </c>
      <c r="C47" s="31" t="s">
        <v>527</v>
      </c>
      <c r="D47" s="31" t="s">
        <v>161</v>
      </c>
      <c r="E47" s="31" t="s">
        <v>571</v>
      </c>
      <c r="F47" s="31" t="s">
        <v>575</v>
      </c>
      <c r="G47" s="31" t="s">
        <v>1951</v>
      </c>
      <c r="H47" s="31" t="s">
        <v>2159</v>
      </c>
      <c r="I47" s="31" t="s">
        <v>2160</v>
      </c>
      <c r="J47" s="31" t="s">
        <v>2161</v>
      </c>
      <c r="K47" s="31" t="s">
        <v>2162</v>
      </c>
      <c r="L47" s="31" t="s">
        <v>2163</v>
      </c>
      <c r="M47" s="31" t="s">
        <v>1957</v>
      </c>
      <c r="N47" s="32" t="s">
        <v>1958</v>
      </c>
    </row>
    <row r="48" ht="85.5" customHeight="1">
      <c r="A48" s="30" t="s">
        <v>580</v>
      </c>
      <c r="B48" s="31" t="s">
        <v>1725</v>
      </c>
      <c r="C48" s="31" t="s">
        <v>527</v>
      </c>
      <c r="D48" s="31" t="s">
        <v>172</v>
      </c>
      <c r="E48" s="31" t="s">
        <v>581</v>
      </c>
      <c r="F48" s="31" t="s">
        <v>585</v>
      </c>
      <c r="G48" s="31" t="s">
        <v>1951</v>
      </c>
      <c r="H48" s="31" t="s">
        <v>2164</v>
      </c>
      <c r="I48" s="31" t="s">
        <v>2165</v>
      </c>
      <c r="J48" s="31" t="s">
        <v>2166</v>
      </c>
      <c r="K48" s="31" t="s">
        <v>2167</v>
      </c>
      <c r="L48" s="31" t="s">
        <v>2168</v>
      </c>
      <c r="M48" s="31" t="s">
        <v>1957</v>
      </c>
      <c r="N48" s="32" t="s">
        <v>1958</v>
      </c>
    </row>
    <row r="49" ht="85.5" customHeight="1">
      <c r="A49" s="30" t="s">
        <v>590</v>
      </c>
      <c r="B49" s="31" t="s">
        <v>1725</v>
      </c>
      <c r="C49" s="31" t="s">
        <v>527</v>
      </c>
      <c r="D49" s="31" t="s">
        <v>185</v>
      </c>
      <c r="E49" s="31" t="s">
        <v>591</v>
      </c>
      <c r="F49" s="31" t="s">
        <v>595</v>
      </c>
      <c r="G49" s="31" t="s">
        <v>1951</v>
      </c>
      <c r="H49" s="31" t="s">
        <v>2169</v>
      </c>
      <c r="I49" s="31" t="s">
        <v>2170</v>
      </c>
      <c r="J49" s="31" t="s">
        <v>2171</v>
      </c>
      <c r="K49" s="31" t="s">
        <v>2172</v>
      </c>
      <c r="L49" s="31" t="s">
        <v>2173</v>
      </c>
      <c r="M49" s="31" t="s">
        <v>1957</v>
      </c>
      <c r="N49" s="32" t="s">
        <v>1958</v>
      </c>
    </row>
    <row r="50" ht="85.5" customHeight="1">
      <c r="A50" s="30" t="s">
        <v>599</v>
      </c>
      <c r="B50" s="31" t="s">
        <v>1725</v>
      </c>
      <c r="C50" s="31" t="s">
        <v>527</v>
      </c>
      <c r="D50" s="31" t="s">
        <v>119</v>
      </c>
      <c r="E50" s="31" t="s">
        <v>600</v>
      </c>
      <c r="F50" s="31" t="s">
        <v>604</v>
      </c>
      <c r="G50" s="31" t="s">
        <v>1951</v>
      </c>
      <c r="H50" s="31" t="s">
        <v>2174</v>
      </c>
      <c r="I50" s="31" t="s">
        <v>2175</v>
      </c>
      <c r="J50" s="31" t="s">
        <v>2176</v>
      </c>
      <c r="K50" s="31" t="s">
        <v>2177</v>
      </c>
      <c r="L50" s="31" t="s">
        <v>2178</v>
      </c>
      <c r="M50" s="31" t="s">
        <v>1957</v>
      </c>
      <c r="N50" s="32" t="s">
        <v>1958</v>
      </c>
    </row>
    <row r="51" ht="85.5" customHeight="1">
      <c r="A51" s="30" t="s">
        <v>609</v>
      </c>
      <c r="B51" s="31" t="s">
        <v>1725</v>
      </c>
      <c r="C51" s="31" t="s">
        <v>527</v>
      </c>
      <c r="D51" s="31" t="s">
        <v>161</v>
      </c>
      <c r="E51" s="31" t="s">
        <v>610</v>
      </c>
      <c r="F51" s="31" t="s">
        <v>614</v>
      </c>
      <c r="G51" s="31" t="s">
        <v>1951</v>
      </c>
      <c r="H51" s="31" t="s">
        <v>2179</v>
      </c>
      <c r="I51" s="31" t="s">
        <v>2180</v>
      </c>
      <c r="J51" s="31" t="s">
        <v>2181</v>
      </c>
      <c r="K51" s="31" t="s">
        <v>2182</v>
      </c>
      <c r="L51" s="31" t="s">
        <v>2183</v>
      </c>
      <c r="M51" s="31" t="s">
        <v>1957</v>
      </c>
      <c r="N51" s="32" t="s">
        <v>1958</v>
      </c>
    </row>
    <row r="52" ht="85.5" customHeight="1">
      <c r="A52" s="30" t="s">
        <v>619</v>
      </c>
      <c r="B52" s="31" t="s">
        <v>1725</v>
      </c>
      <c r="C52" s="31" t="s">
        <v>527</v>
      </c>
      <c r="D52" s="31" t="s">
        <v>620</v>
      </c>
      <c r="E52" s="31" t="s">
        <v>621</v>
      </c>
      <c r="F52" s="31" t="s">
        <v>626</v>
      </c>
      <c r="G52" s="31" t="s">
        <v>1951</v>
      </c>
      <c r="H52" s="31" t="s">
        <v>2184</v>
      </c>
      <c r="I52" s="31" t="s">
        <v>2185</v>
      </c>
      <c r="J52" s="31" t="s">
        <v>2186</v>
      </c>
      <c r="K52" s="31" t="s">
        <v>2187</v>
      </c>
      <c r="L52" s="31" t="s">
        <v>2188</v>
      </c>
      <c r="M52" s="31" t="s">
        <v>1957</v>
      </c>
      <c r="N52" s="32" t="s">
        <v>1958</v>
      </c>
    </row>
    <row r="53" ht="85.5" customHeight="1">
      <c r="A53" s="30" t="s">
        <v>632</v>
      </c>
      <c r="B53" s="31" t="s">
        <v>1737</v>
      </c>
      <c r="C53" s="31" t="s">
        <v>633</v>
      </c>
      <c r="D53" s="31" t="s">
        <v>161</v>
      </c>
      <c r="E53" s="31" t="s">
        <v>634</v>
      </c>
      <c r="F53" s="31" t="s">
        <v>638</v>
      </c>
      <c r="G53" s="31" t="s">
        <v>1951</v>
      </c>
      <c r="H53" s="31" t="s">
        <v>2189</v>
      </c>
      <c r="I53" s="31" t="s">
        <v>2190</v>
      </c>
      <c r="J53" s="31" t="s">
        <v>2191</v>
      </c>
      <c r="K53" s="31" t="s">
        <v>2192</v>
      </c>
      <c r="L53" s="31" t="s">
        <v>2193</v>
      </c>
      <c r="M53" s="31" t="s">
        <v>1957</v>
      </c>
      <c r="N53" s="32" t="s">
        <v>1958</v>
      </c>
    </row>
    <row r="54" ht="85.5" customHeight="1">
      <c r="A54" s="30" t="s">
        <v>644</v>
      </c>
      <c r="B54" s="31" t="s">
        <v>1737</v>
      </c>
      <c r="C54" s="31" t="s">
        <v>633</v>
      </c>
      <c r="D54" s="31" t="s">
        <v>284</v>
      </c>
      <c r="E54" s="31" t="s">
        <v>645</v>
      </c>
      <c r="F54" s="31" t="s">
        <v>649</v>
      </c>
      <c r="G54" s="31" t="s">
        <v>1951</v>
      </c>
      <c r="H54" s="31" t="s">
        <v>2194</v>
      </c>
      <c r="I54" s="31" t="s">
        <v>2195</v>
      </c>
      <c r="J54" s="31" t="s">
        <v>2196</v>
      </c>
      <c r="K54" s="31" t="s">
        <v>2197</v>
      </c>
      <c r="L54" s="31" t="s">
        <v>2198</v>
      </c>
      <c r="M54" s="31" t="s">
        <v>1957</v>
      </c>
      <c r="N54" s="32" t="s">
        <v>1958</v>
      </c>
    </row>
    <row r="55" ht="85.5" customHeight="1">
      <c r="A55" s="30" t="s">
        <v>655</v>
      </c>
      <c r="B55" s="31" t="s">
        <v>1737</v>
      </c>
      <c r="C55" s="31" t="s">
        <v>633</v>
      </c>
      <c r="D55" s="31" t="s">
        <v>284</v>
      </c>
      <c r="E55" s="31" t="s">
        <v>656</v>
      </c>
      <c r="F55" s="31" t="s">
        <v>660</v>
      </c>
      <c r="G55" s="31" t="s">
        <v>1951</v>
      </c>
      <c r="H55" s="31" t="s">
        <v>2199</v>
      </c>
      <c r="I55" s="31" t="s">
        <v>2200</v>
      </c>
      <c r="J55" s="31" t="s">
        <v>2201</v>
      </c>
      <c r="K55" s="31" t="s">
        <v>2202</v>
      </c>
      <c r="L55" s="31" t="s">
        <v>2203</v>
      </c>
      <c r="M55" s="31" t="s">
        <v>1957</v>
      </c>
      <c r="N55" s="32" t="s">
        <v>1958</v>
      </c>
    </row>
    <row r="56" ht="85.5" customHeight="1">
      <c r="A56" s="30" t="s">
        <v>665</v>
      </c>
      <c r="B56" s="31" t="s">
        <v>1737</v>
      </c>
      <c r="C56" s="31" t="s">
        <v>633</v>
      </c>
      <c r="D56" s="31" t="s">
        <v>172</v>
      </c>
      <c r="E56" s="31" t="s">
        <v>666</v>
      </c>
      <c r="F56" s="31" t="s">
        <v>670</v>
      </c>
      <c r="G56" s="31" t="s">
        <v>1951</v>
      </c>
      <c r="H56" s="31" t="s">
        <v>2204</v>
      </c>
      <c r="I56" s="31" t="s">
        <v>2205</v>
      </c>
      <c r="J56" s="31" t="s">
        <v>2206</v>
      </c>
      <c r="K56" s="31" t="s">
        <v>2207</v>
      </c>
      <c r="L56" s="31" t="s">
        <v>2208</v>
      </c>
      <c r="M56" s="31" t="s">
        <v>1957</v>
      </c>
      <c r="N56" s="32" t="s">
        <v>1958</v>
      </c>
    </row>
    <row r="57" ht="85.5" customHeight="1">
      <c r="A57" s="30" t="s">
        <v>675</v>
      </c>
      <c r="B57" s="31" t="s">
        <v>1737</v>
      </c>
      <c r="C57" s="31" t="s">
        <v>633</v>
      </c>
      <c r="D57" s="31" t="s">
        <v>172</v>
      </c>
      <c r="E57" s="31" t="s">
        <v>676</v>
      </c>
      <c r="F57" s="31" t="s">
        <v>680</v>
      </c>
      <c r="G57" s="31" t="s">
        <v>1951</v>
      </c>
      <c r="H57" s="31" t="s">
        <v>2209</v>
      </c>
      <c r="I57" s="31" t="s">
        <v>2210</v>
      </c>
      <c r="J57" s="31" t="s">
        <v>2211</v>
      </c>
      <c r="K57" s="31" t="s">
        <v>2212</v>
      </c>
      <c r="L57" s="31" t="s">
        <v>2213</v>
      </c>
      <c r="M57" s="31" t="s">
        <v>1957</v>
      </c>
      <c r="N57" s="32" t="s">
        <v>1958</v>
      </c>
    </row>
    <row r="58" ht="85.5" customHeight="1">
      <c r="A58" s="30" t="s">
        <v>685</v>
      </c>
      <c r="B58" s="31" t="s">
        <v>1737</v>
      </c>
      <c r="C58" s="31" t="s">
        <v>633</v>
      </c>
      <c r="D58" s="31" t="s">
        <v>172</v>
      </c>
      <c r="E58" s="31" t="s">
        <v>686</v>
      </c>
      <c r="F58" s="31" t="s">
        <v>690</v>
      </c>
      <c r="G58" s="31" t="s">
        <v>1951</v>
      </c>
      <c r="H58" s="31" t="s">
        <v>2214</v>
      </c>
      <c r="I58" s="31" t="s">
        <v>2215</v>
      </c>
      <c r="J58" s="31" t="s">
        <v>2216</v>
      </c>
      <c r="K58" s="31" t="s">
        <v>2109</v>
      </c>
      <c r="L58" s="31" t="s">
        <v>2217</v>
      </c>
      <c r="M58" s="31" t="s">
        <v>1957</v>
      </c>
      <c r="N58" s="32" t="s">
        <v>1958</v>
      </c>
    </row>
    <row r="59" ht="85.5" customHeight="1">
      <c r="A59" s="30" t="s">
        <v>695</v>
      </c>
      <c r="B59" s="31" t="s">
        <v>1737</v>
      </c>
      <c r="C59" s="31" t="s">
        <v>633</v>
      </c>
      <c r="D59" s="31" t="s">
        <v>185</v>
      </c>
      <c r="E59" s="31" t="s">
        <v>696</v>
      </c>
      <c r="F59" s="31" t="s">
        <v>700</v>
      </c>
      <c r="G59" s="31" t="s">
        <v>1951</v>
      </c>
      <c r="H59" s="31" t="s">
        <v>2218</v>
      </c>
      <c r="I59" s="31" t="s">
        <v>2219</v>
      </c>
      <c r="J59" s="31" t="s">
        <v>2220</v>
      </c>
      <c r="K59" s="31" t="s">
        <v>2221</v>
      </c>
      <c r="L59" s="31" t="s">
        <v>2222</v>
      </c>
      <c r="M59" s="31" t="s">
        <v>1957</v>
      </c>
      <c r="N59" s="32" t="s">
        <v>1958</v>
      </c>
    </row>
    <row r="60" ht="85.5" customHeight="1">
      <c r="A60" s="30" t="s">
        <v>706</v>
      </c>
      <c r="B60" s="31" t="s">
        <v>1737</v>
      </c>
      <c r="C60" s="31" t="s">
        <v>633</v>
      </c>
      <c r="D60" s="31" t="s">
        <v>185</v>
      </c>
      <c r="E60" s="31" t="s">
        <v>707</v>
      </c>
      <c r="F60" s="31" t="s">
        <v>711</v>
      </c>
      <c r="G60" s="31" t="s">
        <v>1951</v>
      </c>
      <c r="H60" s="31" t="s">
        <v>2223</v>
      </c>
      <c r="I60" s="31" t="s">
        <v>2224</v>
      </c>
      <c r="J60" s="31" t="s">
        <v>2225</v>
      </c>
      <c r="K60" s="31" t="s">
        <v>2226</v>
      </c>
      <c r="L60" s="31" t="s">
        <v>2227</v>
      </c>
      <c r="M60" s="31" t="s">
        <v>1957</v>
      </c>
      <c r="N60" s="32" t="s">
        <v>1958</v>
      </c>
    </row>
    <row r="61" ht="85.5" customHeight="1">
      <c r="A61" s="30" t="s">
        <v>716</v>
      </c>
      <c r="B61" s="31" t="s">
        <v>1737</v>
      </c>
      <c r="C61" s="31" t="s">
        <v>633</v>
      </c>
      <c r="D61" s="31" t="s">
        <v>620</v>
      </c>
      <c r="E61" s="31" t="s">
        <v>717</v>
      </c>
      <c r="F61" s="31" t="s">
        <v>721</v>
      </c>
      <c r="G61" s="31" t="s">
        <v>1951</v>
      </c>
      <c r="H61" s="31" t="s">
        <v>2228</v>
      </c>
      <c r="I61" s="31" t="s">
        <v>2229</v>
      </c>
      <c r="J61" s="31" t="s">
        <v>2230</v>
      </c>
      <c r="K61" s="31" t="s">
        <v>2231</v>
      </c>
      <c r="L61" s="31" t="s">
        <v>2232</v>
      </c>
      <c r="M61" s="31" t="s">
        <v>1957</v>
      </c>
      <c r="N61" s="32" t="s">
        <v>1958</v>
      </c>
    </row>
    <row r="62" ht="85.5" customHeight="1">
      <c r="A62" s="30" t="s">
        <v>727</v>
      </c>
      <c r="B62" s="31" t="s">
        <v>1737</v>
      </c>
      <c r="C62" s="31" t="s">
        <v>633</v>
      </c>
      <c r="D62" s="31" t="s">
        <v>728</v>
      </c>
      <c r="E62" s="31" t="s">
        <v>729</v>
      </c>
      <c r="F62" s="31" t="s">
        <v>733</v>
      </c>
      <c r="G62" s="31" t="s">
        <v>1951</v>
      </c>
      <c r="H62" s="31" t="s">
        <v>2233</v>
      </c>
      <c r="I62" s="31" t="s">
        <v>2234</v>
      </c>
      <c r="J62" s="31" t="s">
        <v>2235</v>
      </c>
      <c r="K62" s="31" t="s">
        <v>2236</v>
      </c>
      <c r="L62" s="31" t="s">
        <v>2237</v>
      </c>
      <c r="M62" s="31" t="s">
        <v>1957</v>
      </c>
      <c r="N62" s="32" t="s">
        <v>1958</v>
      </c>
    </row>
    <row r="63" ht="85.5" customHeight="1">
      <c r="A63" s="30" t="s">
        <v>739</v>
      </c>
      <c r="B63" s="31" t="s">
        <v>38</v>
      </c>
      <c r="C63" s="31" t="s">
        <v>740</v>
      </c>
      <c r="D63" s="31" t="s">
        <v>119</v>
      </c>
      <c r="E63" s="31" t="s">
        <v>741</v>
      </c>
      <c r="F63" s="31" t="s">
        <v>745</v>
      </c>
      <c r="G63" s="31" t="s">
        <v>1951</v>
      </c>
      <c r="H63" s="31" t="s">
        <v>2238</v>
      </c>
      <c r="I63" s="31" t="s">
        <v>2239</v>
      </c>
      <c r="J63" s="31" t="s">
        <v>1961</v>
      </c>
      <c r="K63" s="31" t="s">
        <v>2240</v>
      </c>
      <c r="L63" s="31" t="s">
        <v>2241</v>
      </c>
      <c r="M63" s="31" t="s">
        <v>1957</v>
      </c>
      <c r="N63" s="32" t="s">
        <v>1958</v>
      </c>
    </row>
    <row r="64" ht="85.5" customHeight="1">
      <c r="A64" s="30" t="s">
        <v>751</v>
      </c>
      <c r="B64" s="31" t="s">
        <v>38</v>
      </c>
      <c r="C64" s="31" t="s">
        <v>740</v>
      </c>
      <c r="D64" s="31" t="s">
        <v>196</v>
      </c>
      <c r="E64" s="31" t="s">
        <v>752</v>
      </c>
      <c r="F64" s="31" t="s">
        <v>756</v>
      </c>
      <c r="G64" s="31" t="s">
        <v>1951</v>
      </c>
      <c r="H64" s="31" t="s">
        <v>2242</v>
      </c>
      <c r="I64" s="31" t="s">
        <v>2155</v>
      </c>
      <c r="J64" s="31" t="s">
        <v>2243</v>
      </c>
      <c r="K64" s="31" t="s">
        <v>2244</v>
      </c>
      <c r="L64" s="31" t="s">
        <v>2245</v>
      </c>
      <c r="M64" s="31" t="s">
        <v>1957</v>
      </c>
      <c r="N64" s="32" t="s">
        <v>1958</v>
      </c>
    </row>
    <row r="65" ht="85.5" customHeight="1">
      <c r="A65" s="30" t="s">
        <v>761</v>
      </c>
      <c r="B65" s="31" t="s">
        <v>38</v>
      </c>
      <c r="C65" s="31" t="s">
        <v>740</v>
      </c>
      <c r="D65" s="31" t="s">
        <v>147</v>
      </c>
      <c r="E65" s="31" t="s">
        <v>762</v>
      </c>
      <c r="F65" s="31" t="s">
        <v>766</v>
      </c>
      <c r="G65" s="31" t="s">
        <v>1951</v>
      </c>
      <c r="H65" s="31" t="s">
        <v>2246</v>
      </c>
      <c r="I65" s="31" t="s">
        <v>2247</v>
      </c>
      <c r="J65" s="31" t="s">
        <v>2248</v>
      </c>
      <c r="K65" s="31" t="s">
        <v>2249</v>
      </c>
      <c r="L65" s="31" t="s">
        <v>2250</v>
      </c>
      <c r="M65" s="31" t="s">
        <v>1957</v>
      </c>
      <c r="N65" s="32" t="s">
        <v>1958</v>
      </c>
    </row>
    <row r="66" ht="85.5" customHeight="1">
      <c r="A66" s="30" t="s">
        <v>769</v>
      </c>
      <c r="B66" s="31" t="s">
        <v>38</v>
      </c>
      <c r="C66" s="31" t="s">
        <v>740</v>
      </c>
      <c r="D66" s="31" t="s">
        <v>196</v>
      </c>
      <c r="E66" s="31" t="s">
        <v>770</v>
      </c>
      <c r="F66" s="31" t="s">
        <v>774</v>
      </c>
      <c r="G66" s="31" t="s">
        <v>1951</v>
      </c>
      <c r="H66" s="31" t="s">
        <v>2076</v>
      </c>
      <c r="I66" s="31" t="s">
        <v>2251</v>
      </c>
      <c r="J66" s="31" t="s">
        <v>2252</v>
      </c>
      <c r="K66" s="31" t="s">
        <v>2253</v>
      </c>
      <c r="L66" s="31" t="s">
        <v>2254</v>
      </c>
      <c r="M66" s="31" t="s">
        <v>1957</v>
      </c>
      <c r="N66" s="32" t="s">
        <v>1958</v>
      </c>
    </row>
    <row r="67" ht="85.5" customHeight="1">
      <c r="A67" s="30" t="s">
        <v>778</v>
      </c>
      <c r="B67" s="31" t="s">
        <v>38</v>
      </c>
      <c r="C67" s="31" t="s">
        <v>740</v>
      </c>
      <c r="D67" s="31" t="s">
        <v>172</v>
      </c>
      <c r="E67" s="31" t="s">
        <v>779</v>
      </c>
      <c r="F67" s="31" t="s">
        <v>783</v>
      </c>
      <c r="G67" s="31" t="s">
        <v>1951</v>
      </c>
      <c r="H67" s="31" t="s">
        <v>2255</v>
      </c>
      <c r="I67" s="31" t="s">
        <v>2256</v>
      </c>
      <c r="J67" s="31" t="s">
        <v>2257</v>
      </c>
      <c r="K67" s="31" t="s">
        <v>2258</v>
      </c>
      <c r="L67" s="31" t="s">
        <v>2259</v>
      </c>
      <c r="M67" s="31" t="s">
        <v>1957</v>
      </c>
      <c r="N67" s="32" t="s">
        <v>1958</v>
      </c>
    </row>
    <row r="68" ht="85.5" customHeight="1">
      <c r="A68" s="30" t="s">
        <v>788</v>
      </c>
      <c r="B68" s="31" t="s">
        <v>38</v>
      </c>
      <c r="C68" s="31" t="s">
        <v>740</v>
      </c>
      <c r="D68" s="31" t="s">
        <v>196</v>
      </c>
      <c r="E68" s="31" t="s">
        <v>789</v>
      </c>
      <c r="F68" s="31" t="s">
        <v>794</v>
      </c>
      <c r="G68" s="31" t="s">
        <v>1951</v>
      </c>
      <c r="H68" s="31" t="s">
        <v>2260</v>
      </c>
      <c r="I68" s="31" t="s">
        <v>2261</v>
      </c>
      <c r="J68" s="31" t="s">
        <v>2262</v>
      </c>
      <c r="K68" s="31" t="s">
        <v>2263</v>
      </c>
      <c r="L68" s="31" t="s">
        <v>2264</v>
      </c>
      <c r="M68" s="31" t="s">
        <v>1957</v>
      </c>
      <c r="N68" s="32" t="s">
        <v>1958</v>
      </c>
    </row>
    <row r="69" ht="85.5" customHeight="1">
      <c r="A69" s="30" t="s">
        <v>798</v>
      </c>
      <c r="B69" s="31" t="s">
        <v>38</v>
      </c>
      <c r="C69" s="31" t="s">
        <v>740</v>
      </c>
      <c r="D69" s="31" t="s">
        <v>185</v>
      </c>
      <c r="E69" s="31" t="s">
        <v>799</v>
      </c>
      <c r="F69" s="31" t="s">
        <v>803</v>
      </c>
      <c r="G69" s="31" t="s">
        <v>1951</v>
      </c>
      <c r="H69" s="31" t="s">
        <v>2265</v>
      </c>
      <c r="I69" s="31" t="s">
        <v>2266</v>
      </c>
      <c r="J69" s="31" t="s">
        <v>2267</v>
      </c>
      <c r="K69" s="31" t="s">
        <v>2268</v>
      </c>
      <c r="L69" s="31" t="s">
        <v>2269</v>
      </c>
      <c r="M69" s="31" t="s">
        <v>1957</v>
      </c>
      <c r="N69" s="32" t="s">
        <v>1958</v>
      </c>
    </row>
    <row r="70" ht="85.5" customHeight="1">
      <c r="A70" s="30" t="s">
        <v>806</v>
      </c>
      <c r="B70" s="31" t="s">
        <v>38</v>
      </c>
      <c r="C70" s="31" t="s">
        <v>740</v>
      </c>
      <c r="D70" s="31" t="s">
        <v>185</v>
      </c>
      <c r="E70" s="31" t="s">
        <v>807</v>
      </c>
      <c r="F70" s="31" t="s">
        <v>811</v>
      </c>
      <c r="G70" s="31" t="s">
        <v>1951</v>
      </c>
      <c r="H70" s="31" t="s">
        <v>2038</v>
      </c>
      <c r="I70" s="31" t="s">
        <v>2270</v>
      </c>
      <c r="J70" s="31" t="s">
        <v>2271</v>
      </c>
      <c r="K70" s="31" t="s">
        <v>2272</v>
      </c>
      <c r="L70" s="31" t="s">
        <v>2273</v>
      </c>
      <c r="M70" s="31" t="s">
        <v>1957</v>
      </c>
      <c r="N70" s="32" t="s">
        <v>1958</v>
      </c>
    </row>
    <row r="71" ht="85.5" customHeight="1">
      <c r="A71" s="30" t="s">
        <v>816</v>
      </c>
      <c r="B71" s="31" t="s">
        <v>38</v>
      </c>
      <c r="C71" s="31" t="s">
        <v>740</v>
      </c>
      <c r="D71" s="31" t="s">
        <v>728</v>
      </c>
      <c r="E71" s="31" t="s">
        <v>817</v>
      </c>
      <c r="F71" s="31" t="s">
        <v>821</v>
      </c>
      <c r="G71" s="31" t="s">
        <v>1951</v>
      </c>
      <c r="H71" s="31" t="s">
        <v>2274</v>
      </c>
      <c r="I71" s="31" t="s">
        <v>2275</v>
      </c>
      <c r="J71" s="31" t="s">
        <v>2276</v>
      </c>
      <c r="K71" s="31" t="s">
        <v>2277</v>
      </c>
      <c r="L71" s="31" t="s">
        <v>2278</v>
      </c>
      <c r="M71" s="31" t="s">
        <v>1957</v>
      </c>
      <c r="N71" s="32" t="s">
        <v>1958</v>
      </c>
    </row>
    <row r="72" ht="85.5" customHeight="1">
      <c r="A72" s="35" t="s">
        <v>826</v>
      </c>
      <c r="B72" s="36" t="s">
        <v>38</v>
      </c>
      <c r="C72" s="36" t="s">
        <v>740</v>
      </c>
      <c r="D72" s="36" t="s">
        <v>99</v>
      </c>
      <c r="E72" s="36" t="s">
        <v>827</v>
      </c>
      <c r="F72" s="36" t="s">
        <v>831</v>
      </c>
      <c r="G72" s="36" t="s">
        <v>1951</v>
      </c>
      <c r="H72" s="36" t="s">
        <v>2279</v>
      </c>
      <c r="I72" s="36" t="s">
        <v>2280</v>
      </c>
      <c r="J72" s="36" t="s">
        <v>2281</v>
      </c>
      <c r="K72" s="36" t="s">
        <v>2282</v>
      </c>
      <c r="L72" s="36" t="s">
        <v>2283</v>
      </c>
      <c r="M72" s="36" t="s">
        <v>1957</v>
      </c>
      <c r="N72" s="37" t="s">
        <v>1958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26.0"/>
    <col customWidth="1" min="3" max="3" width="18.0"/>
    <col customWidth="1" min="4" max="4" width="32.0"/>
    <col customWidth="1" min="5" max="5" width="18.0"/>
    <col customWidth="1" min="6" max="6" width="20.0"/>
    <col customWidth="1" min="7" max="7" width="18.0"/>
    <col customWidth="1" min="8" max="8" width="20.0"/>
    <col customWidth="1" min="9" max="9" width="18.0"/>
    <col customWidth="1" min="10" max="10" width="20.0"/>
    <col customWidth="1" min="11" max="11" width="18.0"/>
    <col customWidth="1" min="12" max="12" width="20.0"/>
    <col customWidth="1" min="13" max="13" width="34.0"/>
    <col customWidth="1" min="14" max="26" width="8.63"/>
  </cols>
  <sheetData>
    <row r="1" ht="25.5" customHeight="1">
      <c r="A1" s="1" t="s">
        <v>2284</v>
      </c>
    </row>
    <row r="2" ht="33.75" customHeight="1">
      <c r="A2" s="3" t="s">
        <v>2285</v>
      </c>
    </row>
    <row r="4">
      <c r="A4" s="25" t="s">
        <v>76</v>
      </c>
      <c r="B4" s="26" t="s">
        <v>4</v>
      </c>
      <c r="C4" s="26" t="s">
        <v>77</v>
      </c>
      <c r="D4" s="26" t="s">
        <v>80</v>
      </c>
      <c r="E4" s="26" t="s">
        <v>13</v>
      </c>
      <c r="F4" s="26" t="s">
        <v>2286</v>
      </c>
      <c r="G4" s="26" t="s">
        <v>2287</v>
      </c>
      <c r="H4" s="26" t="s">
        <v>2288</v>
      </c>
      <c r="I4" s="26" t="s">
        <v>2289</v>
      </c>
      <c r="J4" s="26" t="s">
        <v>2290</v>
      </c>
      <c r="K4" s="26" t="s">
        <v>2291</v>
      </c>
      <c r="L4" s="26" t="s">
        <v>93</v>
      </c>
      <c r="M4" s="27" t="s">
        <v>2292</v>
      </c>
      <c r="N4" s="28" t="s">
        <v>95</v>
      </c>
      <c r="O4" s="29" t="s">
        <v>96</v>
      </c>
    </row>
    <row r="5" ht="42.0" customHeight="1">
      <c r="A5" s="30" t="s">
        <v>97</v>
      </c>
      <c r="B5" s="31" t="s">
        <v>10</v>
      </c>
      <c r="C5" s="31" t="s">
        <v>98</v>
      </c>
      <c r="D5" s="31" t="s">
        <v>100</v>
      </c>
      <c r="E5" s="31" t="s">
        <v>2293</v>
      </c>
      <c r="F5" s="31" t="s">
        <v>1854</v>
      </c>
      <c r="G5" s="31" t="s">
        <v>1858</v>
      </c>
      <c r="H5" s="31" t="s">
        <v>1858</v>
      </c>
      <c r="I5" s="31" t="s">
        <v>1858</v>
      </c>
      <c r="J5" s="31" t="s">
        <v>1858</v>
      </c>
      <c r="K5" s="31" t="s">
        <v>2294</v>
      </c>
      <c r="L5" s="31" t="s">
        <v>1858</v>
      </c>
      <c r="M5" s="32" t="s">
        <v>2295</v>
      </c>
      <c r="N5" s="33" t="s">
        <v>2296</v>
      </c>
      <c r="O5" s="34" t="s">
        <v>117</v>
      </c>
    </row>
    <row r="6" ht="42.0" customHeight="1">
      <c r="A6" s="30" t="s">
        <v>118</v>
      </c>
      <c r="B6" s="31" t="s">
        <v>10</v>
      </c>
      <c r="C6" s="31" t="s">
        <v>98</v>
      </c>
      <c r="D6" s="31" t="s">
        <v>120</v>
      </c>
      <c r="E6" s="31" t="s">
        <v>2293</v>
      </c>
      <c r="F6" s="31" t="s">
        <v>1858</v>
      </c>
      <c r="G6" s="31" t="s">
        <v>1858</v>
      </c>
      <c r="H6" s="31" t="s">
        <v>1858</v>
      </c>
      <c r="I6" s="31" t="s">
        <v>1858</v>
      </c>
      <c r="J6" s="31" t="s">
        <v>1858</v>
      </c>
      <c r="K6" s="31" t="s">
        <v>2294</v>
      </c>
      <c r="L6" s="31" t="s">
        <v>1858</v>
      </c>
      <c r="M6" s="32" t="s">
        <v>2295</v>
      </c>
      <c r="N6" s="33" t="s">
        <v>2297</v>
      </c>
      <c r="O6" s="34" t="s">
        <v>117</v>
      </c>
    </row>
    <row r="7" ht="42.0" customHeight="1">
      <c r="A7" s="30" t="s">
        <v>134</v>
      </c>
      <c r="B7" s="31" t="s">
        <v>10</v>
      </c>
      <c r="C7" s="31" t="s">
        <v>98</v>
      </c>
      <c r="D7" s="31" t="s">
        <v>135</v>
      </c>
      <c r="E7" s="31" t="s">
        <v>2293</v>
      </c>
      <c r="F7" s="31" t="s">
        <v>1858</v>
      </c>
      <c r="G7" s="31" t="s">
        <v>1858</v>
      </c>
      <c r="H7" s="31" t="s">
        <v>1858</v>
      </c>
      <c r="I7" s="31" t="s">
        <v>1858</v>
      </c>
      <c r="J7" s="31" t="s">
        <v>1858</v>
      </c>
      <c r="K7" s="31" t="s">
        <v>2294</v>
      </c>
      <c r="L7" s="31" t="s">
        <v>1858</v>
      </c>
      <c r="M7" s="32" t="s">
        <v>2295</v>
      </c>
      <c r="N7" s="33" t="s">
        <v>2296</v>
      </c>
      <c r="O7" s="34" t="s">
        <v>117</v>
      </c>
    </row>
    <row r="8" ht="42.0" customHeight="1">
      <c r="A8" s="30" t="s">
        <v>146</v>
      </c>
      <c r="B8" s="31" t="s">
        <v>10</v>
      </c>
      <c r="C8" s="31" t="s">
        <v>98</v>
      </c>
      <c r="D8" s="31" t="s">
        <v>148</v>
      </c>
      <c r="E8" s="31" t="s">
        <v>2293</v>
      </c>
      <c r="F8" s="31" t="s">
        <v>1858</v>
      </c>
      <c r="G8" s="31" t="s">
        <v>1858</v>
      </c>
      <c r="H8" s="31" t="s">
        <v>1858</v>
      </c>
      <c r="I8" s="31" t="s">
        <v>1858</v>
      </c>
      <c r="J8" s="31" t="s">
        <v>1858</v>
      </c>
      <c r="K8" s="31" t="s">
        <v>2294</v>
      </c>
      <c r="L8" s="31" t="s">
        <v>1858</v>
      </c>
      <c r="M8" s="32" t="s">
        <v>2295</v>
      </c>
      <c r="N8" s="33" t="s">
        <v>2296</v>
      </c>
      <c r="O8" s="34" t="s">
        <v>117</v>
      </c>
    </row>
    <row r="9" ht="42.0" customHeight="1">
      <c r="A9" s="30" t="s">
        <v>160</v>
      </c>
      <c r="B9" s="31" t="s">
        <v>10</v>
      </c>
      <c r="C9" s="31" t="s">
        <v>98</v>
      </c>
      <c r="D9" s="31" t="s">
        <v>162</v>
      </c>
      <c r="E9" s="31" t="s">
        <v>2293</v>
      </c>
      <c r="F9" s="31" t="s">
        <v>1858</v>
      </c>
      <c r="G9" s="31" t="s">
        <v>1858</v>
      </c>
      <c r="H9" s="31" t="s">
        <v>1858</v>
      </c>
      <c r="I9" s="31" t="s">
        <v>1858</v>
      </c>
      <c r="J9" s="31" t="s">
        <v>1858</v>
      </c>
      <c r="K9" s="31" t="s">
        <v>2294</v>
      </c>
      <c r="L9" s="31" t="s">
        <v>1858</v>
      </c>
      <c r="M9" s="32" t="s">
        <v>2295</v>
      </c>
      <c r="N9" s="33" t="s">
        <v>2296</v>
      </c>
      <c r="O9" s="34" t="s">
        <v>117</v>
      </c>
    </row>
    <row r="10" ht="42.0" customHeight="1">
      <c r="A10" s="30" t="s">
        <v>171</v>
      </c>
      <c r="B10" s="31" t="s">
        <v>10</v>
      </c>
      <c r="C10" s="31" t="s">
        <v>98</v>
      </c>
      <c r="D10" s="31" t="s">
        <v>173</v>
      </c>
      <c r="E10" s="31" t="s">
        <v>2293</v>
      </c>
      <c r="F10" s="31" t="s">
        <v>1858</v>
      </c>
      <c r="G10" s="31" t="s">
        <v>1858</v>
      </c>
      <c r="H10" s="31" t="s">
        <v>1858</v>
      </c>
      <c r="I10" s="31" t="s">
        <v>1858</v>
      </c>
      <c r="J10" s="31" t="s">
        <v>1858</v>
      </c>
      <c r="K10" s="31" t="s">
        <v>2294</v>
      </c>
      <c r="L10" s="31" t="s">
        <v>1858</v>
      </c>
      <c r="M10" s="32" t="s">
        <v>2295</v>
      </c>
      <c r="N10" s="33" t="s">
        <v>2296</v>
      </c>
      <c r="O10" s="34" t="s">
        <v>117</v>
      </c>
    </row>
    <row r="11" ht="42.0" customHeight="1">
      <c r="A11" s="30" t="s">
        <v>184</v>
      </c>
      <c r="B11" s="31" t="s">
        <v>10</v>
      </c>
      <c r="C11" s="31" t="s">
        <v>98</v>
      </c>
      <c r="D11" s="31" t="s">
        <v>186</v>
      </c>
      <c r="E11" s="31" t="s">
        <v>2293</v>
      </c>
      <c r="F11" s="31" t="s">
        <v>1858</v>
      </c>
      <c r="G11" s="31" t="s">
        <v>1858</v>
      </c>
      <c r="H11" s="31" t="s">
        <v>1858</v>
      </c>
      <c r="I11" s="31" t="s">
        <v>1858</v>
      </c>
      <c r="J11" s="31" t="s">
        <v>1858</v>
      </c>
      <c r="K11" s="31" t="s">
        <v>2294</v>
      </c>
      <c r="L11" s="31" t="s">
        <v>1858</v>
      </c>
      <c r="M11" s="32" t="s">
        <v>2295</v>
      </c>
      <c r="N11" s="33" t="s">
        <v>2296</v>
      </c>
      <c r="O11" s="34" t="s">
        <v>117</v>
      </c>
    </row>
    <row r="12" ht="42.0" customHeight="1">
      <c r="A12" s="30" t="s">
        <v>195</v>
      </c>
      <c r="B12" s="31" t="s">
        <v>10</v>
      </c>
      <c r="C12" s="31" t="s">
        <v>98</v>
      </c>
      <c r="D12" s="31" t="s">
        <v>197</v>
      </c>
      <c r="E12" s="31" t="s">
        <v>2293</v>
      </c>
      <c r="F12" s="31" t="s">
        <v>1858</v>
      </c>
      <c r="G12" s="31" t="s">
        <v>1858</v>
      </c>
      <c r="H12" s="31" t="s">
        <v>1858</v>
      </c>
      <c r="I12" s="31" t="s">
        <v>1858</v>
      </c>
      <c r="J12" s="31" t="s">
        <v>1858</v>
      </c>
      <c r="K12" s="31" t="s">
        <v>2294</v>
      </c>
      <c r="L12" s="31" t="s">
        <v>1858</v>
      </c>
      <c r="M12" s="32" t="s">
        <v>2295</v>
      </c>
      <c r="N12" s="33" t="s">
        <v>2296</v>
      </c>
      <c r="O12" s="34" t="s">
        <v>117</v>
      </c>
    </row>
    <row r="13" ht="42.0" customHeight="1">
      <c r="A13" s="30" t="s">
        <v>208</v>
      </c>
      <c r="B13" s="31" t="s">
        <v>10</v>
      </c>
      <c r="C13" s="31" t="s">
        <v>209</v>
      </c>
      <c r="D13" s="31" t="s">
        <v>210</v>
      </c>
      <c r="E13" s="31" t="s">
        <v>2293</v>
      </c>
      <c r="F13" s="31" t="s">
        <v>1858</v>
      </c>
      <c r="G13" s="31" t="s">
        <v>1858</v>
      </c>
      <c r="H13" s="31" t="s">
        <v>1858</v>
      </c>
      <c r="I13" s="31" t="s">
        <v>1858</v>
      </c>
      <c r="J13" s="31" t="s">
        <v>1858</v>
      </c>
      <c r="K13" s="31" t="s">
        <v>2294</v>
      </c>
      <c r="L13" s="31" t="s">
        <v>1858</v>
      </c>
      <c r="M13" s="32" t="s">
        <v>2295</v>
      </c>
      <c r="N13" s="33" t="s">
        <v>2296</v>
      </c>
      <c r="O13" s="34" t="s">
        <v>117</v>
      </c>
    </row>
    <row r="14" ht="42.0" customHeight="1">
      <c r="A14" s="30" t="s">
        <v>222</v>
      </c>
      <c r="B14" s="31" t="s">
        <v>10</v>
      </c>
      <c r="C14" s="31" t="s">
        <v>209</v>
      </c>
      <c r="D14" s="31" t="s">
        <v>223</v>
      </c>
      <c r="E14" s="31" t="s">
        <v>2293</v>
      </c>
      <c r="F14" s="31" t="s">
        <v>1858</v>
      </c>
      <c r="G14" s="31" t="s">
        <v>1858</v>
      </c>
      <c r="H14" s="31" t="s">
        <v>1858</v>
      </c>
      <c r="I14" s="31" t="s">
        <v>1858</v>
      </c>
      <c r="J14" s="31" t="s">
        <v>1858</v>
      </c>
      <c r="K14" s="31" t="s">
        <v>2294</v>
      </c>
      <c r="L14" s="31" t="s">
        <v>1858</v>
      </c>
      <c r="M14" s="32" t="s">
        <v>2295</v>
      </c>
      <c r="N14" s="33" t="s">
        <v>2296</v>
      </c>
      <c r="O14" s="34" t="s">
        <v>117</v>
      </c>
    </row>
    <row r="15" ht="42.0" customHeight="1">
      <c r="A15" s="30" t="s">
        <v>233</v>
      </c>
      <c r="B15" s="31" t="s">
        <v>10</v>
      </c>
      <c r="C15" s="31" t="s">
        <v>209</v>
      </c>
      <c r="D15" s="31" t="s">
        <v>234</v>
      </c>
      <c r="E15" s="31" t="s">
        <v>2293</v>
      </c>
      <c r="F15" s="31" t="s">
        <v>1858</v>
      </c>
      <c r="G15" s="31" t="s">
        <v>1858</v>
      </c>
      <c r="H15" s="31" t="s">
        <v>1858</v>
      </c>
      <c r="I15" s="31" t="s">
        <v>1858</v>
      </c>
      <c r="J15" s="31" t="s">
        <v>1858</v>
      </c>
      <c r="K15" s="31" t="s">
        <v>2294</v>
      </c>
      <c r="L15" s="31" t="s">
        <v>1858</v>
      </c>
      <c r="M15" s="32" t="s">
        <v>2295</v>
      </c>
      <c r="N15" s="33" t="s">
        <v>2296</v>
      </c>
      <c r="O15" s="34" t="s">
        <v>117</v>
      </c>
    </row>
    <row r="16" ht="42.0" customHeight="1">
      <c r="A16" s="30" t="s">
        <v>241</v>
      </c>
      <c r="B16" s="31" t="s">
        <v>10</v>
      </c>
      <c r="C16" s="31" t="s">
        <v>209</v>
      </c>
      <c r="D16" s="31" t="s">
        <v>242</v>
      </c>
      <c r="E16" s="31" t="s">
        <v>2293</v>
      </c>
      <c r="F16" s="31" t="s">
        <v>1858</v>
      </c>
      <c r="G16" s="31" t="s">
        <v>1858</v>
      </c>
      <c r="H16" s="31" t="s">
        <v>1858</v>
      </c>
      <c r="I16" s="31" t="s">
        <v>1858</v>
      </c>
      <c r="J16" s="31" t="s">
        <v>1858</v>
      </c>
      <c r="K16" s="31" t="s">
        <v>2294</v>
      </c>
      <c r="L16" s="31" t="s">
        <v>1858</v>
      </c>
      <c r="M16" s="32" t="s">
        <v>2295</v>
      </c>
      <c r="N16" s="33" t="s">
        <v>2296</v>
      </c>
      <c r="O16" s="34" t="s">
        <v>117</v>
      </c>
    </row>
    <row r="17" ht="42.0" customHeight="1">
      <c r="A17" s="30" t="s">
        <v>250</v>
      </c>
      <c r="B17" s="31" t="s">
        <v>10</v>
      </c>
      <c r="C17" s="31" t="s">
        <v>209</v>
      </c>
      <c r="D17" s="31" t="s">
        <v>251</v>
      </c>
      <c r="E17" s="31" t="s">
        <v>2293</v>
      </c>
      <c r="F17" s="31" t="s">
        <v>1858</v>
      </c>
      <c r="G17" s="31" t="s">
        <v>1858</v>
      </c>
      <c r="H17" s="31" t="s">
        <v>1858</v>
      </c>
      <c r="I17" s="31" t="s">
        <v>1858</v>
      </c>
      <c r="J17" s="31" t="s">
        <v>1858</v>
      </c>
      <c r="K17" s="31" t="s">
        <v>2294</v>
      </c>
      <c r="L17" s="31" t="s">
        <v>1858</v>
      </c>
      <c r="M17" s="32" t="s">
        <v>2295</v>
      </c>
      <c r="N17" s="33" t="s">
        <v>2296</v>
      </c>
      <c r="O17" s="34" t="s">
        <v>117</v>
      </c>
    </row>
    <row r="18" ht="42.0" customHeight="1">
      <c r="A18" s="30" t="s">
        <v>260</v>
      </c>
      <c r="B18" s="31" t="s">
        <v>10</v>
      </c>
      <c r="C18" s="31" t="s">
        <v>209</v>
      </c>
      <c r="D18" s="31" t="s">
        <v>261</v>
      </c>
      <c r="E18" s="31" t="s">
        <v>2293</v>
      </c>
      <c r="F18" s="31" t="s">
        <v>1858</v>
      </c>
      <c r="G18" s="31" t="s">
        <v>1858</v>
      </c>
      <c r="H18" s="31" t="s">
        <v>1858</v>
      </c>
      <c r="I18" s="31" t="s">
        <v>1858</v>
      </c>
      <c r="J18" s="31" t="s">
        <v>1858</v>
      </c>
      <c r="K18" s="31" t="s">
        <v>2294</v>
      </c>
      <c r="L18" s="31" t="s">
        <v>1858</v>
      </c>
      <c r="M18" s="32" t="s">
        <v>2295</v>
      </c>
      <c r="N18" s="33" t="s">
        <v>2296</v>
      </c>
      <c r="O18" s="34" t="s">
        <v>117</v>
      </c>
    </row>
    <row r="19" ht="42.0" customHeight="1">
      <c r="A19" s="30" t="s">
        <v>270</v>
      </c>
      <c r="B19" s="31" t="s">
        <v>10</v>
      </c>
      <c r="C19" s="31" t="s">
        <v>209</v>
      </c>
      <c r="D19" s="31" t="s">
        <v>271</v>
      </c>
      <c r="E19" s="31" t="s">
        <v>2293</v>
      </c>
      <c r="F19" s="31" t="s">
        <v>2298</v>
      </c>
      <c r="G19" s="31" t="s">
        <v>2298</v>
      </c>
      <c r="H19" s="31" t="s">
        <v>2298</v>
      </c>
      <c r="I19" s="31" t="s">
        <v>2299</v>
      </c>
      <c r="J19" s="31" t="s">
        <v>2299</v>
      </c>
      <c r="K19" s="31" t="s">
        <v>2298</v>
      </c>
      <c r="L19" s="31" t="s">
        <v>1882</v>
      </c>
      <c r="M19" s="32" t="s">
        <v>2300</v>
      </c>
      <c r="N19" s="33" t="s">
        <v>2296</v>
      </c>
      <c r="O19" s="34" t="s">
        <v>117</v>
      </c>
    </row>
    <row r="20" ht="42.0" customHeight="1">
      <c r="A20" s="30" t="s">
        <v>283</v>
      </c>
      <c r="B20" s="31" t="s">
        <v>10</v>
      </c>
      <c r="C20" s="31" t="s">
        <v>209</v>
      </c>
      <c r="D20" s="31" t="s">
        <v>285</v>
      </c>
      <c r="E20" s="31" t="s">
        <v>2293</v>
      </c>
      <c r="F20" s="31" t="s">
        <v>1858</v>
      </c>
      <c r="G20" s="31" t="s">
        <v>1858</v>
      </c>
      <c r="H20" s="31" t="s">
        <v>1858</v>
      </c>
      <c r="I20" s="31" t="s">
        <v>1858</v>
      </c>
      <c r="J20" s="31" t="s">
        <v>1858</v>
      </c>
      <c r="K20" s="31" t="s">
        <v>2294</v>
      </c>
      <c r="L20" s="31" t="s">
        <v>1858</v>
      </c>
      <c r="M20" s="32" t="s">
        <v>2295</v>
      </c>
      <c r="N20" s="33" t="s">
        <v>2296</v>
      </c>
      <c r="O20" s="34" t="s">
        <v>117</v>
      </c>
    </row>
    <row r="21" ht="42.0" customHeight="1">
      <c r="A21" s="30" t="s">
        <v>295</v>
      </c>
      <c r="B21" s="31" t="s">
        <v>10</v>
      </c>
      <c r="C21" s="31" t="s">
        <v>209</v>
      </c>
      <c r="D21" s="31" t="s">
        <v>296</v>
      </c>
      <c r="E21" s="31" t="s">
        <v>2293</v>
      </c>
      <c r="F21" s="31" t="s">
        <v>1858</v>
      </c>
      <c r="G21" s="31" t="s">
        <v>1858</v>
      </c>
      <c r="H21" s="31" t="s">
        <v>1858</v>
      </c>
      <c r="I21" s="31" t="s">
        <v>1858</v>
      </c>
      <c r="J21" s="31" t="s">
        <v>1858</v>
      </c>
      <c r="K21" s="31" t="s">
        <v>2294</v>
      </c>
      <c r="L21" s="31" t="s">
        <v>1858</v>
      </c>
      <c r="M21" s="32" t="s">
        <v>2295</v>
      </c>
      <c r="N21" s="33" t="s">
        <v>2296</v>
      </c>
      <c r="O21" s="34" t="s">
        <v>117</v>
      </c>
    </row>
    <row r="22" ht="42.0" customHeight="1">
      <c r="A22" s="30" t="s">
        <v>305</v>
      </c>
      <c r="B22" s="31" t="s">
        <v>10</v>
      </c>
      <c r="C22" s="31" t="s">
        <v>209</v>
      </c>
      <c r="D22" s="31" t="s">
        <v>306</v>
      </c>
      <c r="E22" s="31" t="s">
        <v>2293</v>
      </c>
      <c r="F22" s="31" t="s">
        <v>1858</v>
      </c>
      <c r="G22" s="31" t="s">
        <v>1858</v>
      </c>
      <c r="H22" s="31" t="s">
        <v>1858</v>
      </c>
      <c r="I22" s="31" t="s">
        <v>1858</v>
      </c>
      <c r="J22" s="31" t="s">
        <v>1858</v>
      </c>
      <c r="K22" s="31" t="s">
        <v>2294</v>
      </c>
      <c r="L22" s="31" t="s">
        <v>1858</v>
      </c>
      <c r="M22" s="32" t="s">
        <v>2295</v>
      </c>
      <c r="N22" s="33" t="s">
        <v>2296</v>
      </c>
      <c r="O22" s="34" t="s">
        <v>117</v>
      </c>
    </row>
    <row r="23" ht="42.0" customHeight="1">
      <c r="A23" s="30" t="s">
        <v>316</v>
      </c>
      <c r="B23" s="31" t="s">
        <v>10</v>
      </c>
      <c r="C23" s="31" t="s">
        <v>317</v>
      </c>
      <c r="D23" s="31" t="s">
        <v>318</v>
      </c>
      <c r="E23" s="31" t="s">
        <v>2293</v>
      </c>
      <c r="F23" s="31" t="s">
        <v>1858</v>
      </c>
      <c r="G23" s="31" t="s">
        <v>1858</v>
      </c>
      <c r="H23" s="31" t="s">
        <v>1858</v>
      </c>
      <c r="I23" s="31" t="s">
        <v>1858</v>
      </c>
      <c r="J23" s="31" t="s">
        <v>1858</v>
      </c>
      <c r="K23" s="31" t="s">
        <v>2294</v>
      </c>
      <c r="L23" s="31" t="s">
        <v>1858</v>
      </c>
      <c r="M23" s="32" t="s">
        <v>2295</v>
      </c>
      <c r="N23" s="33" t="s">
        <v>2296</v>
      </c>
      <c r="O23" s="34" t="s">
        <v>117</v>
      </c>
    </row>
    <row r="24" ht="42.0" customHeight="1">
      <c r="A24" s="30" t="s">
        <v>327</v>
      </c>
      <c r="B24" s="31" t="s">
        <v>10</v>
      </c>
      <c r="C24" s="31" t="s">
        <v>317</v>
      </c>
      <c r="D24" s="31" t="s">
        <v>328</v>
      </c>
      <c r="E24" s="31" t="s">
        <v>2293</v>
      </c>
      <c r="F24" s="31" t="s">
        <v>1858</v>
      </c>
      <c r="G24" s="31" t="s">
        <v>1858</v>
      </c>
      <c r="H24" s="31" t="s">
        <v>1858</v>
      </c>
      <c r="I24" s="31" t="s">
        <v>1858</v>
      </c>
      <c r="J24" s="31" t="s">
        <v>1858</v>
      </c>
      <c r="K24" s="31" t="s">
        <v>2294</v>
      </c>
      <c r="L24" s="31" t="s">
        <v>1858</v>
      </c>
      <c r="M24" s="32" t="s">
        <v>2295</v>
      </c>
      <c r="N24" s="33" t="s">
        <v>2296</v>
      </c>
      <c r="O24" s="34" t="s">
        <v>117</v>
      </c>
    </row>
    <row r="25" ht="42.0" customHeight="1">
      <c r="A25" s="30" t="s">
        <v>337</v>
      </c>
      <c r="B25" s="31" t="s">
        <v>10</v>
      </c>
      <c r="C25" s="31" t="s">
        <v>317</v>
      </c>
      <c r="D25" s="31" t="s">
        <v>338</v>
      </c>
      <c r="E25" s="31" t="s">
        <v>2293</v>
      </c>
      <c r="F25" s="31" t="s">
        <v>1858</v>
      </c>
      <c r="G25" s="31" t="s">
        <v>1858</v>
      </c>
      <c r="H25" s="31" t="s">
        <v>1858</v>
      </c>
      <c r="I25" s="31" t="s">
        <v>1858</v>
      </c>
      <c r="J25" s="31" t="s">
        <v>1858</v>
      </c>
      <c r="K25" s="31" t="s">
        <v>2294</v>
      </c>
      <c r="L25" s="31" t="s">
        <v>1858</v>
      </c>
      <c r="M25" s="32" t="s">
        <v>2295</v>
      </c>
      <c r="N25" s="33" t="s">
        <v>2296</v>
      </c>
      <c r="O25" s="34" t="s">
        <v>117</v>
      </c>
    </row>
    <row r="26" ht="42.0" customHeight="1">
      <c r="A26" s="30" t="s">
        <v>349</v>
      </c>
      <c r="B26" s="31" t="s">
        <v>10</v>
      </c>
      <c r="C26" s="31" t="s">
        <v>317</v>
      </c>
      <c r="D26" s="31" t="s">
        <v>350</v>
      </c>
      <c r="E26" s="31" t="s">
        <v>2293</v>
      </c>
      <c r="F26" s="31" t="s">
        <v>2298</v>
      </c>
      <c r="G26" s="31" t="s">
        <v>2298</v>
      </c>
      <c r="H26" s="31" t="s">
        <v>2298</v>
      </c>
      <c r="I26" s="31" t="s">
        <v>2299</v>
      </c>
      <c r="J26" s="31" t="s">
        <v>2299</v>
      </c>
      <c r="K26" s="31" t="s">
        <v>2298</v>
      </c>
      <c r="L26" s="31" t="s">
        <v>1882</v>
      </c>
      <c r="M26" s="32" t="s">
        <v>2300</v>
      </c>
      <c r="N26" s="33" t="s">
        <v>2296</v>
      </c>
      <c r="O26" s="34" t="s">
        <v>117</v>
      </c>
    </row>
    <row r="27" ht="42.0" customHeight="1">
      <c r="A27" s="30" t="s">
        <v>361</v>
      </c>
      <c r="B27" s="31" t="s">
        <v>10</v>
      </c>
      <c r="C27" s="31" t="s">
        <v>317</v>
      </c>
      <c r="D27" s="31" t="s">
        <v>362</v>
      </c>
      <c r="E27" s="31" t="s">
        <v>2293</v>
      </c>
      <c r="F27" s="31" t="s">
        <v>1858</v>
      </c>
      <c r="G27" s="31" t="s">
        <v>1858</v>
      </c>
      <c r="H27" s="31" t="s">
        <v>1858</v>
      </c>
      <c r="I27" s="31" t="s">
        <v>1858</v>
      </c>
      <c r="J27" s="31" t="s">
        <v>1858</v>
      </c>
      <c r="K27" s="31" t="s">
        <v>2294</v>
      </c>
      <c r="L27" s="31" t="s">
        <v>1858</v>
      </c>
      <c r="M27" s="32" t="s">
        <v>2295</v>
      </c>
      <c r="N27" s="33" t="s">
        <v>2296</v>
      </c>
      <c r="O27" s="34" t="s">
        <v>117</v>
      </c>
    </row>
    <row r="28" ht="42.0" customHeight="1">
      <c r="A28" s="30" t="s">
        <v>370</v>
      </c>
      <c r="B28" s="31" t="s">
        <v>10</v>
      </c>
      <c r="C28" s="31" t="s">
        <v>317</v>
      </c>
      <c r="D28" s="31" t="s">
        <v>371</v>
      </c>
      <c r="E28" s="31" t="s">
        <v>2293</v>
      </c>
      <c r="F28" s="31" t="s">
        <v>1858</v>
      </c>
      <c r="G28" s="31" t="s">
        <v>1858</v>
      </c>
      <c r="H28" s="31" t="s">
        <v>1858</v>
      </c>
      <c r="I28" s="31" t="s">
        <v>1858</v>
      </c>
      <c r="J28" s="31" t="s">
        <v>1858</v>
      </c>
      <c r="K28" s="31" t="s">
        <v>2294</v>
      </c>
      <c r="L28" s="31" t="s">
        <v>1858</v>
      </c>
      <c r="M28" s="32" t="s">
        <v>2295</v>
      </c>
      <c r="N28" s="33" t="s">
        <v>2296</v>
      </c>
      <c r="O28" s="34" t="s">
        <v>117</v>
      </c>
    </row>
    <row r="29" ht="42.0" customHeight="1">
      <c r="A29" s="30" t="s">
        <v>380</v>
      </c>
      <c r="B29" s="31" t="s">
        <v>10</v>
      </c>
      <c r="C29" s="31" t="s">
        <v>317</v>
      </c>
      <c r="D29" s="31" t="s">
        <v>381</v>
      </c>
      <c r="E29" s="31" t="s">
        <v>2293</v>
      </c>
      <c r="F29" s="31" t="s">
        <v>1858</v>
      </c>
      <c r="G29" s="31" t="s">
        <v>1858</v>
      </c>
      <c r="H29" s="31" t="s">
        <v>1858</v>
      </c>
      <c r="I29" s="31" t="s">
        <v>1858</v>
      </c>
      <c r="J29" s="31" t="s">
        <v>1858</v>
      </c>
      <c r="K29" s="31" t="s">
        <v>2294</v>
      </c>
      <c r="L29" s="31" t="s">
        <v>1858</v>
      </c>
      <c r="M29" s="32" t="s">
        <v>2295</v>
      </c>
      <c r="N29" s="33" t="s">
        <v>2296</v>
      </c>
      <c r="O29" s="34" t="s">
        <v>117</v>
      </c>
    </row>
    <row r="30" ht="42.0" customHeight="1">
      <c r="A30" s="30" t="s">
        <v>390</v>
      </c>
      <c r="B30" s="31" t="s">
        <v>10</v>
      </c>
      <c r="C30" s="31" t="s">
        <v>317</v>
      </c>
      <c r="D30" s="31" t="s">
        <v>391</v>
      </c>
      <c r="E30" s="31" t="s">
        <v>2293</v>
      </c>
      <c r="F30" s="31" t="s">
        <v>1858</v>
      </c>
      <c r="G30" s="31" t="s">
        <v>1858</v>
      </c>
      <c r="H30" s="31" t="s">
        <v>1858</v>
      </c>
      <c r="I30" s="31" t="s">
        <v>1858</v>
      </c>
      <c r="J30" s="31" t="s">
        <v>1858</v>
      </c>
      <c r="K30" s="31" t="s">
        <v>2294</v>
      </c>
      <c r="L30" s="31" t="s">
        <v>1858</v>
      </c>
      <c r="M30" s="32" t="s">
        <v>2295</v>
      </c>
      <c r="N30" s="33" t="s">
        <v>2301</v>
      </c>
      <c r="O30" s="34" t="s">
        <v>117</v>
      </c>
    </row>
    <row r="31" ht="42.0" customHeight="1">
      <c r="A31" s="30" t="s">
        <v>403</v>
      </c>
      <c r="B31" s="31" t="s">
        <v>10</v>
      </c>
      <c r="C31" s="31" t="s">
        <v>317</v>
      </c>
      <c r="D31" s="31" t="s">
        <v>404</v>
      </c>
      <c r="E31" s="31" t="s">
        <v>2293</v>
      </c>
      <c r="F31" s="31" t="s">
        <v>1858</v>
      </c>
      <c r="G31" s="31" t="s">
        <v>1858</v>
      </c>
      <c r="H31" s="31" t="s">
        <v>1858</v>
      </c>
      <c r="I31" s="31" t="s">
        <v>1858</v>
      </c>
      <c r="J31" s="31" t="s">
        <v>1858</v>
      </c>
      <c r="K31" s="31" t="s">
        <v>2294</v>
      </c>
      <c r="L31" s="31" t="s">
        <v>1858</v>
      </c>
      <c r="M31" s="32" t="s">
        <v>2295</v>
      </c>
      <c r="N31" s="33" t="s">
        <v>2296</v>
      </c>
      <c r="O31" s="34" t="s">
        <v>117</v>
      </c>
    </row>
    <row r="32" ht="42.0" customHeight="1">
      <c r="A32" s="30" t="s">
        <v>414</v>
      </c>
      <c r="B32" s="31" t="s">
        <v>10</v>
      </c>
      <c r="C32" s="31" t="s">
        <v>317</v>
      </c>
      <c r="D32" s="31" t="s">
        <v>415</v>
      </c>
      <c r="E32" s="31" t="s">
        <v>2293</v>
      </c>
      <c r="F32" s="31" t="s">
        <v>1858</v>
      </c>
      <c r="G32" s="31" t="s">
        <v>1858</v>
      </c>
      <c r="H32" s="31" t="s">
        <v>1858</v>
      </c>
      <c r="I32" s="31" t="s">
        <v>1858</v>
      </c>
      <c r="J32" s="31" t="s">
        <v>1858</v>
      </c>
      <c r="K32" s="31" t="s">
        <v>2294</v>
      </c>
      <c r="L32" s="31" t="s">
        <v>1858</v>
      </c>
      <c r="M32" s="32" t="s">
        <v>2295</v>
      </c>
      <c r="N32" s="33" t="s">
        <v>2296</v>
      </c>
      <c r="O32" s="34" t="s">
        <v>117</v>
      </c>
    </row>
    <row r="33" ht="42.0" customHeight="1">
      <c r="A33" s="30" t="s">
        <v>423</v>
      </c>
      <c r="B33" s="31" t="s">
        <v>10</v>
      </c>
      <c r="C33" s="31" t="s">
        <v>424</v>
      </c>
      <c r="D33" s="31" t="s">
        <v>425</v>
      </c>
      <c r="E33" s="31" t="s">
        <v>2293</v>
      </c>
      <c r="F33" s="31" t="s">
        <v>1858</v>
      </c>
      <c r="G33" s="31" t="s">
        <v>1858</v>
      </c>
      <c r="H33" s="31" t="s">
        <v>1858</v>
      </c>
      <c r="I33" s="31" t="s">
        <v>1858</v>
      </c>
      <c r="J33" s="31" t="s">
        <v>1858</v>
      </c>
      <c r="K33" s="31" t="s">
        <v>2294</v>
      </c>
      <c r="L33" s="31" t="s">
        <v>1858</v>
      </c>
      <c r="M33" s="32" t="s">
        <v>2302</v>
      </c>
      <c r="N33" s="33" t="s">
        <v>2296</v>
      </c>
      <c r="O33" s="34" t="s">
        <v>117</v>
      </c>
    </row>
    <row r="34" ht="42.0" customHeight="1">
      <c r="A34" s="30" t="s">
        <v>434</v>
      </c>
      <c r="B34" s="31" t="s">
        <v>10</v>
      </c>
      <c r="C34" s="31" t="s">
        <v>424</v>
      </c>
      <c r="D34" s="31" t="s">
        <v>435</v>
      </c>
      <c r="E34" s="31" t="s">
        <v>2293</v>
      </c>
      <c r="F34" s="31" t="s">
        <v>1858</v>
      </c>
      <c r="G34" s="31" t="s">
        <v>1858</v>
      </c>
      <c r="H34" s="31" t="s">
        <v>1858</v>
      </c>
      <c r="I34" s="31" t="s">
        <v>1858</v>
      </c>
      <c r="J34" s="31" t="s">
        <v>1858</v>
      </c>
      <c r="K34" s="31" t="s">
        <v>2294</v>
      </c>
      <c r="L34" s="31" t="s">
        <v>1858</v>
      </c>
      <c r="M34" s="32" t="s">
        <v>2302</v>
      </c>
      <c r="N34" s="33" t="s">
        <v>2296</v>
      </c>
      <c r="O34" s="34" t="s">
        <v>117</v>
      </c>
    </row>
    <row r="35" ht="42.0" customHeight="1">
      <c r="A35" s="30" t="s">
        <v>444</v>
      </c>
      <c r="B35" s="31" t="s">
        <v>10</v>
      </c>
      <c r="C35" s="31" t="s">
        <v>424</v>
      </c>
      <c r="D35" s="31" t="s">
        <v>445</v>
      </c>
      <c r="E35" s="31" t="s">
        <v>2293</v>
      </c>
      <c r="F35" s="31" t="s">
        <v>1858</v>
      </c>
      <c r="G35" s="31" t="s">
        <v>1858</v>
      </c>
      <c r="H35" s="31" t="s">
        <v>1858</v>
      </c>
      <c r="I35" s="31" t="s">
        <v>1858</v>
      </c>
      <c r="J35" s="31" t="s">
        <v>1858</v>
      </c>
      <c r="K35" s="31" t="s">
        <v>2294</v>
      </c>
      <c r="L35" s="31" t="s">
        <v>1858</v>
      </c>
      <c r="M35" s="32" t="s">
        <v>2302</v>
      </c>
      <c r="N35" s="33" t="s">
        <v>2296</v>
      </c>
      <c r="O35" s="34" t="s">
        <v>117</v>
      </c>
    </row>
    <row r="36" ht="42.0" customHeight="1">
      <c r="A36" s="30" t="s">
        <v>454</v>
      </c>
      <c r="B36" s="31" t="s">
        <v>10</v>
      </c>
      <c r="C36" s="31" t="s">
        <v>424</v>
      </c>
      <c r="D36" s="31" t="s">
        <v>455</v>
      </c>
      <c r="E36" s="31" t="s">
        <v>2293</v>
      </c>
      <c r="F36" s="31" t="s">
        <v>1858</v>
      </c>
      <c r="G36" s="31" t="s">
        <v>1858</v>
      </c>
      <c r="H36" s="31" t="s">
        <v>1858</v>
      </c>
      <c r="I36" s="31" t="s">
        <v>1858</v>
      </c>
      <c r="J36" s="31" t="s">
        <v>1858</v>
      </c>
      <c r="K36" s="31" t="s">
        <v>2294</v>
      </c>
      <c r="L36" s="31" t="s">
        <v>1858</v>
      </c>
      <c r="M36" s="32" t="s">
        <v>2302</v>
      </c>
      <c r="N36" s="33" t="s">
        <v>2296</v>
      </c>
      <c r="O36" s="34" t="s">
        <v>117</v>
      </c>
    </row>
    <row r="37" ht="42.0" customHeight="1">
      <c r="A37" s="30" t="s">
        <v>464</v>
      </c>
      <c r="B37" s="31" t="s">
        <v>10</v>
      </c>
      <c r="C37" s="31" t="s">
        <v>424</v>
      </c>
      <c r="D37" s="31" t="s">
        <v>465</v>
      </c>
      <c r="E37" s="31" t="s">
        <v>2293</v>
      </c>
      <c r="F37" s="31" t="s">
        <v>1858</v>
      </c>
      <c r="G37" s="31" t="s">
        <v>1858</v>
      </c>
      <c r="H37" s="31" t="s">
        <v>1858</v>
      </c>
      <c r="I37" s="31" t="s">
        <v>1858</v>
      </c>
      <c r="J37" s="31" t="s">
        <v>1858</v>
      </c>
      <c r="K37" s="31" t="s">
        <v>2294</v>
      </c>
      <c r="L37" s="31" t="s">
        <v>1858</v>
      </c>
      <c r="M37" s="32" t="s">
        <v>2302</v>
      </c>
      <c r="N37" s="33" t="s">
        <v>2296</v>
      </c>
      <c r="O37" s="34" t="s">
        <v>117</v>
      </c>
    </row>
    <row r="38" ht="42.0" customHeight="1">
      <c r="A38" s="30" t="s">
        <v>474</v>
      </c>
      <c r="B38" s="31" t="s">
        <v>10</v>
      </c>
      <c r="C38" s="31" t="s">
        <v>424</v>
      </c>
      <c r="D38" s="31" t="s">
        <v>475</v>
      </c>
      <c r="E38" s="31" t="s">
        <v>2293</v>
      </c>
      <c r="F38" s="31" t="s">
        <v>1858</v>
      </c>
      <c r="G38" s="31" t="s">
        <v>1858</v>
      </c>
      <c r="H38" s="31" t="s">
        <v>1858</v>
      </c>
      <c r="I38" s="31" t="s">
        <v>1858</v>
      </c>
      <c r="J38" s="31" t="s">
        <v>1858</v>
      </c>
      <c r="K38" s="31" t="s">
        <v>2294</v>
      </c>
      <c r="L38" s="31" t="s">
        <v>1858</v>
      </c>
      <c r="M38" s="32" t="s">
        <v>2302</v>
      </c>
      <c r="N38" s="33" t="s">
        <v>2296</v>
      </c>
      <c r="O38" s="34" t="s">
        <v>117</v>
      </c>
    </row>
    <row r="39" ht="42.0" customHeight="1">
      <c r="A39" s="30" t="s">
        <v>483</v>
      </c>
      <c r="B39" s="31" t="s">
        <v>10</v>
      </c>
      <c r="C39" s="31" t="s">
        <v>424</v>
      </c>
      <c r="D39" s="31" t="s">
        <v>484</v>
      </c>
      <c r="E39" s="31" t="s">
        <v>2293</v>
      </c>
      <c r="F39" s="31" t="s">
        <v>1858</v>
      </c>
      <c r="G39" s="31" t="s">
        <v>1858</v>
      </c>
      <c r="H39" s="31" t="s">
        <v>1858</v>
      </c>
      <c r="I39" s="31" t="s">
        <v>1858</v>
      </c>
      <c r="J39" s="31" t="s">
        <v>1858</v>
      </c>
      <c r="K39" s="31" t="s">
        <v>2294</v>
      </c>
      <c r="L39" s="31" t="s">
        <v>1858</v>
      </c>
      <c r="M39" s="32" t="s">
        <v>2302</v>
      </c>
      <c r="N39" s="33" t="s">
        <v>2303</v>
      </c>
      <c r="O39" s="34" t="s">
        <v>117</v>
      </c>
    </row>
    <row r="40" ht="42.0" customHeight="1">
      <c r="A40" s="30" t="s">
        <v>496</v>
      </c>
      <c r="B40" s="31" t="s">
        <v>10</v>
      </c>
      <c r="C40" s="31" t="s">
        <v>424</v>
      </c>
      <c r="D40" s="31" t="s">
        <v>497</v>
      </c>
      <c r="E40" s="31" t="s">
        <v>2293</v>
      </c>
      <c r="F40" s="31" t="s">
        <v>1858</v>
      </c>
      <c r="G40" s="31" t="s">
        <v>1858</v>
      </c>
      <c r="H40" s="31" t="s">
        <v>1858</v>
      </c>
      <c r="I40" s="31" t="s">
        <v>1858</v>
      </c>
      <c r="J40" s="31" t="s">
        <v>1858</v>
      </c>
      <c r="K40" s="31" t="s">
        <v>2294</v>
      </c>
      <c r="L40" s="31" t="s">
        <v>1858</v>
      </c>
      <c r="M40" s="32" t="s">
        <v>2302</v>
      </c>
      <c r="N40" s="33" t="s">
        <v>2296</v>
      </c>
      <c r="O40" s="34" t="s">
        <v>117</v>
      </c>
    </row>
    <row r="41" ht="42.0" customHeight="1">
      <c r="A41" s="30" t="s">
        <v>506</v>
      </c>
      <c r="B41" s="31" t="s">
        <v>10</v>
      </c>
      <c r="C41" s="31" t="s">
        <v>424</v>
      </c>
      <c r="D41" s="31" t="s">
        <v>507</v>
      </c>
      <c r="E41" s="31" t="s">
        <v>2293</v>
      </c>
      <c r="F41" s="31" t="s">
        <v>1858</v>
      </c>
      <c r="G41" s="31" t="s">
        <v>1858</v>
      </c>
      <c r="H41" s="31" t="s">
        <v>1858</v>
      </c>
      <c r="I41" s="31" t="s">
        <v>1858</v>
      </c>
      <c r="J41" s="31" t="s">
        <v>1858</v>
      </c>
      <c r="K41" s="31" t="s">
        <v>2294</v>
      </c>
      <c r="L41" s="31" t="s">
        <v>1858</v>
      </c>
      <c r="M41" s="32" t="s">
        <v>2302</v>
      </c>
      <c r="N41" s="33" t="s">
        <v>2296</v>
      </c>
      <c r="O41" s="34" t="s">
        <v>117</v>
      </c>
    </row>
    <row r="42" ht="42.0" customHeight="1">
      <c r="A42" s="30" t="s">
        <v>516</v>
      </c>
      <c r="B42" s="31" t="s">
        <v>10</v>
      </c>
      <c r="C42" s="31" t="s">
        <v>424</v>
      </c>
      <c r="D42" s="31" t="s">
        <v>517</v>
      </c>
      <c r="E42" s="31" t="s">
        <v>2293</v>
      </c>
      <c r="F42" s="31" t="s">
        <v>1858</v>
      </c>
      <c r="G42" s="31" t="s">
        <v>1858</v>
      </c>
      <c r="H42" s="31" t="s">
        <v>1858</v>
      </c>
      <c r="I42" s="31" t="s">
        <v>1858</v>
      </c>
      <c r="J42" s="31" t="s">
        <v>1858</v>
      </c>
      <c r="K42" s="31" t="s">
        <v>2294</v>
      </c>
      <c r="L42" s="31" t="s">
        <v>1858</v>
      </c>
      <c r="M42" s="32" t="s">
        <v>2302</v>
      </c>
      <c r="N42" s="33" t="s">
        <v>2296</v>
      </c>
      <c r="O42" s="34" t="s">
        <v>117</v>
      </c>
    </row>
    <row r="43" ht="42.0" customHeight="1">
      <c r="A43" s="30" t="s">
        <v>526</v>
      </c>
      <c r="B43" s="31" t="s">
        <v>16</v>
      </c>
      <c r="C43" s="31" t="s">
        <v>527</v>
      </c>
      <c r="D43" s="31" t="s">
        <v>528</v>
      </c>
      <c r="E43" s="31" t="s">
        <v>2293</v>
      </c>
      <c r="F43" s="31" t="s">
        <v>1858</v>
      </c>
      <c r="G43" s="31" t="s">
        <v>1858</v>
      </c>
      <c r="H43" s="31" t="s">
        <v>1858</v>
      </c>
      <c r="I43" s="31" t="s">
        <v>1858</v>
      </c>
      <c r="J43" s="31" t="s">
        <v>1858</v>
      </c>
      <c r="K43" s="31" t="s">
        <v>2294</v>
      </c>
      <c r="L43" s="31" t="s">
        <v>1858</v>
      </c>
      <c r="M43" s="32" t="s">
        <v>2302</v>
      </c>
      <c r="N43" s="33" t="s">
        <v>2296</v>
      </c>
      <c r="O43" s="34" t="s">
        <v>117</v>
      </c>
    </row>
    <row r="44" ht="42.0" customHeight="1">
      <c r="A44" s="30" t="s">
        <v>538</v>
      </c>
      <c r="B44" s="31" t="s">
        <v>16</v>
      </c>
      <c r="C44" s="31" t="s">
        <v>527</v>
      </c>
      <c r="D44" s="31" t="s">
        <v>539</v>
      </c>
      <c r="E44" s="31" t="s">
        <v>2293</v>
      </c>
      <c r="F44" s="31" t="s">
        <v>1858</v>
      </c>
      <c r="G44" s="31" t="s">
        <v>1858</v>
      </c>
      <c r="H44" s="31" t="s">
        <v>1858</v>
      </c>
      <c r="I44" s="31" t="s">
        <v>1858</v>
      </c>
      <c r="J44" s="31" t="s">
        <v>1858</v>
      </c>
      <c r="K44" s="31" t="s">
        <v>2294</v>
      </c>
      <c r="L44" s="31" t="s">
        <v>1858</v>
      </c>
      <c r="M44" s="32" t="s">
        <v>2302</v>
      </c>
      <c r="N44" s="33" t="s">
        <v>2296</v>
      </c>
      <c r="O44" s="34" t="s">
        <v>117</v>
      </c>
    </row>
    <row r="45" ht="42.0" customHeight="1">
      <c r="A45" s="30" t="s">
        <v>548</v>
      </c>
      <c r="B45" s="31" t="s">
        <v>16</v>
      </c>
      <c r="C45" s="31" t="s">
        <v>527</v>
      </c>
      <c r="D45" s="31" t="s">
        <v>549</v>
      </c>
      <c r="E45" s="31" t="s">
        <v>2293</v>
      </c>
      <c r="F45" s="31" t="s">
        <v>1858</v>
      </c>
      <c r="G45" s="31" t="s">
        <v>1858</v>
      </c>
      <c r="H45" s="31" t="s">
        <v>1858</v>
      </c>
      <c r="I45" s="31" t="s">
        <v>1858</v>
      </c>
      <c r="J45" s="31" t="s">
        <v>1858</v>
      </c>
      <c r="K45" s="31" t="s">
        <v>2294</v>
      </c>
      <c r="L45" s="31" t="s">
        <v>1858</v>
      </c>
      <c r="M45" s="32" t="s">
        <v>2302</v>
      </c>
      <c r="N45" s="33" t="s">
        <v>2301</v>
      </c>
      <c r="O45" s="34" t="s">
        <v>117</v>
      </c>
    </row>
    <row r="46" ht="42.0" customHeight="1">
      <c r="A46" s="30" t="s">
        <v>560</v>
      </c>
      <c r="B46" s="31" t="s">
        <v>16</v>
      </c>
      <c r="C46" s="31" t="s">
        <v>527</v>
      </c>
      <c r="D46" s="31" t="s">
        <v>561</v>
      </c>
      <c r="E46" s="31" t="s">
        <v>2293</v>
      </c>
      <c r="F46" s="31" t="s">
        <v>1858</v>
      </c>
      <c r="G46" s="31" t="s">
        <v>1858</v>
      </c>
      <c r="H46" s="31" t="s">
        <v>1858</v>
      </c>
      <c r="I46" s="31" t="s">
        <v>1858</v>
      </c>
      <c r="J46" s="31" t="s">
        <v>1858</v>
      </c>
      <c r="K46" s="31" t="s">
        <v>2294</v>
      </c>
      <c r="L46" s="31" t="s">
        <v>1858</v>
      </c>
      <c r="M46" s="32" t="s">
        <v>2302</v>
      </c>
      <c r="N46" s="33" t="s">
        <v>2301</v>
      </c>
      <c r="O46" s="34" t="s">
        <v>117</v>
      </c>
    </row>
    <row r="47" ht="42.0" customHeight="1">
      <c r="A47" s="30" t="s">
        <v>570</v>
      </c>
      <c r="B47" s="31" t="s">
        <v>16</v>
      </c>
      <c r="C47" s="31" t="s">
        <v>527</v>
      </c>
      <c r="D47" s="31" t="s">
        <v>571</v>
      </c>
      <c r="E47" s="31" t="s">
        <v>2293</v>
      </c>
      <c r="F47" s="31" t="s">
        <v>1858</v>
      </c>
      <c r="G47" s="31" t="s">
        <v>1858</v>
      </c>
      <c r="H47" s="31" t="s">
        <v>1858</v>
      </c>
      <c r="I47" s="31" t="s">
        <v>1858</v>
      </c>
      <c r="J47" s="31" t="s">
        <v>1858</v>
      </c>
      <c r="K47" s="31" t="s">
        <v>2294</v>
      </c>
      <c r="L47" s="31" t="s">
        <v>1858</v>
      </c>
      <c r="M47" s="32" t="s">
        <v>2302</v>
      </c>
      <c r="N47" s="33" t="s">
        <v>2296</v>
      </c>
      <c r="O47" s="34" t="s">
        <v>117</v>
      </c>
    </row>
    <row r="48" ht="42.0" customHeight="1">
      <c r="A48" s="30" t="s">
        <v>580</v>
      </c>
      <c r="B48" s="31" t="s">
        <v>16</v>
      </c>
      <c r="C48" s="31" t="s">
        <v>527</v>
      </c>
      <c r="D48" s="31" t="s">
        <v>581</v>
      </c>
      <c r="E48" s="31" t="s">
        <v>2293</v>
      </c>
      <c r="F48" s="31" t="s">
        <v>1858</v>
      </c>
      <c r="G48" s="31" t="s">
        <v>1858</v>
      </c>
      <c r="H48" s="31" t="s">
        <v>1858</v>
      </c>
      <c r="I48" s="31" t="s">
        <v>1858</v>
      </c>
      <c r="J48" s="31" t="s">
        <v>1858</v>
      </c>
      <c r="K48" s="31" t="s">
        <v>2294</v>
      </c>
      <c r="L48" s="31" t="s">
        <v>1858</v>
      </c>
      <c r="M48" s="32" t="s">
        <v>2302</v>
      </c>
      <c r="N48" s="33" t="s">
        <v>2303</v>
      </c>
      <c r="O48" s="34" t="s">
        <v>117</v>
      </c>
    </row>
    <row r="49" ht="42.0" customHeight="1">
      <c r="A49" s="30" t="s">
        <v>590</v>
      </c>
      <c r="B49" s="31" t="s">
        <v>16</v>
      </c>
      <c r="C49" s="31" t="s">
        <v>527</v>
      </c>
      <c r="D49" s="31" t="s">
        <v>591</v>
      </c>
      <c r="E49" s="31" t="s">
        <v>2293</v>
      </c>
      <c r="F49" s="31" t="s">
        <v>1858</v>
      </c>
      <c r="G49" s="31" t="s">
        <v>1858</v>
      </c>
      <c r="H49" s="31" t="s">
        <v>1858</v>
      </c>
      <c r="I49" s="31" t="s">
        <v>1858</v>
      </c>
      <c r="J49" s="31" t="s">
        <v>1858</v>
      </c>
      <c r="K49" s="31" t="s">
        <v>2294</v>
      </c>
      <c r="L49" s="31" t="s">
        <v>1858</v>
      </c>
      <c r="M49" s="32" t="s">
        <v>2302</v>
      </c>
      <c r="N49" s="33" t="s">
        <v>2296</v>
      </c>
      <c r="O49" s="34" t="s">
        <v>117</v>
      </c>
    </row>
    <row r="50" ht="42.0" customHeight="1">
      <c r="A50" s="30" t="s">
        <v>599</v>
      </c>
      <c r="B50" s="31" t="s">
        <v>16</v>
      </c>
      <c r="C50" s="31" t="s">
        <v>527</v>
      </c>
      <c r="D50" s="31" t="s">
        <v>600</v>
      </c>
      <c r="E50" s="31" t="s">
        <v>2293</v>
      </c>
      <c r="F50" s="31" t="s">
        <v>1858</v>
      </c>
      <c r="G50" s="31" t="s">
        <v>1858</v>
      </c>
      <c r="H50" s="31" t="s">
        <v>1858</v>
      </c>
      <c r="I50" s="31" t="s">
        <v>1858</v>
      </c>
      <c r="J50" s="31" t="s">
        <v>1858</v>
      </c>
      <c r="K50" s="31" t="s">
        <v>2294</v>
      </c>
      <c r="L50" s="31" t="s">
        <v>1858</v>
      </c>
      <c r="M50" s="32" t="s">
        <v>2302</v>
      </c>
      <c r="N50" s="33" t="s">
        <v>2296</v>
      </c>
      <c r="O50" s="34" t="s">
        <v>117</v>
      </c>
    </row>
    <row r="51" ht="42.0" customHeight="1">
      <c r="A51" s="30" t="s">
        <v>609</v>
      </c>
      <c r="B51" s="31" t="s">
        <v>16</v>
      </c>
      <c r="C51" s="31" t="s">
        <v>527</v>
      </c>
      <c r="D51" s="31" t="s">
        <v>610</v>
      </c>
      <c r="E51" s="31" t="s">
        <v>2293</v>
      </c>
      <c r="F51" s="31" t="s">
        <v>1858</v>
      </c>
      <c r="G51" s="31" t="s">
        <v>1858</v>
      </c>
      <c r="H51" s="31" t="s">
        <v>1858</v>
      </c>
      <c r="I51" s="31" t="s">
        <v>1858</v>
      </c>
      <c r="J51" s="31" t="s">
        <v>1858</v>
      </c>
      <c r="K51" s="31" t="s">
        <v>2294</v>
      </c>
      <c r="L51" s="31" t="s">
        <v>1858</v>
      </c>
      <c r="M51" s="32" t="s">
        <v>2302</v>
      </c>
      <c r="N51" s="33" t="s">
        <v>2296</v>
      </c>
      <c r="O51" s="34" t="s">
        <v>117</v>
      </c>
    </row>
    <row r="52" ht="42.0" customHeight="1">
      <c r="A52" s="30" t="s">
        <v>619</v>
      </c>
      <c r="B52" s="31" t="s">
        <v>16</v>
      </c>
      <c r="C52" s="31" t="s">
        <v>527</v>
      </c>
      <c r="D52" s="31" t="s">
        <v>621</v>
      </c>
      <c r="E52" s="31" t="s">
        <v>2293</v>
      </c>
      <c r="F52" s="31" t="s">
        <v>1858</v>
      </c>
      <c r="G52" s="31" t="s">
        <v>1858</v>
      </c>
      <c r="H52" s="31" t="s">
        <v>1858</v>
      </c>
      <c r="I52" s="31" t="s">
        <v>1858</v>
      </c>
      <c r="J52" s="31" t="s">
        <v>1858</v>
      </c>
      <c r="K52" s="31" t="s">
        <v>2294</v>
      </c>
      <c r="L52" s="31" t="s">
        <v>1858</v>
      </c>
      <c r="M52" s="32" t="s">
        <v>2302</v>
      </c>
      <c r="N52" s="33" t="s">
        <v>2296</v>
      </c>
      <c r="O52" s="34" t="s">
        <v>117</v>
      </c>
    </row>
    <row r="53" ht="42.0" customHeight="1">
      <c r="A53" s="30" t="s">
        <v>632</v>
      </c>
      <c r="B53" s="31" t="s">
        <v>16</v>
      </c>
      <c r="C53" s="31" t="s">
        <v>633</v>
      </c>
      <c r="D53" s="31" t="s">
        <v>634</v>
      </c>
      <c r="E53" s="31" t="s">
        <v>2293</v>
      </c>
      <c r="F53" s="31" t="s">
        <v>1858</v>
      </c>
      <c r="G53" s="31" t="s">
        <v>1858</v>
      </c>
      <c r="H53" s="31" t="s">
        <v>1858</v>
      </c>
      <c r="I53" s="31" t="s">
        <v>1858</v>
      </c>
      <c r="J53" s="31" t="s">
        <v>1858</v>
      </c>
      <c r="K53" s="31" t="s">
        <v>2294</v>
      </c>
      <c r="L53" s="31" t="s">
        <v>1858</v>
      </c>
      <c r="M53" s="32" t="s">
        <v>2295</v>
      </c>
      <c r="N53" s="33" t="s">
        <v>2296</v>
      </c>
      <c r="O53" s="34" t="s">
        <v>117</v>
      </c>
    </row>
    <row r="54" ht="42.0" customHeight="1">
      <c r="A54" s="30" t="s">
        <v>644</v>
      </c>
      <c r="B54" s="31" t="s">
        <v>16</v>
      </c>
      <c r="C54" s="31" t="s">
        <v>633</v>
      </c>
      <c r="D54" s="31" t="s">
        <v>645</v>
      </c>
      <c r="E54" s="31" t="s">
        <v>2293</v>
      </c>
      <c r="F54" s="31" t="s">
        <v>1858</v>
      </c>
      <c r="G54" s="31" t="s">
        <v>1858</v>
      </c>
      <c r="H54" s="31" t="s">
        <v>1858</v>
      </c>
      <c r="I54" s="31" t="s">
        <v>1858</v>
      </c>
      <c r="J54" s="31" t="s">
        <v>1858</v>
      </c>
      <c r="K54" s="31" t="s">
        <v>2294</v>
      </c>
      <c r="L54" s="31" t="s">
        <v>1858</v>
      </c>
      <c r="M54" s="32" t="s">
        <v>2295</v>
      </c>
      <c r="N54" s="33" t="s">
        <v>2296</v>
      </c>
      <c r="O54" s="34" t="s">
        <v>117</v>
      </c>
    </row>
    <row r="55" ht="42.0" customHeight="1">
      <c r="A55" s="30" t="s">
        <v>655</v>
      </c>
      <c r="B55" s="31" t="s">
        <v>16</v>
      </c>
      <c r="C55" s="31" t="s">
        <v>633</v>
      </c>
      <c r="D55" s="31" t="s">
        <v>656</v>
      </c>
      <c r="E55" s="31" t="s">
        <v>2293</v>
      </c>
      <c r="F55" s="31" t="s">
        <v>1858</v>
      </c>
      <c r="G55" s="31" t="s">
        <v>1858</v>
      </c>
      <c r="H55" s="31" t="s">
        <v>1858</v>
      </c>
      <c r="I55" s="31" t="s">
        <v>1858</v>
      </c>
      <c r="J55" s="31" t="s">
        <v>1858</v>
      </c>
      <c r="K55" s="31" t="s">
        <v>2294</v>
      </c>
      <c r="L55" s="31" t="s">
        <v>1858</v>
      </c>
      <c r="M55" s="32" t="s">
        <v>2295</v>
      </c>
      <c r="N55" s="33" t="s">
        <v>2296</v>
      </c>
      <c r="O55" s="34" t="s">
        <v>117</v>
      </c>
    </row>
    <row r="56" ht="42.0" customHeight="1">
      <c r="A56" s="30" t="s">
        <v>665</v>
      </c>
      <c r="B56" s="31" t="s">
        <v>16</v>
      </c>
      <c r="C56" s="31" t="s">
        <v>633</v>
      </c>
      <c r="D56" s="31" t="s">
        <v>666</v>
      </c>
      <c r="E56" s="31" t="s">
        <v>2293</v>
      </c>
      <c r="F56" s="31" t="s">
        <v>1858</v>
      </c>
      <c r="G56" s="31" t="s">
        <v>1858</v>
      </c>
      <c r="H56" s="31" t="s">
        <v>1858</v>
      </c>
      <c r="I56" s="31" t="s">
        <v>1858</v>
      </c>
      <c r="J56" s="31" t="s">
        <v>1858</v>
      </c>
      <c r="K56" s="31" t="s">
        <v>2294</v>
      </c>
      <c r="L56" s="31" t="s">
        <v>1858</v>
      </c>
      <c r="M56" s="32" t="s">
        <v>2295</v>
      </c>
      <c r="N56" s="33" t="s">
        <v>2296</v>
      </c>
      <c r="O56" s="34" t="s">
        <v>117</v>
      </c>
    </row>
    <row r="57" ht="42.0" customHeight="1">
      <c r="A57" s="30" t="s">
        <v>675</v>
      </c>
      <c r="B57" s="31" t="s">
        <v>16</v>
      </c>
      <c r="C57" s="31" t="s">
        <v>633</v>
      </c>
      <c r="D57" s="31" t="s">
        <v>676</v>
      </c>
      <c r="E57" s="31" t="s">
        <v>2293</v>
      </c>
      <c r="F57" s="31" t="s">
        <v>1858</v>
      </c>
      <c r="G57" s="31" t="s">
        <v>1858</v>
      </c>
      <c r="H57" s="31" t="s">
        <v>1858</v>
      </c>
      <c r="I57" s="31" t="s">
        <v>1858</v>
      </c>
      <c r="J57" s="31" t="s">
        <v>1858</v>
      </c>
      <c r="K57" s="31" t="s">
        <v>2294</v>
      </c>
      <c r="L57" s="31" t="s">
        <v>1858</v>
      </c>
      <c r="M57" s="32" t="s">
        <v>2295</v>
      </c>
      <c r="N57" s="33" t="s">
        <v>2296</v>
      </c>
      <c r="O57" s="34" t="s">
        <v>117</v>
      </c>
    </row>
    <row r="58" ht="42.0" customHeight="1">
      <c r="A58" s="30" t="s">
        <v>685</v>
      </c>
      <c r="B58" s="31" t="s">
        <v>16</v>
      </c>
      <c r="C58" s="31" t="s">
        <v>633</v>
      </c>
      <c r="D58" s="31" t="s">
        <v>686</v>
      </c>
      <c r="E58" s="31" t="s">
        <v>2293</v>
      </c>
      <c r="F58" s="31" t="s">
        <v>1858</v>
      </c>
      <c r="G58" s="31" t="s">
        <v>1858</v>
      </c>
      <c r="H58" s="31" t="s">
        <v>1858</v>
      </c>
      <c r="I58" s="31" t="s">
        <v>1858</v>
      </c>
      <c r="J58" s="31" t="s">
        <v>1858</v>
      </c>
      <c r="K58" s="31" t="s">
        <v>2294</v>
      </c>
      <c r="L58" s="31" t="s">
        <v>1858</v>
      </c>
      <c r="M58" s="32" t="s">
        <v>2295</v>
      </c>
      <c r="N58" s="33" t="s">
        <v>2296</v>
      </c>
      <c r="O58" s="34" t="s">
        <v>117</v>
      </c>
    </row>
    <row r="59" ht="42.0" customHeight="1">
      <c r="A59" s="30" t="s">
        <v>695</v>
      </c>
      <c r="B59" s="31" t="s">
        <v>16</v>
      </c>
      <c r="C59" s="31" t="s">
        <v>633</v>
      </c>
      <c r="D59" s="31" t="s">
        <v>696</v>
      </c>
      <c r="E59" s="31" t="s">
        <v>2293</v>
      </c>
      <c r="F59" s="31" t="s">
        <v>1858</v>
      </c>
      <c r="G59" s="31" t="s">
        <v>1858</v>
      </c>
      <c r="H59" s="31" t="s">
        <v>1858</v>
      </c>
      <c r="I59" s="31" t="s">
        <v>1858</v>
      </c>
      <c r="J59" s="31" t="s">
        <v>1858</v>
      </c>
      <c r="K59" s="31" t="s">
        <v>2294</v>
      </c>
      <c r="L59" s="31" t="s">
        <v>1858</v>
      </c>
      <c r="M59" s="32" t="s">
        <v>2295</v>
      </c>
      <c r="N59" s="33" t="s">
        <v>2296</v>
      </c>
      <c r="O59" s="34" t="s">
        <v>117</v>
      </c>
    </row>
    <row r="60" ht="42.0" customHeight="1">
      <c r="A60" s="30" t="s">
        <v>706</v>
      </c>
      <c r="B60" s="31" t="s">
        <v>16</v>
      </c>
      <c r="C60" s="31" t="s">
        <v>633</v>
      </c>
      <c r="D60" s="31" t="s">
        <v>707</v>
      </c>
      <c r="E60" s="31" t="s">
        <v>2293</v>
      </c>
      <c r="F60" s="31" t="s">
        <v>1858</v>
      </c>
      <c r="G60" s="31" t="s">
        <v>1858</v>
      </c>
      <c r="H60" s="31" t="s">
        <v>1858</v>
      </c>
      <c r="I60" s="31" t="s">
        <v>1858</v>
      </c>
      <c r="J60" s="31" t="s">
        <v>1858</v>
      </c>
      <c r="K60" s="31" t="s">
        <v>2294</v>
      </c>
      <c r="L60" s="31" t="s">
        <v>1858</v>
      </c>
      <c r="M60" s="32" t="s">
        <v>2295</v>
      </c>
      <c r="N60" s="33" t="s">
        <v>2296</v>
      </c>
      <c r="O60" s="34" t="s">
        <v>117</v>
      </c>
    </row>
    <row r="61" ht="42.0" customHeight="1">
      <c r="A61" s="30" t="s">
        <v>716</v>
      </c>
      <c r="B61" s="31" t="s">
        <v>16</v>
      </c>
      <c r="C61" s="31" t="s">
        <v>633</v>
      </c>
      <c r="D61" s="31" t="s">
        <v>717</v>
      </c>
      <c r="E61" s="31" t="s">
        <v>2293</v>
      </c>
      <c r="F61" s="31" t="s">
        <v>1858</v>
      </c>
      <c r="G61" s="31" t="s">
        <v>1858</v>
      </c>
      <c r="H61" s="31" t="s">
        <v>1858</v>
      </c>
      <c r="I61" s="31" t="s">
        <v>1858</v>
      </c>
      <c r="J61" s="31" t="s">
        <v>1858</v>
      </c>
      <c r="K61" s="31" t="s">
        <v>2294</v>
      </c>
      <c r="L61" s="31" t="s">
        <v>1858</v>
      </c>
      <c r="M61" s="32" t="s">
        <v>2295</v>
      </c>
      <c r="N61" s="33" t="s">
        <v>2296</v>
      </c>
      <c r="O61" s="34" t="s">
        <v>117</v>
      </c>
    </row>
    <row r="62" ht="42.0" customHeight="1">
      <c r="A62" s="30" t="s">
        <v>727</v>
      </c>
      <c r="B62" s="31" t="s">
        <v>16</v>
      </c>
      <c r="C62" s="31" t="s">
        <v>633</v>
      </c>
      <c r="D62" s="31" t="s">
        <v>729</v>
      </c>
      <c r="E62" s="31" t="s">
        <v>2293</v>
      </c>
      <c r="F62" s="31" t="s">
        <v>1858</v>
      </c>
      <c r="G62" s="31" t="s">
        <v>1858</v>
      </c>
      <c r="H62" s="31" t="s">
        <v>1858</v>
      </c>
      <c r="I62" s="31" t="s">
        <v>1858</v>
      </c>
      <c r="J62" s="31" t="s">
        <v>1858</v>
      </c>
      <c r="K62" s="31" t="s">
        <v>2294</v>
      </c>
      <c r="L62" s="31" t="s">
        <v>1858</v>
      </c>
      <c r="M62" s="32" t="s">
        <v>2295</v>
      </c>
      <c r="N62" s="33" t="s">
        <v>2296</v>
      </c>
      <c r="O62" s="34" t="s">
        <v>117</v>
      </c>
    </row>
    <row r="63" ht="42.0" customHeight="1">
      <c r="A63" s="30" t="s">
        <v>739</v>
      </c>
      <c r="B63" s="31" t="s">
        <v>10</v>
      </c>
      <c r="C63" s="31" t="s">
        <v>740</v>
      </c>
      <c r="D63" s="31" t="s">
        <v>741</v>
      </c>
      <c r="E63" s="31" t="s">
        <v>2293</v>
      </c>
      <c r="F63" s="31" t="s">
        <v>1858</v>
      </c>
      <c r="G63" s="31" t="s">
        <v>1858</v>
      </c>
      <c r="H63" s="31" t="s">
        <v>1858</v>
      </c>
      <c r="I63" s="31" t="s">
        <v>1858</v>
      </c>
      <c r="J63" s="31" t="s">
        <v>1858</v>
      </c>
      <c r="K63" s="31" t="s">
        <v>2294</v>
      </c>
      <c r="L63" s="31" t="s">
        <v>1858</v>
      </c>
      <c r="M63" s="32" t="s">
        <v>2295</v>
      </c>
      <c r="N63" s="33" t="s">
        <v>2296</v>
      </c>
      <c r="O63" s="34" t="s">
        <v>117</v>
      </c>
    </row>
    <row r="64" ht="42.0" customHeight="1">
      <c r="A64" s="30" t="s">
        <v>751</v>
      </c>
      <c r="B64" s="31" t="s">
        <v>10</v>
      </c>
      <c r="C64" s="31" t="s">
        <v>740</v>
      </c>
      <c r="D64" s="31" t="s">
        <v>752</v>
      </c>
      <c r="E64" s="31" t="s">
        <v>2293</v>
      </c>
      <c r="F64" s="31" t="s">
        <v>1858</v>
      </c>
      <c r="G64" s="31" t="s">
        <v>1858</v>
      </c>
      <c r="H64" s="31" t="s">
        <v>1858</v>
      </c>
      <c r="I64" s="31" t="s">
        <v>1858</v>
      </c>
      <c r="J64" s="31" t="s">
        <v>1858</v>
      </c>
      <c r="K64" s="31" t="s">
        <v>2294</v>
      </c>
      <c r="L64" s="31" t="s">
        <v>1858</v>
      </c>
      <c r="M64" s="32" t="s">
        <v>2295</v>
      </c>
      <c r="N64" s="33" t="s">
        <v>2296</v>
      </c>
      <c r="O64" s="34" t="s">
        <v>117</v>
      </c>
    </row>
    <row r="65" ht="42.0" customHeight="1">
      <c r="A65" s="30" t="s">
        <v>761</v>
      </c>
      <c r="B65" s="31" t="s">
        <v>10</v>
      </c>
      <c r="C65" s="31" t="s">
        <v>740</v>
      </c>
      <c r="D65" s="31" t="s">
        <v>762</v>
      </c>
      <c r="E65" s="31" t="s">
        <v>2293</v>
      </c>
      <c r="F65" s="31" t="s">
        <v>1858</v>
      </c>
      <c r="G65" s="31" t="s">
        <v>1858</v>
      </c>
      <c r="H65" s="31" t="s">
        <v>1858</v>
      </c>
      <c r="I65" s="31" t="s">
        <v>1858</v>
      </c>
      <c r="J65" s="31" t="s">
        <v>1858</v>
      </c>
      <c r="K65" s="31" t="s">
        <v>2294</v>
      </c>
      <c r="L65" s="31" t="s">
        <v>1858</v>
      </c>
      <c r="M65" s="32" t="s">
        <v>2295</v>
      </c>
      <c r="N65" s="33" t="s">
        <v>2301</v>
      </c>
      <c r="O65" s="34" t="s">
        <v>117</v>
      </c>
    </row>
    <row r="66" ht="42.0" customHeight="1">
      <c r="A66" s="30" t="s">
        <v>769</v>
      </c>
      <c r="B66" s="31" t="s">
        <v>10</v>
      </c>
      <c r="C66" s="31" t="s">
        <v>740</v>
      </c>
      <c r="D66" s="31" t="s">
        <v>770</v>
      </c>
      <c r="E66" s="31" t="s">
        <v>2293</v>
      </c>
      <c r="F66" s="31" t="s">
        <v>1858</v>
      </c>
      <c r="G66" s="31" t="s">
        <v>1858</v>
      </c>
      <c r="H66" s="31" t="s">
        <v>1858</v>
      </c>
      <c r="I66" s="31" t="s">
        <v>1858</v>
      </c>
      <c r="J66" s="31" t="s">
        <v>1858</v>
      </c>
      <c r="K66" s="31" t="s">
        <v>2294</v>
      </c>
      <c r="L66" s="31" t="s">
        <v>1858</v>
      </c>
      <c r="M66" s="32" t="s">
        <v>2295</v>
      </c>
      <c r="N66" s="33" t="s">
        <v>2296</v>
      </c>
      <c r="O66" s="34" t="s">
        <v>117</v>
      </c>
    </row>
    <row r="67" ht="42.0" customHeight="1">
      <c r="A67" s="30" t="s">
        <v>778</v>
      </c>
      <c r="B67" s="31" t="s">
        <v>10</v>
      </c>
      <c r="C67" s="31" t="s">
        <v>740</v>
      </c>
      <c r="D67" s="31" t="s">
        <v>779</v>
      </c>
      <c r="E67" s="31" t="s">
        <v>2293</v>
      </c>
      <c r="F67" s="31" t="s">
        <v>1858</v>
      </c>
      <c r="G67" s="31" t="s">
        <v>1858</v>
      </c>
      <c r="H67" s="31" t="s">
        <v>1858</v>
      </c>
      <c r="I67" s="31" t="s">
        <v>1858</v>
      </c>
      <c r="J67" s="31" t="s">
        <v>1858</v>
      </c>
      <c r="K67" s="31" t="s">
        <v>2294</v>
      </c>
      <c r="L67" s="31" t="s">
        <v>1858</v>
      </c>
      <c r="M67" s="32" t="s">
        <v>2295</v>
      </c>
      <c r="N67" s="33" t="s">
        <v>2296</v>
      </c>
      <c r="O67" s="34" t="s">
        <v>117</v>
      </c>
    </row>
    <row r="68" ht="42.0" customHeight="1">
      <c r="A68" s="30" t="s">
        <v>788</v>
      </c>
      <c r="B68" s="31" t="s">
        <v>10</v>
      </c>
      <c r="C68" s="31" t="s">
        <v>740</v>
      </c>
      <c r="D68" s="31" t="s">
        <v>789</v>
      </c>
      <c r="E68" s="31" t="s">
        <v>2293</v>
      </c>
      <c r="F68" s="31" t="s">
        <v>1858</v>
      </c>
      <c r="G68" s="31" t="s">
        <v>1858</v>
      </c>
      <c r="H68" s="31" t="s">
        <v>1858</v>
      </c>
      <c r="I68" s="31" t="s">
        <v>1858</v>
      </c>
      <c r="J68" s="31" t="s">
        <v>1858</v>
      </c>
      <c r="K68" s="31" t="s">
        <v>2294</v>
      </c>
      <c r="L68" s="31" t="s">
        <v>1858</v>
      </c>
      <c r="M68" s="32" t="s">
        <v>2295</v>
      </c>
      <c r="N68" s="33" t="s">
        <v>2296</v>
      </c>
      <c r="O68" s="34" t="s">
        <v>117</v>
      </c>
    </row>
    <row r="69" ht="42.0" customHeight="1">
      <c r="A69" s="30" t="s">
        <v>798</v>
      </c>
      <c r="B69" s="31" t="s">
        <v>10</v>
      </c>
      <c r="C69" s="31" t="s">
        <v>740</v>
      </c>
      <c r="D69" s="31" t="s">
        <v>799</v>
      </c>
      <c r="E69" s="31" t="s">
        <v>2293</v>
      </c>
      <c r="F69" s="31" t="s">
        <v>1858</v>
      </c>
      <c r="G69" s="31" t="s">
        <v>1858</v>
      </c>
      <c r="H69" s="31" t="s">
        <v>1858</v>
      </c>
      <c r="I69" s="31" t="s">
        <v>1858</v>
      </c>
      <c r="J69" s="31" t="s">
        <v>1858</v>
      </c>
      <c r="K69" s="31" t="s">
        <v>2294</v>
      </c>
      <c r="L69" s="31" t="s">
        <v>1858</v>
      </c>
      <c r="M69" s="32" t="s">
        <v>2295</v>
      </c>
      <c r="N69" s="33" t="s">
        <v>2296</v>
      </c>
      <c r="O69" s="34" t="s">
        <v>117</v>
      </c>
    </row>
    <row r="70" ht="42.0" customHeight="1">
      <c r="A70" s="30" t="s">
        <v>806</v>
      </c>
      <c r="B70" s="31" t="s">
        <v>10</v>
      </c>
      <c r="C70" s="31" t="s">
        <v>740</v>
      </c>
      <c r="D70" s="31" t="s">
        <v>807</v>
      </c>
      <c r="E70" s="31" t="s">
        <v>2293</v>
      </c>
      <c r="F70" s="31" t="s">
        <v>1858</v>
      </c>
      <c r="G70" s="31" t="s">
        <v>1858</v>
      </c>
      <c r="H70" s="31" t="s">
        <v>1858</v>
      </c>
      <c r="I70" s="31" t="s">
        <v>1858</v>
      </c>
      <c r="J70" s="31" t="s">
        <v>1858</v>
      </c>
      <c r="K70" s="31" t="s">
        <v>2294</v>
      </c>
      <c r="L70" s="31" t="s">
        <v>1858</v>
      </c>
      <c r="M70" s="32" t="s">
        <v>2295</v>
      </c>
      <c r="N70" s="33" t="s">
        <v>2296</v>
      </c>
      <c r="O70" s="34" t="s">
        <v>117</v>
      </c>
    </row>
    <row r="71" ht="42.0" customHeight="1">
      <c r="A71" s="30" t="s">
        <v>816</v>
      </c>
      <c r="B71" s="31" t="s">
        <v>10</v>
      </c>
      <c r="C71" s="31" t="s">
        <v>740</v>
      </c>
      <c r="D71" s="31" t="s">
        <v>817</v>
      </c>
      <c r="E71" s="31" t="s">
        <v>2293</v>
      </c>
      <c r="F71" s="31" t="s">
        <v>1858</v>
      </c>
      <c r="G71" s="31" t="s">
        <v>1858</v>
      </c>
      <c r="H71" s="31" t="s">
        <v>1858</v>
      </c>
      <c r="I71" s="31" t="s">
        <v>1858</v>
      </c>
      <c r="J71" s="31" t="s">
        <v>1858</v>
      </c>
      <c r="K71" s="31" t="s">
        <v>2294</v>
      </c>
      <c r="L71" s="31" t="s">
        <v>1858</v>
      </c>
      <c r="M71" s="32" t="s">
        <v>2295</v>
      </c>
      <c r="N71" s="33" t="s">
        <v>2296</v>
      </c>
      <c r="O71" s="34" t="s">
        <v>117</v>
      </c>
    </row>
    <row r="72" ht="42.0" customHeight="1">
      <c r="A72" s="35" t="s">
        <v>826</v>
      </c>
      <c r="B72" s="36" t="s">
        <v>10</v>
      </c>
      <c r="C72" s="36" t="s">
        <v>740</v>
      </c>
      <c r="D72" s="36" t="s">
        <v>827</v>
      </c>
      <c r="E72" s="36" t="s">
        <v>2293</v>
      </c>
      <c r="F72" s="36" t="s">
        <v>1858</v>
      </c>
      <c r="G72" s="36" t="s">
        <v>1858</v>
      </c>
      <c r="H72" s="36" t="s">
        <v>1858</v>
      </c>
      <c r="I72" s="36" t="s">
        <v>1858</v>
      </c>
      <c r="J72" s="36" t="s">
        <v>1858</v>
      </c>
      <c r="K72" s="36" t="s">
        <v>2294</v>
      </c>
      <c r="L72" s="36" t="s">
        <v>1858</v>
      </c>
      <c r="M72" s="37" t="s">
        <v>2295</v>
      </c>
      <c r="N72" s="38" t="s">
        <v>2296</v>
      </c>
      <c r="O72" s="39" t="s">
        <v>117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2"/>
  </mergeCells>
  <conditionalFormatting sqref="E5:E72">
    <cfRule type="expression" dxfId="4" priority="1">
      <formula>E5="Locked prototype"</formula>
    </cfRule>
  </conditionalFormatting>
  <conditionalFormatting sqref="E5:E72">
    <cfRule type="expression" dxfId="11" priority="2">
      <formula>OR(E5="Built",E5="Reviewed",E5="Complete")</formula>
    </cfRule>
  </conditionalFormatting>
  <conditionalFormatting sqref="F5:F72">
    <cfRule type="expression" dxfId="4" priority="3">
      <formula>F5="Locked prototype"</formula>
    </cfRule>
  </conditionalFormatting>
  <conditionalFormatting sqref="F5:F72">
    <cfRule type="expression" dxfId="11" priority="4">
      <formula>OR(F5="Built",F5="Reviewed",F5="Complete")</formula>
    </cfRule>
  </conditionalFormatting>
  <conditionalFormatting sqref="G5:G72">
    <cfRule type="expression" dxfId="4" priority="5">
      <formula>G5="Locked prototype"</formula>
    </cfRule>
  </conditionalFormatting>
  <conditionalFormatting sqref="G5:G72">
    <cfRule type="expression" dxfId="11" priority="6">
      <formula>OR(G5="Built",G5="Reviewed",G5="Complete")</formula>
    </cfRule>
  </conditionalFormatting>
  <conditionalFormatting sqref="H5:H72">
    <cfRule type="expression" dxfId="4" priority="7">
      <formula>H5="Locked prototype"</formula>
    </cfRule>
  </conditionalFormatting>
  <conditionalFormatting sqref="H5:H72">
    <cfRule type="expression" dxfId="11" priority="8">
      <formula>OR(H5="Built",H5="Reviewed",H5="Complete")</formula>
    </cfRule>
  </conditionalFormatting>
  <conditionalFormatting sqref="I5:I72">
    <cfRule type="expression" dxfId="4" priority="9">
      <formula>I5="Locked prototype"</formula>
    </cfRule>
  </conditionalFormatting>
  <conditionalFormatting sqref="I5:I72">
    <cfRule type="expression" dxfId="11" priority="10">
      <formula>OR(I5="Built",I5="Reviewed",I5="Complete")</formula>
    </cfRule>
  </conditionalFormatting>
  <conditionalFormatting sqref="J5:J72">
    <cfRule type="expression" dxfId="4" priority="11">
      <formula>J5="Locked prototype"</formula>
    </cfRule>
  </conditionalFormatting>
  <conditionalFormatting sqref="J5:J72">
    <cfRule type="expression" dxfId="11" priority="12">
      <formula>OR(J5="Built",J5="Reviewed",J5="Complete")</formula>
    </cfRule>
  </conditionalFormatting>
  <conditionalFormatting sqref="K5:K72">
    <cfRule type="expression" dxfId="4" priority="13">
      <formula>K5="Locked prototype"</formula>
    </cfRule>
  </conditionalFormatting>
  <conditionalFormatting sqref="K5:K72">
    <cfRule type="expression" dxfId="11" priority="14">
      <formula>OR(K5="Built",K5="Reviewed",K5="Complete")</formula>
    </cfRule>
  </conditionalFormatting>
  <conditionalFormatting sqref="L5:L72">
    <cfRule type="expression" dxfId="4" priority="15">
      <formula>L5="Locked prototype"</formula>
    </cfRule>
  </conditionalFormatting>
  <conditionalFormatting sqref="L5:L72">
    <cfRule type="expression" dxfId="11" priority="16">
      <formula>OR(L5="Built",L5="Reviewed",L5="Complete")</formula>
    </cfRule>
  </conditionalFormatting>
  <dataValidations>
    <dataValidation type="list" allowBlank="1" sqref="E5:L72">
      <formula1>"Not started,Planned,Designed,Built,HTML Built,Reviewed,Complete,Locked prototype"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48.0"/>
    <col customWidth="1" min="3" max="3" width="38.0"/>
    <col customWidth="1" min="4" max="4" width="72.0"/>
    <col customWidth="1" min="5" max="5" width="34.0"/>
    <col customWidth="1" min="6" max="6" width="58.0"/>
    <col customWidth="1" min="7" max="26" width="8.63"/>
  </cols>
  <sheetData>
    <row r="1">
      <c r="A1" s="2" t="s">
        <v>2304</v>
      </c>
    </row>
    <row r="2">
      <c r="A2" s="4" t="s">
        <v>2305</v>
      </c>
    </row>
    <row r="4">
      <c r="A4" s="40" t="s">
        <v>2306</v>
      </c>
      <c r="B4" s="41" t="s">
        <v>2307</v>
      </c>
      <c r="C4" s="41" t="s">
        <v>2308</v>
      </c>
      <c r="D4" s="41" t="s">
        <v>2309</v>
      </c>
      <c r="E4" s="41" t="s">
        <v>2310</v>
      </c>
      <c r="F4" s="42" t="s">
        <v>53</v>
      </c>
    </row>
    <row r="5" ht="72.0" customHeight="1">
      <c r="A5" s="30" t="s">
        <v>2311</v>
      </c>
      <c r="B5" s="31" t="s">
        <v>2312</v>
      </c>
      <c r="C5" s="31" t="s">
        <v>2313</v>
      </c>
      <c r="D5" s="31" t="s">
        <v>2314</v>
      </c>
      <c r="E5" s="31" t="s">
        <v>2315</v>
      </c>
      <c r="F5" s="32" t="s">
        <v>2316</v>
      </c>
    </row>
    <row r="6" ht="72.0" customHeight="1">
      <c r="A6" s="30" t="s">
        <v>2317</v>
      </c>
      <c r="B6" s="31" t="s">
        <v>2318</v>
      </c>
      <c r="C6" s="31" t="s">
        <v>2319</v>
      </c>
      <c r="D6" s="31" t="s">
        <v>2320</v>
      </c>
      <c r="E6" s="31" t="s">
        <v>2321</v>
      </c>
      <c r="F6" s="32" t="s">
        <v>2322</v>
      </c>
    </row>
    <row r="7" ht="72.0" customHeight="1">
      <c r="A7" s="30" t="s">
        <v>2323</v>
      </c>
      <c r="B7" s="31" t="s">
        <v>2324</v>
      </c>
      <c r="C7" s="31" t="s">
        <v>2325</v>
      </c>
      <c r="D7" s="31" t="s">
        <v>1630</v>
      </c>
      <c r="E7" s="31" t="s">
        <v>2326</v>
      </c>
      <c r="F7" s="32" t="s">
        <v>2327</v>
      </c>
    </row>
    <row r="8" ht="72.0" customHeight="1">
      <c r="A8" s="30" t="s">
        <v>1661</v>
      </c>
      <c r="B8" s="31" t="s">
        <v>2328</v>
      </c>
      <c r="C8" s="31" t="s">
        <v>2329</v>
      </c>
      <c r="D8" s="31" t="s">
        <v>1664</v>
      </c>
      <c r="E8" s="31" t="s">
        <v>2330</v>
      </c>
      <c r="F8" s="32" t="s">
        <v>2331</v>
      </c>
    </row>
    <row r="9" ht="72.0" customHeight="1">
      <c r="A9" s="30" t="s">
        <v>1633</v>
      </c>
      <c r="B9" s="31" t="s">
        <v>2332</v>
      </c>
      <c r="C9" s="31" t="s">
        <v>2333</v>
      </c>
      <c r="D9" s="31" t="s">
        <v>1636</v>
      </c>
      <c r="E9" s="31" t="s">
        <v>2334</v>
      </c>
      <c r="F9" s="32" t="s">
        <v>2335</v>
      </c>
    </row>
    <row r="10" ht="72.0" customHeight="1">
      <c r="A10" s="30" t="s">
        <v>2336</v>
      </c>
      <c r="B10" s="31" t="s">
        <v>2337</v>
      </c>
      <c r="C10" s="31" t="s">
        <v>2338</v>
      </c>
      <c r="D10" s="31" t="s">
        <v>2339</v>
      </c>
      <c r="E10" s="31" t="s">
        <v>2340</v>
      </c>
      <c r="F10" s="32" t="s">
        <v>2341</v>
      </c>
    </row>
    <row r="11" ht="72.0" customHeight="1">
      <c r="A11" s="30" t="s">
        <v>2342</v>
      </c>
      <c r="B11" s="31" t="s">
        <v>2343</v>
      </c>
      <c r="C11" s="31" t="s">
        <v>2344</v>
      </c>
      <c r="D11" s="31" t="s">
        <v>2345</v>
      </c>
      <c r="E11" s="31" t="s">
        <v>2346</v>
      </c>
      <c r="F11" s="32" t="s">
        <v>2347</v>
      </c>
    </row>
    <row r="12" ht="72.0" customHeight="1">
      <c r="A12" s="30" t="s">
        <v>2348</v>
      </c>
      <c r="B12" s="31" t="s">
        <v>2349</v>
      </c>
      <c r="C12" s="31" t="s">
        <v>2350</v>
      </c>
      <c r="D12" s="31" t="s">
        <v>2351</v>
      </c>
      <c r="E12" s="31" t="s">
        <v>2352</v>
      </c>
      <c r="F12" s="32" t="s">
        <v>2353</v>
      </c>
    </row>
    <row r="13" ht="72.0" customHeight="1">
      <c r="A13" s="30" t="s">
        <v>2354</v>
      </c>
      <c r="B13" s="31" t="s">
        <v>2355</v>
      </c>
      <c r="C13" s="31" t="s">
        <v>2356</v>
      </c>
      <c r="D13" s="31" t="s">
        <v>2357</v>
      </c>
      <c r="E13" s="31" t="s">
        <v>2358</v>
      </c>
      <c r="F13" s="32" t="s">
        <v>2359</v>
      </c>
    </row>
    <row r="14" ht="72.0" customHeight="1">
      <c r="A14" s="35" t="s">
        <v>2360</v>
      </c>
      <c r="B14" s="36" t="s">
        <v>2361</v>
      </c>
      <c r="C14" s="36" t="s">
        <v>2356</v>
      </c>
      <c r="D14" s="36" t="s">
        <v>2362</v>
      </c>
      <c r="E14" s="36" t="s">
        <v>2358</v>
      </c>
      <c r="F14" s="37" t="s">
        <v>2363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