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age Map" sheetId="1" state="visible" r:id="rId3"/>
    <sheet name="Lesson Coverage" sheetId="2" state="visible" r:id="rId4"/>
    <sheet name="Stepping Stones" sheetId="3" state="visible" r:id="rId5"/>
    <sheet name="Reconnection Routes" sheetId="4" state="visible" r:id="rId6"/>
    <sheet name="Header Audit" sheetId="5" state="visible" r:id="rId7"/>
    <sheet name="Evidence Register" sheetId="6" state="visible" r:id="rId8"/>
    <sheet name="Controlled List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<sst xmlns="http://schemas.openxmlformats.org/spreadsheetml/2006/main" count="1113" uniqueCount="559">
  <si>
    <t xml:space="preserve">NEO Mathematics Foundations Coverage Map v0.2</t>
  </si>
  <si>
    <t xml:space="preserve">Live GreenPrint register for Stepping Stones, Reconnection Routes, lesson status, evidence, learner-facing header compliance and the v1.4/v1.5/v1.6 QA gates.</t>
  </si>
  <si>
    <t xml:space="preserve">Coverage Summary</t>
  </si>
  <si>
    <t xml:space="preserve">Value</t>
  </si>
  <si>
    <t xml:space="preserve">GreenPrint Control</t>
  </si>
  <si>
    <t xml:space="preserve">Decision</t>
  </si>
  <si>
    <t xml:space="preserve">Open GreenPrint Items</t>
  </si>
  <si>
    <t xml:space="preserve">Status</t>
  </si>
  <si>
    <t xml:space="preserve">Mapped learner-facing lessons</t>
  </si>
  <si>
    <t xml:space="preserve">Controlling record</t>
  </si>
  <si>
    <t xml:space="preserve">GreenPrint v1.6 (consolidated 20 July 2026)</t>
  </si>
  <si>
    <t xml:space="preserve">71 — this map behind production</t>
  </si>
  <si>
    <t xml:space="preserve">Closed by v0.2</t>
  </si>
  <si>
    <t xml:space="preserve">Preview-ready lessons</t>
  </si>
  <si>
    <t xml:space="preserve">Pathway</t>
  </si>
  <si>
    <t xml:space="preserve">Foundations</t>
  </si>
  <si>
    <t xml:space="preserve">72 — Pythagoras v1.5 audit</t>
  </si>
  <si>
    <t xml:space="preserve">Open — 4 lessons</t>
  </si>
  <si>
    <t xml:space="preserve">Header actions required</t>
  </si>
  <si>
    <t xml:space="preserve">Annual rhythm</t>
  </si>
  <si>
    <t xml:space="preserve">3 x 45 minutes x 38 weeks = 114</t>
  </si>
  <si>
    <t xml:space="preserve">73 — header remediation</t>
  </si>
  <si>
    <t xml:space="preserve">Open — 3 environments</t>
  </si>
  <si>
    <t xml:space="preserve">Missing guidance sets</t>
  </si>
  <si>
    <t xml:space="preserve">Topic allocation</t>
  </si>
  <si>
    <t xml:space="preserve">Decided live, topic by topic</t>
  </si>
  <si>
    <t xml:space="preserve">74 — Pythagoras L1 guidance</t>
  </si>
  <si>
    <t xml:space="preserve">Open</t>
  </si>
  <si>
    <t xml:space="preserve">QA gate checks outstanding</t>
  </si>
  <si>
    <t xml:space="preserve">Internal tags</t>
  </si>
  <si>
    <t xml:space="preserve">Y7/Y9/KS3 codes may remain in internal filenames and metadata</t>
  </si>
  <si>
    <t xml:space="preserve">75 — worked-solution rule</t>
  </si>
  <si>
    <t xml:space="preserve">Reconnection Routes unbuilt</t>
  </si>
  <si>
    <t xml:space="preserve">Learner-facing levels</t>
  </si>
  <si>
    <t xml:space="preserve">Foundations / Intermediate / Advanced</t>
  </si>
  <si>
    <t xml:space="preserve">76 — REC-NUM-03/04, REC-GEO-01</t>
  </si>
  <si>
    <t xml:space="preserve">Open — option bank first</t>
  </si>
  <si>
    <t xml:space="preserve">Stepping Stones registered</t>
  </si>
  <si>
    <t xml:space="preserve">Scope note</t>
  </si>
  <si>
    <t xml:space="preserve">Straight-Line Graphs appears only in the header audit because it is Intermediate.</t>
  </si>
  <si>
    <t xml:space="preserve">80 — L01 Reconnection Routes</t>
  </si>
  <si>
    <t xml:space="preserve">Closed, verified 21 July</t>
  </si>
  <si>
    <t xml:space="preserve">Last reviewed</t>
  </si>
  <si>
    <t xml:space="preserve">2026-07-21</t>
  </si>
  <si>
    <t xml:space="preserve">Next review</t>
  </si>
  <si>
    <t xml:space="preserve">After item 73/74/75 remediation or new lesson production.</t>
  </si>
  <si>
    <t xml:space="preserve">81 — L03 machine framing</t>
  </si>
  <si>
    <t xml:space="preserve">How to use this workbook</t>
  </si>
  <si>
    <t xml:space="preserve">Lesson Coverage</t>
  </si>
  <si>
    <t xml:space="preserve">One row per learner-facing lesson environment. Columns R to T carry the v1.4, v1.5 and v1.6 QA gates.</t>
  </si>
  <si>
    <t xml:space="preserve">Stepping Stones</t>
  </si>
  <si>
    <t xml:space="preserve">Attach evidence to portable learner-facing outcomes. Rows FND-SS-APS-05 to 08 are provisional.</t>
  </si>
  <si>
    <t xml:space="preserve">Reconnection Routes</t>
  </si>
  <si>
    <t xml:space="preserve">Use a short route, then return to the live need. Three routes remain unbuilt.</t>
  </si>
  <si>
    <t xml:space="preserve">Header Audit</t>
  </si>
  <si>
    <t xml:space="preserve">Remove chronological and key-stage labels from learner-visible headers.</t>
  </si>
  <si>
    <t xml:space="preserve">Evidence Register</t>
  </si>
  <si>
    <t xml:space="preserve">Record the artefact and the claim it supports. Evidence is not a mastery claim.</t>
  </si>
  <si>
    <t xml:space="preserve">Controlled Lists</t>
  </si>
  <si>
    <t xml:space="preserve">Use these values so status language stays consistent. Version log at the foot.</t>
  </si>
  <si>
    <t xml:space="preserve">Cream shading</t>
  </si>
  <si>
    <t xml:space="preserve">Row is new or changed at v0.2.</t>
  </si>
  <si>
    <t xml:space="preserve">Pink shading</t>
  </si>
  <si>
    <t xml:space="preserve">Outstanding action, missing artefact or unverified QA gate.</t>
  </si>
  <si>
    <t xml:space="preserve">Foundations Lesson Coverage</t>
  </si>
  <si>
    <t xml:space="preserve">One row per current learner-facing lesson environment. Status is evidence-based and intentionally provisional. Rows shaded cream are new or changed at v0.2. Cells shaded pink mark an outstanding action or an unverified QA gate.</t>
  </si>
  <si>
    <t xml:space="preserve">Coverage ID</t>
  </si>
  <si>
    <t xml:space="preserve">Internal Stage Tag</t>
  </si>
  <si>
    <t xml:space="preserve">Unit</t>
  </si>
  <si>
    <t xml:space="preserve">Lesson Sequence</t>
  </si>
  <si>
    <t xml:space="preserve">Lesson Title</t>
  </si>
  <si>
    <t xml:space="preserve">Lesson Type</t>
  </si>
  <si>
    <t xml:space="preserve">Prerequisite Check</t>
  </si>
  <si>
    <t xml:space="preserve">Reconnection Route</t>
  </si>
  <si>
    <t xml:space="preserve">Lesson Status</t>
  </si>
  <si>
    <t xml:space="preserve">Practice Companion</t>
  </si>
  <si>
    <t xml:space="preserve">Scratchpad</t>
  </si>
  <si>
    <t xml:space="preserve">Learner Guidance</t>
  </si>
  <si>
    <t xml:space="preserve">Supporting Adult Guidance</t>
  </si>
  <si>
    <t xml:space="preserve">Worked-Solution Release</t>
  </si>
  <si>
    <t xml:space="preserve">Place-Value Language (v1.4)</t>
  </si>
  <si>
    <t xml:space="preserve">Reasoning-First (v1.5)</t>
  </si>
  <si>
    <t xml:space="preserve">Nutrition Presence (v1.6)</t>
  </si>
  <si>
    <t xml:space="preserve">Evidence Claim</t>
  </si>
  <si>
    <t xml:space="preserve">Evidence Location</t>
  </si>
  <si>
    <t xml:space="preserve">Next Action</t>
  </si>
  <si>
    <t xml:space="preserve">Owner</t>
  </si>
  <si>
    <t xml:space="preserve">Last Reviewed</t>
  </si>
  <si>
    <t xml:space="preserve">FND-PV-01</t>
  </si>
  <si>
    <t xml:space="preserve">Y7 Reconnection</t>
  </si>
  <si>
    <t xml:space="preserve">Place Value</t>
  </si>
  <si>
    <t xml:space="preserve">How Much Is a Digit Worth?</t>
  </si>
  <si>
    <t xml:space="preserve">Reconnection / Prototype</t>
  </si>
  <si>
    <t xml:space="preserve">digit value; factors of ten; placeholder zero; compare integers and decimals</t>
  </si>
  <si>
    <t xml:space="preserve">place-value confidence and magnitude</t>
  </si>
  <si>
    <t xml:space="preserve">REC-NUM-01</t>
  </si>
  <si>
    <t xml:space="preserve">Prototype — header update required</t>
  </si>
  <si>
    <t xml:space="preserve">Present</t>
  </si>
  <si>
    <t xml:space="preserve">Present — header action</t>
  </si>
  <si>
    <t xml:space="preserve">Partial safeguard — two attempts; prompt/hint sequence not enforced</t>
  </si>
  <si>
    <t xml:space="preserve">Action required</t>
  </si>
  <si>
    <t xml:space="preserve">Not yet checked</t>
  </si>
  <si>
    <t xml:space="preserve">Interactive lesson, Practice Companion, Scratchpad and two guidance PDFs exist</t>
  </si>
  <si>
    <t xml:space="preserve">Project artifacts: Place Value migrated v0.6 and guidance v0.6</t>
  </si>
  <si>
    <t xml:space="preserve">Item 73: remove learner-visible Year 7 labels. Item 75: align worked-solution release rule. Then audit against v1.4, v1.5 and v1.6.</t>
  </si>
  <si>
    <t xml:space="preserve">FND-RP-01</t>
  </si>
  <si>
    <t xml:space="preserve">KS3 internal reference</t>
  </si>
  <si>
    <t xml:space="preserve">Ratio and Proportion</t>
  </si>
  <si>
    <t xml:space="preserve">Locked reference prototype</t>
  </si>
  <si>
    <t xml:space="preserve">ratio language; connected quantities; scale factor; ratio tables; equivalent ratios</t>
  </si>
  <si>
    <t xml:space="preserve">multiplicative reasoning and FDP links</t>
  </si>
  <si>
    <t xml:space="preserve">Core Foundations route</t>
  </si>
  <si>
    <t xml:space="preserve">Locked reference — header update required</t>
  </si>
  <si>
    <t xml:space="preserve">Non-compliant — unlocks after one attempt</t>
  </si>
  <si>
    <t xml:space="preserve">Reference environment and two guidance PDFs exist</t>
  </si>
  <si>
    <t xml:space="preserve">Project artifacts: Ratio &amp; Proportion Interactive v5 and guidance</t>
  </si>
  <si>
    <t xml:space="preserve">Item 73: replace learner-visible KS3 label. Item 75: update worked-solution release rule. Then audit against v1.4, v1.5 and v1.6.</t>
  </si>
  <si>
    <t xml:space="preserve">FND-PY-01</t>
  </si>
  <si>
    <t xml:space="preserve">Y9 Bridge</t>
  </si>
  <si>
    <t xml:space="preserve">Pythagoras</t>
  </si>
  <si>
    <t xml:space="preserve">Right Triangles and Hidden Squares</t>
  </si>
  <si>
    <t xml:space="preserve">Core</t>
  </si>
  <si>
    <t xml:space="preserve">identify right triangles; identify hypotenuse; explain square-area relationship</t>
  </si>
  <si>
    <t xml:space="preserve">right angles; square numbers; area of a square</t>
  </si>
  <si>
    <t xml:space="preserve">REC-GEO-01 / REC-NUM-04 / REC-GEO-02</t>
  </si>
  <si>
    <t xml:space="preserve">Preview-ready — guidance gap</t>
  </si>
  <si>
    <t xml:space="preserve">Missing</t>
  </si>
  <si>
    <t xml:space="preserve">Compliant</t>
  </si>
  <si>
    <t xml:space="preserve">Pass</t>
  </si>
  <si>
    <t xml:space="preserve">Current lesson HTML verified; worked-solution safeguard patched</t>
  </si>
  <si>
    <t xml:space="preserve">https://drive.google.com/drive/folders/1eMQrRKHCjVrWm7ua5nbEWEpTsM099Dzo</t>
  </si>
  <si>
    <t xml:space="preserve">Item 74: create age-neutral Learner and Supporting Adult Guidance. Item 72: audit against v1.5.</t>
  </si>
  <si>
    <t xml:space="preserve">FND-PY-02</t>
  </si>
  <si>
    <t xml:space="preserve">Finding the Hypotenuse</t>
  </si>
  <si>
    <t xml:space="preserve">identify hypotenuse; build equation; square, add and root; reasonableness</t>
  </si>
  <si>
    <t xml:space="preserve">square/root fluency; calculator input</t>
  </si>
  <si>
    <t xml:space="preserve">REC-NUM-04</t>
  </si>
  <si>
    <t xml:space="preserve">Preview-ready</t>
  </si>
  <si>
    <t xml:space="preserve">Current lesson and both guidance PDFs verified</t>
  </si>
  <si>
    <t xml:space="preserve">Item 72: audit against v1.5. Gather learner evidence when piloted.</t>
  </si>
  <si>
    <t xml:space="preserve">FND-PY-03</t>
  </si>
  <si>
    <t xml:space="preserve">Finding a Shorter Side</t>
  </si>
  <si>
    <t xml:space="preserve">Core / Misconception repair</t>
  </si>
  <si>
    <t xml:space="preserve">identify hypotenuse; choose subtraction; calculate shorter side; check reasonableness</t>
  </si>
  <si>
    <t xml:space="preserve">inverse operations; square/root fluency</t>
  </si>
  <si>
    <t xml:space="preserve">REC-NUM-03 / REC-NUM-04</t>
  </si>
  <si>
    <t xml:space="preserve">FND-PY-04</t>
  </si>
  <si>
    <t xml:space="preserve">Using Pythagoras to Solve Geometrical Problems</t>
  </si>
  <si>
    <t xml:space="preserve">Core / Application</t>
  </si>
  <si>
    <t xml:space="preserve">find hidden right triangle; select lengths; solve; interpret and check</t>
  </si>
  <si>
    <t xml:space="preserve">shape properties; diagram literacy; units</t>
  </si>
  <si>
    <t xml:space="preserve">REC-GEO-01 / REC-GEO-02</t>
  </si>
  <si>
    <t xml:space="preserve">Current lesson and both updated age-neutral guidance PDFs verified</t>
  </si>
  <si>
    <t xml:space="preserve">FND-APS-01</t>
  </si>
  <si>
    <t xml:space="preserve">Y9 internal</t>
  </si>
  <si>
    <t xml:space="preserve">Accuracy, Powers and Scale</t>
  </si>
  <si>
    <t xml:space="preserve">Which Digits Matter? (Rounding to Significant Figures)</t>
  </si>
  <si>
    <t xml:space="preserve">Core / Conceptual — reference shell</t>
  </si>
  <si>
    <t xml:space="preserve">round to significant figures</t>
  </si>
  <si>
    <t xml:space="preserve">place value; powers of ten; magnitude</t>
  </si>
  <si>
    <t xml:space="preserve">Compliant — prompt + hint + two non-empty checked attempts per question</t>
  </si>
  <si>
    <t xml:space="preserve">Compliant — Mode B</t>
  </si>
  <si>
    <t xml:space="preserve">v0.3 rebuild verified 21 July 2026: Reconnection Routes control now present (3 references in source). Closes item 80.</t>
  </si>
  <si>
    <t xml:space="preserve">99_Working/NEO Maths Outputs/Lesson_01_Rounding_to_Significant_Figures_v0.3.html</t>
  </si>
  <si>
    <t xml:space="preserve">File v0.3 to the lesson package folder and refresh the live preview. Pilot with learners.</t>
  </si>
  <si>
    <t xml:space="preserve">FND-APS-02</t>
  </si>
  <si>
    <t xml:space="preserve">Estimation</t>
  </si>
  <si>
    <t xml:space="preserve">Core / Reasonableness — reference shell</t>
  </si>
  <si>
    <t xml:space="preserve">estimate calculations; use rounded values; judge reasonableness</t>
  </si>
  <si>
    <t xml:space="preserve">place value; rounding to significant figures; magnitude; four operations</t>
  </si>
  <si>
    <t xml:space="preserve">REC-NUM-01 / embedded rounding, magnitude and operations routes</t>
  </si>
  <si>
    <t xml:space="preserve">Reference lesson shell (the accepted design contract). All six Cornerstones; Reconnection Routes control restored.</t>
  </si>
  <si>
    <t xml:space="preserve">https://drive.google.com/drive/folders/1eKJMhw0KpHHPpnS-Pi1lPMl7hkaGDFou</t>
  </si>
  <si>
    <t xml:space="preserve">Confirm Nutrition panel against the v1.6 presence standard. Pilot with learners.</t>
  </si>
  <si>
    <t xml:space="preserve">FND-APS-03</t>
  </si>
  <si>
    <t xml:space="preserve">Using Index Laws</t>
  </si>
  <si>
    <t xml:space="preserve">Core / Pattern reasoning — reference shell</t>
  </si>
  <si>
    <t xml:space="preserve">use multiplication, division and power-of-a-power index laws; explain the zero-index pattern</t>
  </si>
  <si>
    <t xml:space="preserve">multiplication; powers as repeated multiplication; base and exponent language; operation symbols</t>
  </si>
  <si>
    <t xml:space="preserve">REC-NUM-02 / embedded multiplication, powers, language and operation routes</t>
  </si>
  <si>
    <t xml:space="preserve">v0.2 rebuild verified 21 July 2026: Exponent Pattern Machine removed; no occurrence of machine or engine in source; Movement panel rebuilt as a four-stage counted chain of working. Closes item 81.</t>
  </si>
  <si>
    <t xml:space="preserve">99_Working/NEO Maths Outputs/Lesson_03_Using_Index_Laws_v0.2.html</t>
  </si>
  <si>
    <t xml:space="preserve">File v0.2 to the lesson package folder and refresh the live preview. Pilot with learners.</t>
  </si>
  <si>
    <t xml:space="preserve">FND-APS-04</t>
  </si>
  <si>
    <t xml:space="preserve">Write and Order Standard Form</t>
  </si>
  <si>
    <t xml:space="preserve">Core / Notation and magnitude — reference shell</t>
  </si>
  <si>
    <t xml:space="preserve">write numbers in standard form; convert between ordinary and standard form; order numbers written in standard form</t>
  </si>
  <si>
    <t xml:space="preserve">place value; powers of ten; magnitude comparison</t>
  </si>
  <si>
    <t xml:space="preserve">REC-NUM-01 / REC-NUM-02</t>
  </si>
  <si>
    <t xml:space="preserve">Compliant — v1.4 validation example</t>
  </si>
  <si>
    <t xml:space="preserve">Complete package on Drive: lesson v0.3 plus Learner and Supporting Adult Guidance. Named in GreenPrint §31 as the v1.4 place-value language validation example.</t>
  </si>
  <si>
    <t xml:space="preserve">https://drive.google.com/drive/folders/1yHegzStkTFHHoX8oW5D7ftgCdeYR1bOE</t>
  </si>
  <si>
    <t xml:space="preserve">Built 18 July, before v1.5 was locked on 19 July — audit against the reasoning-first gate. Confirm Nutrition mode. Stepping Stones below are provisional pending confirmation.</t>
  </si>
  <si>
    <t xml:space="preserve">FND-APS-05</t>
  </si>
  <si>
    <t xml:space="preserve">Calculating with Standard Form</t>
  </si>
  <si>
    <t xml:space="preserve">Core / Structural reasoning — reference shell</t>
  </si>
  <si>
    <t xml:space="preserve">multiply and divide numbers in standard form; write a chain of equalities with a reason for each line; check a final line against the definition</t>
  </si>
  <si>
    <t xml:space="preserve">index laws; standard form notation; the definition 1 &lt;= a &lt; 10</t>
  </si>
  <si>
    <t xml:space="preserve">REC-NUM-02</t>
  </si>
  <si>
    <t xml:space="preserve">Compliant — v1.5 reference implementation</t>
  </si>
  <si>
    <t xml:space="preserve">v0.4 accepted 20 July 2026. Named in GreenPrint §31 as the reference implementation of reasoning-first design and structural explanation.</t>
  </si>
  <si>
    <t xml:space="preserve">https://drive.google.com/drive/folders/1VbgrWRLFU8tInPXZDkypfO2o7bHvtjPa</t>
  </si>
  <si>
    <t xml:space="preserve">Confirm Nutrition panel against the v1.6 presence standard. Pilot with learners. Stepping Stones below are provisional pending confirmation.</t>
  </si>
  <si>
    <t xml:space="preserve">Foundations Stepping Stones</t>
  </si>
  <si>
    <t xml:space="preserve">Portable learner-facing outcomes linked to current lesson evidence and the next useful connection. The eight Accuracy, Powers and Scale rows are new at v0.2 — this unit had no Stepping Stones registered at v0.1. Rows FND-SS-APS-05 to 08 are derived from lesson content and are provisional pending confirmation by the curriculum lead.</t>
  </si>
  <si>
    <t xml:space="preserve">Stepping Stone ID</t>
  </si>
  <si>
    <t xml:space="preserve">Lesson / Route</t>
  </si>
  <si>
    <t xml:space="preserve">Learner-Facing Outcome</t>
  </si>
  <si>
    <t xml:space="preserve">Prerequisite Connection</t>
  </si>
  <si>
    <t xml:space="preserve">Suggested Evidence</t>
  </si>
  <si>
    <t xml:space="preserve">Evidence Status</t>
  </si>
  <si>
    <t xml:space="preserve">Next Connection</t>
  </si>
  <si>
    <t xml:space="preserve">FND-SS-PV-01</t>
  </si>
  <si>
    <t xml:space="preserve">Identify the value of a digit in integers and decimals</t>
  </si>
  <si>
    <t xml:space="preserve">counting and magnitude</t>
  </si>
  <si>
    <t xml:space="preserve">annotated place-value chart or explanation</t>
  </si>
  <si>
    <t xml:space="preserve">Artifact available</t>
  </si>
  <si>
    <t xml:space="preserve">Place Value lesson v0.6</t>
  </si>
  <si>
    <t xml:space="preserve">factors of ten</t>
  </si>
  <si>
    <t xml:space="preserve">2026-07-16</t>
  </si>
  <si>
    <t xml:space="preserve">FND-SS-PV-02</t>
  </si>
  <si>
    <t xml:space="preserve">Explain the factor-of-ten relationship between neighbouring columns</t>
  </si>
  <si>
    <t xml:space="preserve">digit value</t>
  </si>
  <si>
    <t xml:space="preserve">Scratchpad model and verbal explanation</t>
  </si>
  <si>
    <t xml:space="preserve">powers of ten and standard form</t>
  </si>
  <si>
    <t xml:space="preserve">FND-SS-PV-03</t>
  </si>
  <si>
    <t xml:space="preserve">Explain why placeholder zeros matter</t>
  </si>
  <si>
    <t xml:space="preserve">corrected misconception or example/non-example</t>
  </si>
  <si>
    <t xml:space="preserve">decimal operations</t>
  </si>
  <si>
    <t xml:space="preserve">FND-SS-RP-01</t>
  </si>
  <si>
    <t xml:space="preserve">Use ratio language and notation to describe connected quantities</t>
  </si>
  <si>
    <t xml:space="preserve">multiplication and division</t>
  </si>
  <si>
    <t xml:space="preserve">ratio table or annotated model</t>
  </si>
  <si>
    <t xml:space="preserve">Reference artifact</t>
  </si>
  <si>
    <t xml:space="preserve">Ratio Interactive v5</t>
  </si>
  <si>
    <t xml:space="preserve">equivalent ratios</t>
  </si>
  <si>
    <t xml:space="preserve">FND-SS-RP-02</t>
  </si>
  <si>
    <t xml:space="preserve">Use a scale factor multiplicatively</t>
  </si>
  <si>
    <t xml:space="preserve">times tables; division</t>
  </si>
  <si>
    <t xml:space="preserve">scaled recipe/table and explanation</t>
  </si>
  <si>
    <t xml:space="preserve">unit rates and direct proportion</t>
  </si>
  <si>
    <t xml:space="preserve">FND-SS-RP-03</t>
  </si>
  <si>
    <t xml:space="preserve">Explain why equivalent ratios preserve a relationship</t>
  </si>
  <si>
    <t xml:space="preserve">scale factors</t>
  </si>
  <si>
    <t xml:space="preserve">comparison of two equivalent tables</t>
  </si>
  <si>
    <t xml:space="preserve">similarity and proportion</t>
  </si>
  <si>
    <t xml:space="preserve">FND-SS-PY-01</t>
  </si>
  <si>
    <t xml:space="preserve">Identify a right-angled triangle and its hypotenuse</t>
  </si>
  <si>
    <t xml:space="preserve">right angles</t>
  </si>
  <si>
    <t xml:space="preserve">REC-GEO-01</t>
  </si>
  <si>
    <t xml:space="preserve">annotated triangle with reason</t>
  </si>
  <si>
    <t xml:space="preserve">Current lesson evidence</t>
  </si>
  <si>
    <t xml:space="preserve">Pythagoras Lesson 1</t>
  </si>
  <si>
    <t xml:space="preserve">square-area relationship</t>
  </si>
  <si>
    <t xml:space="preserve">FND-SS-PY-02</t>
  </si>
  <si>
    <t xml:space="preserve">Explain the theorem as a relationship between three square areas</t>
  </si>
  <si>
    <t xml:space="preserve">square numbers; area</t>
  </si>
  <si>
    <t xml:space="preserve">REC-NUM-04 / REC-GEO-02</t>
  </si>
  <si>
    <t xml:space="preserve">Scratchpad conjecture or area model</t>
  </si>
  <si>
    <t xml:space="preserve">symbolic equation</t>
  </si>
  <si>
    <t xml:space="preserve">FND-SS-PY-03</t>
  </si>
  <si>
    <t xml:space="preserve">Find a hypotenuse using square, add and square root</t>
  </si>
  <si>
    <t xml:space="preserve">roots; calculator input</t>
  </si>
  <si>
    <t xml:space="preserve">worked solution with reasonableness check</t>
  </si>
  <si>
    <t xml:space="preserve">Pythagoras Lesson 2</t>
  </si>
  <si>
    <t xml:space="preserve">shorter-side problems</t>
  </si>
  <si>
    <t xml:space="preserve">FND-SS-PY-04</t>
  </si>
  <si>
    <t xml:space="preserve">Find a shorter side and explain why subtraction is required</t>
  </si>
  <si>
    <t xml:space="preserve">inverse operations</t>
  </si>
  <si>
    <t xml:space="preserve">REC-NUM-03</t>
  </si>
  <si>
    <t xml:space="preserve">misconception-repair explanation</t>
  </si>
  <si>
    <t xml:space="preserve">Pythagoras Lesson 3</t>
  </si>
  <si>
    <t xml:space="preserve">method selection</t>
  </si>
  <si>
    <t xml:space="preserve">FND-SS-PY-05</t>
  </si>
  <si>
    <t xml:space="preserve">Reveal a useful right triangle inside a larger geometrical situation</t>
  </si>
  <si>
    <t xml:space="preserve">shape properties; diagram literacy</t>
  </si>
  <si>
    <t xml:space="preserve">annotated diagram and selected lengths</t>
  </si>
  <si>
    <t xml:space="preserve">Pythagoras Lesson 4</t>
  </si>
  <si>
    <t xml:space="preserve">multi-step geometry and 3D links</t>
  </si>
  <si>
    <t xml:space="preserve">FND-SS-PY-06</t>
  </si>
  <si>
    <t xml:space="preserve">Interpret a calculated length with units and a reasonableness check</t>
  </si>
  <si>
    <t xml:space="preserve">measurement and rounding</t>
  </si>
  <si>
    <t xml:space="preserve">contextual solution and decision statement</t>
  </si>
  <si>
    <t xml:space="preserve">indirect measurement modelling</t>
  </si>
  <si>
    <t xml:space="preserve">FND-SS-APS-01</t>
  </si>
  <si>
    <t xml:space="preserve">Round a number to a given number of significant figures and say which digits carried the decision</t>
  </si>
  <si>
    <t xml:space="preserve">place value; powers of ten</t>
  </si>
  <si>
    <t xml:space="preserve">annotated rounding with the retained digits identified</t>
  </si>
  <si>
    <t xml:space="preserve">Lesson 01 v0.3</t>
  </si>
  <si>
    <t xml:space="preserve">estimation and reasonableness</t>
  </si>
  <si>
    <t xml:space="preserve">FND-SS-APS-02</t>
  </si>
  <si>
    <t xml:space="preserve">Estimate a calculation using rounded values and judge whether an answer is reasonable</t>
  </si>
  <si>
    <t xml:space="preserve">rounding to significant figures; four operations</t>
  </si>
  <si>
    <t xml:space="preserve">estimate with a stated reason and a reasonableness verdict</t>
  </si>
  <si>
    <t xml:space="preserve">Lesson 02</t>
  </si>
  <si>
    <t xml:space="preserve">index laws</t>
  </si>
  <si>
    <t xml:space="preserve">FND-SS-APS-03</t>
  </si>
  <si>
    <t xml:space="preserve">Use the multiplication, division and power-of-a-power index laws, justified by counting repeated factors</t>
  </si>
  <si>
    <t xml:space="preserve">multiplication; powers as repeated multiplication</t>
  </si>
  <si>
    <t xml:space="preserve">chain of working with a reason on every line</t>
  </si>
  <si>
    <t xml:space="preserve">Lesson 03 v0.2</t>
  </si>
  <si>
    <t xml:space="preserve">zero index and standard form</t>
  </si>
  <si>
    <t xml:space="preserve">FND-SS-APS-04</t>
  </si>
  <si>
    <t xml:space="preserve">Explain why any non-zero number raised to the power zero equals one</t>
  </si>
  <si>
    <t xml:space="preserve">division of powers; cancelling factors</t>
  </si>
  <si>
    <t xml:space="preserve">explanation from cancelled factors, not an asserted rule</t>
  </si>
  <si>
    <t xml:space="preserve">standard form notation</t>
  </si>
  <si>
    <t xml:space="preserve">FND-SS-APS-05</t>
  </si>
  <si>
    <t xml:space="preserve">Write a number in standard form and convert back to ordinary form</t>
  </si>
  <si>
    <t xml:space="preserve">conversion pair with the digits-slide reason stated</t>
  </si>
  <si>
    <t xml:space="preserve">Lesson 04 v0.3</t>
  </si>
  <si>
    <t xml:space="preserve">ordering by magnitude</t>
  </si>
  <si>
    <t xml:space="preserve">FND-SS-APS-06</t>
  </si>
  <si>
    <t xml:space="preserve">Order numbers written in standard form by comparing exponent then coefficient</t>
  </si>
  <si>
    <t xml:space="preserve">magnitude comparison</t>
  </si>
  <si>
    <t xml:space="preserve">ordered list with the comparison rule stated</t>
  </si>
  <si>
    <t xml:space="preserve">calculating in standard form</t>
  </si>
  <si>
    <t xml:space="preserve">FND-SS-APS-07</t>
  </si>
  <si>
    <t xml:space="preserve">Multiply and divide numbers in standard form, writing a chain of equalities with a reason for each line</t>
  </si>
  <si>
    <t xml:space="preserve">index laws; standard form notation</t>
  </si>
  <si>
    <t xml:space="preserve">handwritten chain of working with reasons</t>
  </si>
  <si>
    <t xml:space="preserve">Lesson 05 v0.4</t>
  </si>
  <si>
    <t xml:space="preserve">negative and fractional indices</t>
  </si>
  <si>
    <t xml:space="preserve">FND-SS-APS-08</t>
  </si>
  <si>
    <t xml:space="preserve">Check a final line against the definition 1 &lt;= a &lt; 10 and finish the working where it does not hold</t>
  </si>
  <si>
    <t xml:space="preserve">factorisation; index laws</t>
  </si>
  <si>
    <t xml:space="preserve">corrected final line presented as finishing the working</t>
  </si>
  <si>
    <t xml:space="preserve">applied and scientific contexts</t>
  </si>
  <si>
    <t xml:space="preserve">Foundations Reconnection Routes</t>
  </si>
  <si>
    <t xml:space="preserve">A Reconnection Route is short, specific and followed by a visible return to the active lesson. REC-NUM-03, REC-NUM-04 and REC-GEO-01 remain unbuilt and require a Stage 2 option bank before build (GreenPrint item 76). REC-NUM-02 is new at v0.2.</t>
  </si>
  <si>
    <t xml:space="preserve">Route ID</t>
  </si>
  <si>
    <t xml:space="preserve">Internal Stage</t>
  </si>
  <si>
    <t xml:space="preserve">Trigger / Signal</t>
  </si>
  <si>
    <t xml:space="preserve">Reconnection Focus</t>
  </si>
  <si>
    <t xml:space="preserve">Return Point</t>
  </si>
  <si>
    <t xml:space="preserve">Minimum Return Evidence</t>
  </si>
  <si>
    <t xml:space="preserve">Current Status</t>
  </si>
  <si>
    <t xml:space="preserve">Y7/Y9 bridge</t>
  </si>
  <si>
    <t xml:space="preserve">Place value or magnitude blocks reasonableness</t>
  </si>
  <si>
    <t xml:space="preserve">Place value and magnitude</t>
  </si>
  <si>
    <t xml:space="preserve">Pythagoras reasonableness / wider Number work</t>
  </si>
  <si>
    <t xml:space="preserve">Explains digit magnitude sufficiently to continue</t>
  </si>
  <si>
    <t xml:space="preserve">Prototype available — header action</t>
  </si>
  <si>
    <t xml:space="preserve">Place Value migrated v0.6</t>
  </si>
  <si>
    <t xml:space="preserve">Items 73 and 75: remove visible Year 7 labels; align worked-solution release rule</t>
  </si>
  <si>
    <t xml:space="preserve">Powers, base/exponent language or repeated multiplication blocks index-law work</t>
  </si>
  <si>
    <t xml:space="preserve">Powers and repeated multiplication</t>
  </si>
  <si>
    <t xml:space="preserve">Accuracy, Powers and Scale Lessons 03-05</t>
  </si>
  <si>
    <t xml:space="preserve">Expands a power into repeated factors and names base and exponent</t>
  </si>
  <si>
    <t xml:space="preserve">Embedded in Lessons 03-05</t>
  </si>
  <si>
    <t xml:space="preserve">Lesson 03 v0.2, Lesson 04 v0.3, Lesson 05 v0.4</t>
  </si>
  <si>
    <t xml:space="preserve">Confirm whether a standalone route is needed or the embedded routes suffice</t>
  </si>
  <si>
    <t xml:space="preserve">Inverse-operation reasoning blocks a shorter-side calculation</t>
  </si>
  <si>
    <t xml:space="preserve">Operations and inverse checking</t>
  </si>
  <si>
    <t xml:space="preserve">Explains why subtraction reverses the square-area sum</t>
  </si>
  <si>
    <t xml:space="preserve">Mapped / not yet built</t>
  </si>
  <si>
    <t xml:space="preserve">Blueprint and architecture maps</t>
  </si>
  <si>
    <t xml:space="preserve">Item 76: Stage 2 option bank required before build</t>
  </si>
  <si>
    <t xml:space="preserve">Y8/Y9 bridge</t>
  </si>
  <si>
    <t xml:space="preserve">Square numbers or roots are not usable enough for Pythagoras</t>
  </si>
  <si>
    <t xml:space="preserve">Squares, roots and number structure</t>
  </si>
  <si>
    <t xml:space="preserve">Pythagoras Lessons 1-3</t>
  </si>
  <si>
    <t xml:space="preserve">Recognises common squares and finds or estimates a root</t>
  </si>
  <si>
    <t xml:space="preserve">Right angles or triangle recognition are fragile</t>
  </si>
  <si>
    <t xml:space="preserve">Angles and right triangles</t>
  </si>
  <si>
    <t xml:space="preserve">Pythagoras Lessons 1 and 4</t>
  </si>
  <si>
    <t xml:space="preserve">Identifies a right angle and a right triangle</t>
  </si>
  <si>
    <t xml:space="preserve">REC-GEO-02</t>
  </si>
  <si>
    <t xml:space="preserve">Area of a square or hidden-shape decomposition is insecure</t>
  </si>
  <si>
    <t xml:space="preserve">Square areas and shape decomposition</t>
  </si>
  <si>
    <t xml:space="preserve">Builds or highlights the relevant square/triangle structure</t>
  </si>
  <si>
    <t xml:space="preserve">Partly evidenced</t>
  </si>
  <si>
    <t xml:space="preserve">Separate reconnection preset may still be needed</t>
  </si>
  <si>
    <t xml:space="preserve">Learner-Facing Header Audit</t>
  </si>
  <si>
    <t xml:space="preserve">Internal filename and stage tags may remain. Learner-visible titles, headers and guide covers must use age-neutral pathway language. HDR-017 to HDR-022 are new at v0.2, covering the Lesson 01 and 03 rebuilds and the Lesson 04 and 05 packages.</t>
  </si>
  <si>
    <t xml:space="preserve">Audit ID</t>
  </si>
  <si>
    <t xml:space="preserve">Artifact Type</t>
  </si>
  <si>
    <t xml:space="preserve">Unit / Lesson</t>
  </si>
  <si>
    <t xml:space="preserve">Artifact / Version</t>
  </si>
  <si>
    <t xml:space="preserve">Internal Tag Present</t>
  </si>
  <si>
    <t xml:space="preserve">Visible Label Found</t>
  </si>
  <si>
    <t xml:space="preserve">Audit Result</t>
  </si>
  <si>
    <t xml:space="preserve">Required Action</t>
  </si>
  <si>
    <t xml:space="preserve">Scope Note</t>
  </si>
  <si>
    <t xml:space="preserve">HDR-001</t>
  </si>
  <si>
    <t xml:space="preserve">Interactive Lesson</t>
  </si>
  <si>
    <t xml:space="preserve">Interactive v5</t>
  </si>
  <si>
    <t xml:space="preserve">KS3 in filename</t>
  </si>
  <si>
    <t xml:space="preserve">KS3 in browser title and H1</t>
  </si>
  <si>
    <t xml:space="preserve">Item 73: replace learner-visible KS3 with Foundations</t>
  </si>
  <si>
    <t xml:space="preserve">Project artifact: NEO_Maths_KS3_Ratio_Proportion_Interactive_v5.html</t>
  </si>
  <si>
    <t xml:space="preserve">Internal filename tag may remain</t>
  </si>
  <si>
    <t xml:space="preserve">HDR-002</t>
  </si>
  <si>
    <t xml:space="preserve">Learner Guide</t>
  </si>
  <si>
    <t xml:space="preserve">No</t>
  </si>
  <si>
    <t xml:space="preserve">None</t>
  </si>
  <si>
    <t xml:space="preserve">Project artifact: NEO_Maths_Ratio_Proportion_Learner_Guide.pdf</t>
  </si>
  <si>
    <t xml:space="preserve">Cover is age-neutral</t>
  </si>
  <si>
    <t xml:space="preserve">HDR-003</t>
  </si>
  <si>
    <t xml:space="preserve">Lesson Guidance</t>
  </si>
  <si>
    <t xml:space="preserve">Project artifact: NEO_Maths_Ratio_Proportion_Lesson_Guidance.pdf</t>
  </si>
  <si>
    <t xml:space="preserve">HDR-004</t>
  </si>
  <si>
    <t xml:space="preserve">Intermediate</t>
  </si>
  <si>
    <t xml:space="preserve">Straight-Line Graphs</t>
  </si>
  <si>
    <t xml:space="preserve">KS4 in filename</t>
  </si>
  <si>
    <t xml:space="preserve">KS4 in browser title and H1</t>
  </si>
  <si>
    <t xml:space="preserve">Item 73: replace learner-visible KS4 with Intermediate</t>
  </si>
  <si>
    <t xml:space="preserve">Project artifact: NEO_Maths_KS4_Straight_Line_Graphs_Interactive_v5.html</t>
  </si>
  <si>
    <t xml:space="preserve">Included because this is a locked reference exemplar</t>
  </si>
  <si>
    <t xml:space="preserve">HDR-005</t>
  </si>
  <si>
    <t xml:space="preserve">Project artifact: NEO_Maths_Straight_Line_Graphs_Learner_Guide.pdf</t>
  </si>
  <si>
    <t xml:space="preserve">HDR-006</t>
  </si>
  <si>
    <t xml:space="preserve">Project artifact: NEO_Maths_Straight_Line_Graphs_Lesson_Guidance.pdf</t>
  </si>
  <si>
    <t xml:space="preserve">HDR-007</t>
  </si>
  <si>
    <t xml:space="preserve">Migrated v0.6</t>
  </si>
  <si>
    <t xml:space="preserve">Y7 in filename</t>
  </si>
  <si>
    <t xml:space="preserve">Year 7 / Year 7 Autumn 1 in title, H1, overview, task and Practice header</t>
  </si>
  <si>
    <t xml:space="preserve">Item 73: replace learner-visible Year 7 labels with Foundations; retain stage internally</t>
  </si>
  <si>
    <t xml:space="preserve">Project artifact: NEO_Maths_Y7_Place_Value_Migrated_v0.6.html</t>
  </si>
  <si>
    <t xml:space="preserve">Multiple visible occurrences</t>
  </si>
  <si>
    <t xml:space="preserve">HDR-008</t>
  </si>
  <si>
    <t xml:space="preserve">Learner Guide v0.6</t>
  </si>
  <si>
    <t xml:space="preserve">Project artifact: NEO_Maths_Y7_Place_Value_Learner_Guide_v0.6.pdf</t>
  </si>
  <si>
    <t xml:space="preserve">HDR-009</t>
  </si>
  <si>
    <t xml:space="preserve">Supporting Adult v0.6</t>
  </si>
  <si>
    <t xml:space="preserve">Year 7 in cover lesson title</t>
  </si>
  <si>
    <t xml:space="preserve">Item 73: replace cover label with Foundations</t>
  </si>
  <si>
    <t xml:space="preserve">Project artifact: NEO_Maths_Y7_Place_Value_Supporting_Adult_Guidance_v0.6.pdf</t>
  </si>
  <si>
    <t xml:space="preserve">HDR-010</t>
  </si>
  <si>
    <t xml:space="preserve">Current Drive HTML</t>
  </si>
  <si>
    <t xml:space="preserve">Y9 in master filename</t>
  </si>
  <si>
    <t xml:space="preserve">Drive: Pythagorean Theorem / Lesson 01</t>
  </si>
  <si>
    <t xml:space="preserve">Learner-visible title is age-neutral</t>
  </si>
  <si>
    <t xml:space="preserve">HDR-011</t>
  </si>
  <si>
    <t xml:space="preserve">Drive: Pythagorean Theorem / Lesson 02</t>
  </si>
  <si>
    <t xml:space="preserve">HDR-012</t>
  </si>
  <si>
    <t xml:space="preserve">Drive: Pythagorean Theorem / Lesson 03</t>
  </si>
  <si>
    <t xml:space="preserve">HDR-013</t>
  </si>
  <si>
    <t xml:space="preserve">Drive: Pythagorean Theorem / Lesson 04</t>
  </si>
  <si>
    <t xml:space="preserve">HDR-014</t>
  </si>
  <si>
    <t xml:space="preserve">Pythagoras Lessons 2-4</t>
  </si>
  <si>
    <t xml:space="preserve">Latest available PDFs</t>
  </si>
  <si>
    <t xml:space="preserve">Y9 in stored source filenames</t>
  </si>
  <si>
    <t xml:space="preserve">Project artifacts / local preview pack</t>
  </si>
  <si>
    <t xml:space="preserve">Covers are age-neutral</t>
  </si>
  <si>
    <t xml:space="preserve">HDR-015</t>
  </si>
  <si>
    <t xml:space="preserve">HDR-016</t>
  </si>
  <si>
    <t xml:space="preserve">Guidance Set</t>
  </si>
  <si>
    <t xml:space="preserve">Not available</t>
  </si>
  <si>
    <t xml:space="preserve">N/A</t>
  </si>
  <si>
    <t xml:space="preserve">Item 74: create both age-neutral guidance documents</t>
  </si>
  <si>
    <t xml:space="preserve">No current source located</t>
  </si>
  <si>
    <t xml:space="preserve">A gap, not a failed header</t>
  </si>
  <si>
    <t xml:space="preserve">HDR-017</t>
  </si>
  <si>
    <t xml:space="preserve">Accuracy, Powers and Scale Lesson 1</t>
  </si>
  <si>
    <t xml:space="preserve">v0.3</t>
  </si>
  <si>
    <t xml:space="preserve">Y9 in internal reference only</t>
  </si>
  <si>
    <t xml:space="preserve">New at v0.2. Learner-visible title is age-neutral</t>
  </si>
  <si>
    <t xml:space="preserve">HDR-018</t>
  </si>
  <si>
    <t xml:space="preserve">Accuracy, Powers and Scale Lesson 3</t>
  </si>
  <si>
    <t xml:space="preserve">v0.2</t>
  </si>
  <si>
    <t xml:space="preserve">HDR-019</t>
  </si>
  <si>
    <t xml:space="preserve">Accuracy, Powers and Scale Lesson 4</t>
  </si>
  <si>
    <t xml:space="preserve">Drive: Lesson 04 package folder</t>
  </si>
  <si>
    <t xml:space="preserve">New at v0.2</t>
  </si>
  <si>
    <t xml:space="preserve">HDR-020</t>
  </si>
  <si>
    <t xml:space="preserve">Learner + Supporting Adult PDFs</t>
  </si>
  <si>
    <t xml:space="preserve">New at v0.2. Both covers age-neutral</t>
  </si>
  <si>
    <t xml:space="preserve">HDR-021</t>
  </si>
  <si>
    <t xml:space="preserve">Accuracy, Powers and Scale Lesson 5</t>
  </si>
  <si>
    <t xml:space="preserve">v0.4</t>
  </si>
  <si>
    <t xml:space="preserve">Drive: Lesson 05 package folder</t>
  </si>
  <si>
    <t xml:space="preserve">HDR-022</t>
  </si>
  <si>
    <t xml:space="preserve">Foundations Evidence Register</t>
  </si>
  <si>
    <t xml:space="preserve">Evidence records what currently exists; it does not claim learner mastery until learner work is attached. EV-FND-010 and EV-FND-011 are new at v0.2; EV-FND-007 and EV-FND-009 are revised to record the Lesson 01 and Lesson 03 rebuilds.</t>
  </si>
  <si>
    <t xml:space="preserve">Evidence ID</t>
  </si>
  <si>
    <t xml:space="preserve">Unit / Package</t>
  </si>
  <si>
    <t xml:space="preserve">Artifact Set</t>
  </si>
  <si>
    <t xml:space="preserve">Version / Date</t>
  </si>
  <si>
    <t xml:space="preserve">Claim Supported</t>
  </si>
  <si>
    <t xml:space="preserve">Location</t>
  </si>
  <si>
    <t xml:space="preserve">Next Evidence Needed</t>
  </si>
  <si>
    <t xml:space="preserve">EV-FND-001</t>
  </si>
  <si>
    <t xml:space="preserve">Interactive lesson + Practice Companion + Scratchpad + two guides</t>
  </si>
  <si>
    <t xml:space="preserve">v0.6</t>
  </si>
  <si>
    <t xml:space="preserve">A migrated Reconnection prototype exists</t>
  </si>
  <si>
    <t xml:space="preserve">Header and solution-rule remediation required</t>
  </si>
  <si>
    <t xml:space="preserve">Project artifacts</t>
  </si>
  <si>
    <t xml:space="preserve">Items 73 and 75 remediation; then v1.4/v1.5/v1.6 audit; learner pilot evidence</t>
  </si>
  <si>
    <t xml:space="preserve">EV-FND-002</t>
  </si>
  <si>
    <t xml:space="preserve">Interactive reference + Practice Companion + Scratchpad + two guides</t>
  </si>
  <si>
    <t xml:space="preserve">v5</t>
  </si>
  <si>
    <t xml:space="preserve">A locked reference environment exists</t>
  </si>
  <si>
    <t xml:space="preserve">EV-FND-003</t>
  </si>
  <si>
    <t xml:space="preserve">Interactive lesson + Practice Companion + Scratchpad</t>
  </si>
  <si>
    <t xml:space="preserve">current 2026-07-15</t>
  </si>
  <si>
    <t xml:space="preserve">Current preview-ready lesson exists</t>
  </si>
  <si>
    <t xml:space="preserve">Guidance gap</t>
  </si>
  <si>
    <t xml:space="preserve">Google Drive Pythagorean Theorem unit</t>
  </si>
  <si>
    <t xml:space="preserve">Item 74: both guidance documents. Item 72: v1.5 audit. Pilot evidence</t>
  </si>
  <si>
    <t xml:space="preserve">EV-FND-004</t>
  </si>
  <si>
    <t xml:space="preserve">Complete current lesson package exists</t>
  </si>
  <si>
    <t xml:space="preserve">Item 72: v1.5 audit. Learner pilot evidence</t>
  </si>
  <si>
    <t xml:space="preserve">EV-FND-005</t>
  </si>
  <si>
    <t xml:space="preserve">EV-FND-006</t>
  </si>
  <si>
    <t xml:space="preserve">Interactive lesson + Practice Companion + Scratchpad + updated age-neutral guides</t>
  </si>
  <si>
    <t xml:space="preserve">EV-INT-001</t>
  </si>
  <si>
    <t xml:space="preserve">A reusable Intermediate reference environment exists</t>
  </si>
  <si>
    <t xml:space="preserve">Items 73 and 75 remediation; learner pilot evidence</t>
  </si>
  <si>
    <t xml:space="preserve">EV-FND-007</t>
  </si>
  <si>
    <t xml:space="preserve">Interactive lesson + Precision Lens + Boundary Explorer + Reconnection Routes + Practice Companion + Scratchpad + two guides</t>
  </si>
  <si>
    <t xml:space="preserve">v0.3 / 2026-07-21</t>
  </si>
  <si>
    <t xml:space="preserve">Reconnection Routes control now present, closing item 80. Reference-shell consistency retained; Mode B Nutrition verified against v1.6</t>
  </si>
  <si>
    <t xml:space="preserve">99_Working/NEO Maths Outputs + live preview: https://neo-foundations-rounding-sf.jinxy2358.chatgpt.site</t>
  </si>
  <si>
    <t xml:space="preserve">File v0.3 to the package folder; refresh live preview; learner pilot evidence</t>
  </si>
  <si>
    <t xml:space="preserve">EV-FND-008</t>
  </si>
  <si>
    <t xml:space="preserve">Accuracy, Powers and Scale Lesson 2</t>
  </si>
  <si>
    <t xml:space="preserve">Interactive lesson + Estimation Laboratory + reasonableness investigation + Reconnection Routes + Practice Companion + Scratchpad + two guides</t>
  </si>
  <si>
    <t xml:space="preserve">v0.1 / 2026-07-16</t>
  </si>
  <si>
    <t xml:space="preserve">The accepted reference lesson shell (design contract for all subsequent lessons)</t>
  </si>
  <si>
    <t xml:space="preserve">Drive lesson folder + live preview: https://neo-foundations-estimation.jinxy2358.chatgpt.site</t>
  </si>
  <si>
    <t xml:space="preserve">Confirm Nutrition mode against v1.6; learner pilot evidence</t>
  </si>
  <si>
    <t xml:space="preserve">EV-FND-009</t>
  </si>
  <si>
    <t xml:space="preserve">Interactive lesson + Index Law Detective + four-stage counted chain + Reconnection Routes + Practice Companion + Scratchpad + two guides</t>
  </si>
  <si>
    <t xml:space="preserve">v0.2 / 2026-07-21</t>
  </si>
  <si>
    <t xml:space="preserve">Machine framing removed, closing item 81. Movement panel now builds a chain of working with a reason on every line; the zero index is derived, not asserted</t>
  </si>
  <si>
    <t xml:space="preserve">99_Working/NEO Maths Outputs + live lesson: https://neo-foundations-index-laws.jinxy2358.chatgpt.site</t>
  </si>
  <si>
    <t xml:space="preserve">File v0.2 to the package folder; refresh live preview; learner pilot evidence</t>
  </si>
  <si>
    <t xml:space="preserve">EV-FND-010</t>
  </si>
  <si>
    <t xml:space="preserve">Interactive lesson + Scale Explorer + Practice Companion + Scratchpad + two guides</t>
  </si>
  <si>
    <t xml:space="preserve">v0.3 / 2026-07-18</t>
  </si>
  <si>
    <t xml:space="preserve">Complete package exists. Named in GreenPrint §31 as the v1.4 place-value language validation example</t>
  </si>
  <si>
    <t xml:space="preserve">v1.5 reasoning-first audit (built before v1.5 was locked); confirm Nutrition mode; learner pilot evidence</t>
  </si>
  <si>
    <t xml:space="preserve">EV-FND-011</t>
  </si>
  <si>
    <t xml:space="preserve">Interactive lesson + Growing the working + Check this working + Pose your own + Practice Companion + Scratchpad + two guides</t>
  </si>
  <si>
    <t xml:space="preserve">v0.4 / 2026-07-20</t>
  </si>
  <si>
    <t xml:space="preserve">Accepted 20 July 2026. Named in GreenPrint §31 as the reference implementation of reasoning-first design and structural explanation</t>
  </si>
  <si>
    <t xml:space="preserve">Controlled Lists and Version Log</t>
  </si>
  <si>
    <t xml:space="preserve">Use these values when updating the live map so status language remains consistent. The QA Gate Status and Nutrition Mode lists are new at v0.2, added to carry the v1.4, v1.5 and v1.6 gates.</t>
  </si>
  <si>
    <t xml:space="preserve">Artifact Status</t>
  </si>
  <si>
    <t xml:space="preserve">QA Gate Status (v1.4/v1.5/v1.6)</t>
  </si>
  <si>
    <t xml:space="preserve">Nutrition Mode</t>
  </si>
  <si>
    <t xml:space="preserve">Mode A — contextual</t>
  </si>
  <si>
    <t xml:space="preserve">Mode B — intellectual</t>
  </si>
  <si>
    <t xml:space="preserve">Partial safeguard</t>
  </si>
  <si>
    <t xml:space="preserve">Advanced</t>
  </si>
  <si>
    <t xml:space="preserve"> </t>
  </si>
  <si>
    <t xml:space="preserve">Non-compliant</t>
  </si>
  <si>
    <t xml:space="preserve">Locked</t>
  </si>
  <si>
    <t xml:space="preserve">Version Log</t>
  </si>
  <si>
    <t xml:space="preserve">Version</t>
  </si>
  <si>
    <t xml:space="preserve">Date</t>
  </si>
  <si>
    <t xml:space="preserve">Controlling GreenPrint</t>
  </si>
  <si>
    <t xml:space="preserve">Change</t>
  </si>
  <si>
    <t xml:space="preserve">v0.1</t>
  </si>
  <si>
    <t xml:space="preserve">v1.1</t>
  </si>
  <si>
    <t xml:space="preserve">Created live Foundations coverage, Stepping Stones, Reconnection Routes, header audit and evidence register.</t>
  </si>
  <si>
    <t xml:space="preserve">v1.6</t>
  </si>
  <si>
    <t xml:space="preserve">Registered Accuracy, Powers and Scale Lessons 04 and 05. Absorbed the Lesson 01 v0.3 and Lesson 03 v0.2 rebuilds, closing GreenPrint items 80 and 81 against verified source. Added per-lesson QA gate columns for v1.4 place-value language, v1.5 reasoning-first design and v1.6 Nutrition presence, with matching controlled lists. Registered eight Accuracy, Powers and Scale Stepping Stones (none existed at v0.1). Added REC-NUM-02. Added header audit rows HDR-017 to HDR-022. Cross-referenced every outstanding action to its GreenPrint item number.</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</si>
</sst>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2F5D50"/>
      <name val="Arial"/>
      <family val="0"/>
      <charset val="1"/>
    </font>
    <font>
      <b val="true"/>
      <sz val="10"/>
      <color rgb="FFFFFFFF"/>
      <name val="Arial"/>
      <family val="0"/>
      <charset val="1"/>
    </font>
    <font>
      <sz val="9"/>
      <name val="Arial"/>
      <family val="0"/>
      <charset val="1"/>
    </font>
    <font>
      <b val="true"/>
      <sz val="9"/>
      <name val="Arial"/>
      <family val="0"/>
      <charset val="1"/>
    </font>
    <font>
      <b val="true"/>
      <sz val="11"/>
      <color rgb="FF2F5D50"/>
      <name val="Arial"/>
      <family val="0"/>
      <charset val="1"/>
    </font>
    <font>
      <b val="true"/>
      <sz val="13"/>
      <color rgb="FFFFFFFF"/>
      <name val="Arial"/>
      <family val="0"/>
      <charset val="1"/>
    </font>
    <font>
      <b val="true"/>
      <sz val="9"/>
      <color rgb="FFFFFFFF"/>
      <name val="Arial"/>
      <family val="0"/>
      <charset val="1"/>
    </font>
  </fonts>
  <fills count="7">
    <fill>
      <patternFill patternType="none"/>
    </fill>
    <fill>
      <patternFill patternType="gray125"/>
    </fill>
    <fill>
      <patternFill patternType="solid">
        <fgColor rgb="FF2F5D50"/>
        <bgColor rgb="FF4A7C68"/>
      </patternFill>
    </fill>
    <fill>
      <patternFill patternType="solid">
        <fgColor rgb="FFE8F0EC"/>
        <bgColor rgb="FFFDE8E8"/>
      </patternFill>
    </fill>
    <fill>
      <patternFill patternType="solid">
        <fgColor rgb="FF4A7C68"/>
        <bgColor rgb="FF666699"/>
      </patternFill>
    </fill>
    <fill>
      <patternFill patternType="solid">
        <fgColor rgb="FFFDE8E8"/>
        <bgColor rgb="FFFFF4D6"/>
      </patternFill>
    </fill>
    <fill>
      <patternFill patternType="solid">
        <fgColor rgb="FFFFF4D6"/>
        <bgColor rgb="FFFDE8E8"/>
      </patternFill>
    </fill>
  </fills>
  <borders count="3">
    <border diagonalUp="false" diagonalDown="false">
      <left/>
      <right/>
      <top/>
      <bottom/>
      <diagonal/>
    </border>
    <border diagonalUp="false" diagonalDown="false">
      <left style="thin">
        <color rgb="FFBFCFC7"/>
      </left>
      <right style="thin">
        <color rgb="FFBFCFC7"/>
      </right>
      <top style="thin">
        <color rgb="FFBFCFC7"/>
      </top>
      <bottom style="thin">
        <color rgb="FFBFCFC7"/>
      </bottom>
      <diagonal/>
    </border>
    <border diagonalUp="false" diagonalDown="false">
      <left style="thin">
        <color rgb="FFBFCFC7"/>
      </left>
      <right/>
      <top style="thin">
        <color rgb="FFBFCFC7"/>
      </top>
      <bottom style="thin">
        <color rgb="FFBFCF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10"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FC7"/>
      <rgbColor rgb="FF808080"/>
      <rgbColor rgb="FF9999FF"/>
      <rgbColor rgb="FF993366"/>
      <rgbColor rgb="FFFFF4D6"/>
      <rgbColor rgb="FFE8F0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DE8E8"/>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4A7C68"/>
      <rgbColor rgb="FF003300"/>
      <rgbColor rgb="FF333300"/>
      <rgbColor rgb="FF993300"/>
      <rgbColor rgb="FF993366"/>
      <rgbColor rgb="FF333399"/>
      <rgbColor rgb="FF2F5D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3"/>
    <col collapsed="false" customWidth="true" hidden="false" outlineLevel="0" max="4" min="4" style="0" width="26"/>
    <col collapsed="false" customWidth="true" hidden="false" outlineLevel="0" max="5" min="5" style="0" width="46"/>
    <col collapsed="false" customWidth="true" hidden="false" outlineLevel="0" max="6" min="6" style="0" width="3"/>
    <col collapsed="false" customWidth="true" hidden="false" outlineLevel="0" max="7" min="7" style="0" width="32"/>
    <col collapsed="false" customWidth="true" hidden="false" outlineLevel="0" max="8" min="8" style="0" width="24"/>
  </cols>
  <sheetData>
    <row r="1" customFormat="false" ht="30" hidden="false" customHeight="true" outlineLevel="0" collapsed="false">
      <c r="A1" s="1" t="s">
        <v>0</v>
      </c>
      <c r="B1" s="1"/>
      <c r="C1" s="1"/>
      <c r="D1" s="1"/>
      <c r="E1" s="1"/>
      <c r="F1" s="1"/>
      <c r="G1" s="1"/>
      <c r="H1" s="1"/>
    </row>
    <row r="2" customFormat="false" ht="24" hidden="false" customHeight="true" outlineLevel="0" collapsed="false">
      <c r="A2" s="2" t="s">
        <v>1</v>
      </c>
      <c r="B2" s="2"/>
      <c r="C2" s="2"/>
      <c r="D2" s="2"/>
      <c r="E2" s="2"/>
      <c r="F2" s="2"/>
      <c r="G2" s="2"/>
      <c r="H2" s="2"/>
    </row>
    <row r="4" customFormat="false" ht="15" hidden="false" customHeight="false" outlineLevel="0" collapsed="false">
      <c r="A4" s="3" t="s">
        <v>2</v>
      </c>
      <c r="B4" s="3" t="s">
        <v>3</v>
      </c>
      <c r="D4" s="3" t="s">
        <v>4</v>
      </c>
      <c r="E4" s="3" t="s">
        <v>5</v>
      </c>
      <c r="G4" s="3" t="s">
        <v>6</v>
      </c>
      <c r="H4" s="3" t="s">
        <v>7</v>
      </c>
    </row>
    <row r="5" customFormat="false" ht="15" hidden="false" customHeight="false" outlineLevel="0" collapsed="false">
      <c r="A5" s="4" t="s">
        <v>8</v>
      </c>
      <c r="B5" s="4" t="n">
        <f aca="false">COUNTA('Lesson Coverage'!A4:A14)</f>
        <v>11</v>
      </c>
      <c r="D5" s="4" t="s">
        <v>9</v>
      </c>
      <c r="E5" s="4" t="s">
        <v>10</v>
      </c>
      <c r="G5" s="4" t="s">
        <v>11</v>
      </c>
      <c r="H5" s="5" t="s">
        <v>12</v>
      </c>
    </row>
    <row r="6" customFormat="false" ht="15" hidden="false" customHeight="false" outlineLevel="0" collapsed="false">
      <c r="A6" s="4" t="s">
        <v>13</v>
      </c>
      <c r="B6" s="4" t="n">
        <f aca="false">COUNTIF('Lesson Coverage'!K4:K14,"Preview-ready")</f>
        <v>8</v>
      </c>
      <c r="D6" s="4" t="s">
        <v>14</v>
      </c>
      <c r="E6" s="4" t="s">
        <v>15</v>
      </c>
      <c r="G6" s="4" t="s">
        <v>16</v>
      </c>
      <c r="H6" s="6" t="s">
        <v>17</v>
      </c>
    </row>
    <row r="7" customFormat="false" ht="15" hidden="false" customHeight="false" outlineLevel="0" collapsed="false">
      <c r="A7" s="4" t="s">
        <v>18</v>
      </c>
      <c r="B7" s="4" t="n">
        <f aca="false">COUNTIF('Header Audit'!H4:H25,"Action required")</f>
        <v>4</v>
      </c>
      <c r="D7" s="4" t="s">
        <v>19</v>
      </c>
      <c r="E7" s="4" t="s">
        <v>20</v>
      </c>
      <c r="G7" s="4" t="s">
        <v>21</v>
      </c>
      <c r="H7" s="6" t="s">
        <v>22</v>
      </c>
    </row>
    <row r="8" customFormat="false" ht="15" hidden="false" customHeight="false" outlineLevel="0" collapsed="false">
      <c r="A8" s="4" t="s">
        <v>23</v>
      </c>
      <c r="B8" s="4" t="n">
        <f aca="false">COUNTIF('Lesson Coverage'!N4:N14,"Missing")</f>
        <v>1</v>
      </c>
      <c r="D8" s="4" t="s">
        <v>24</v>
      </c>
      <c r="E8" s="4" t="s">
        <v>25</v>
      </c>
      <c r="G8" s="4" t="s">
        <v>26</v>
      </c>
      <c r="H8" s="6" t="s">
        <v>27</v>
      </c>
    </row>
    <row r="9" customFormat="false" ht="22.35" hidden="false" customHeight="false" outlineLevel="0" collapsed="false">
      <c r="A9" s="4" t="s">
        <v>28</v>
      </c>
      <c r="B9" s="4" t="n">
        <f aca="false">COUNTIF('Lesson Coverage'!R4:T14,"Not yet checked")</f>
        <v>22</v>
      </c>
      <c r="D9" s="4" t="s">
        <v>29</v>
      </c>
      <c r="E9" s="4" t="s">
        <v>30</v>
      </c>
      <c r="G9" s="4" t="s">
        <v>31</v>
      </c>
      <c r="H9" s="6" t="s">
        <v>22</v>
      </c>
    </row>
    <row r="10" customFormat="false" ht="15" hidden="false" customHeight="false" outlineLevel="0" collapsed="false">
      <c r="A10" s="4" t="s">
        <v>32</v>
      </c>
      <c r="B10" s="4" t="n">
        <f aca="false">COUNTIF('Reconnection Routes'!H4:H9,"Mapped / not yet built")</f>
        <v>3</v>
      </c>
      <c r="D10" s="4" t="s">
        <v>33</v>
      </c>
      <c r="E10" s="4" t="s">
        <v>34</v>
      </c>
      <c r="G10" s="4" t="s">
        <v>35</v>
      </c>
      <c r="H10" s="6" t="s">
        <v>36</v>
      </c>
    </row>
    <row r="11" customFormat="false" ht="22.35" hidden="false" customHeight="false" outlineLevel="0" collapsed="false">
      <c r="A11" s="4" t="s">
        <v>37</v>
      </c>
      <c r="B11" s="4" t="n">
        <f aca="false">COUNTA('Stepping Stones'!A4:A23)</f>
        <v>20</v>
      </c>
      <c r="D11" s="4" t="s">
        <v>38</v>
      </c>
      <c r="E11" s="4" t="s">
        <v>39</v>
      </c>
      <c r="G11" s="4" t="s">
        <v>40</v>
      </c>
      <c r="H11" s="5" t="s">
        <v>41</v>
      </c>
    </row>
    <row r="12" customFormat="false" ht="15" hidden="false" customHeight="false" outlineLevel="0" collapsed="false">
      <c r="A12" s="4" t="s">
        <v>42</v>
      </c>
      <c r="B12" s="4" t="s">
        <v>43</v>
      </c>
      <c r="D12" s="4" t="s">
        <v>44</v>
      </c>
      <c r="E12" s="4" t="s">
        <v>45</v>
      </c>
      <c r="G12" s="4" t="s">
        <v>46</v>
      </c>
      <c r="H12" s="5" t="s">
        <v>41</v>
      </c>
    </row>
    <row r="15" customFormat="false" ht="15" hidden="false" customHeight="false" outlineLevel="0" collapsed="false">
      <c r="A15" s="7" t="s">
        <v>47</v>
      </c>
    </row>
    <row r="16" customFormat="false" ht="15" hidden="false" customHeight="true" outlineLevel="0" collapsed="false">
      <c r="A16" s="8" t="s">
        <v>48</v>
      </c>
      <c r="B16" s="9" t="s">
        <v>49</v>
      </c>
      <c r="C16" s="9"/>
      <c r="D16" s="9"/>
      <c r="E16" s="9"/>
    </row>
    <row r="17" customFormat="false" ht="15" hidden="false" customHeight="true" outlineLevel="0" collapsed="false">
      <c r="A17" s="8" t="s">
        <v>50</v>
      </c>
      <c r="B17" s="9" t="s">
        <v>51</v>
      </c>
      <c r="C17" s="9"/>
      <c r="D17" s="9"/>
      <c r="E17" s="9"/>
    </row>
    <row r="18" customFormat="false" ht="15" hidden="false" customHeight="true" outlineLevel="0" collapsed="false">
      <c r="A18" s="8" t="s">
        <v>52</v>
      </c>
      <c r="B18" s="9" t="s">
        <v>53</v>
      </c>
      <c r="C18" s="9"/>
      <c r="D18" s="9"/>
      <c r="E18" s="9"/>
    </row>
    <row r="19" customFormat="false" ht="15" hidden="false" customHeight="true" outlineLevel="0" collapsed="false">
      <c r="A19" s="8" t="s">
        <v>54</v>
      </c>
      <c r="B19" s="9" t="s">
        <v>55</v>
      </c>
      <c r="C19" s="9"/>
      <c r="D19" s="9"/>
      <c r="E19" s="9"/>
    </row>
    <row r="20" customFormat="false" ht="15" hidden="false" customHeight="true" outlineLevel="0" collapsed="false">
      <c r="A20" s="8" t="s">
        <v>56</v>
      </c>
      <c r="B20" s="9" t="s">
        <v>57</v>
      </c>
      <c r="C20" s="9"/>
      <c r="D20" s="9"/>
      <c r="E20" s="9"/>
    </row>
    <row r="21" customFormat="false" ht="15" hidden="false" customHeight="true" outlineLevel="0" collapsed="false">
      <c r="A21" s="8" t="s">
        <v>58</v>
      </c>
      <c r="B21" s="9" t="s">
        <v>59</v>
      </c>
      <c r="C21" s="9"/>
      <c r="D21" s="9"/>
      <c r="E21" s="9"/>
    </row>
    <row r="22" customFormat="false" ht="15" hidden="false" customHeight="true" outlineLevel="0" collapsed="false">
      <c r="A22" s="8" t="s">
        <v>60</v>
      </c>
      <c r="B22" s="9" t="s">
        <v>61</v>
      </c>
      <c r="C22" s="9"/>
      <c r="D22" s="9"/>
      <c r="E22" s="9"/>
    </row>
    <row r="23" customFormat="false" ht="15" hidden="false" customHeight="true" outlineLevel="0" collapsed="false">
      <c r="A23" s="8" t="s">
        <v>62</v>
      </c>
      <c r="B23" s="9" t="s">
        <v>63</v>
      </c>
      <c r="C23" s="9"/>
      <c r="D23" s="9"/>
      <c r="E23" s="9"/>
    </row>
  </sheetData>
  <mergeCells count="10">
    <mergeCell ref="A1:H1"/>
    <mergeCell ref="A2:H2"/>
    <mergeCell ref="B16:E16"/>
    <mergeCell ref="B17:E17"/>
    <mergeCell ref="B18:E18"/>
    <mergeCell ref="B19:E19"/>
    <mergeCell ref="B20:E20"/>
    <mergeCell ref="B21:E21"/>
    <mergeCell ref="B22:E22"/>
    <mergeCell ref="B23: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3" min="3" style="0" width="15"/>
    <col collapsed="false" customWidth="true" hidden="false" outlineLevel="0" max="4" min="4" style="0" width="18"/>
    <col collapsed="false" customWidth="true" hidden="false" outlineLevel="0" max="5" min="5" style="0" width="9"/>
    <col collapsed="false" customWidth="true" hidden="false" outlineLevel="0" max="6" min="6" style="0" width="30"/>
    <col collapsed="false" customWidth="true" hidden="false" outlineLevel="0" max="7" min="7" style="0" width="24"/>
    <col collapsed="false" customWidth="true" hidden="false" outlineLevel="0" max="8" min="8" style="0" width="38"/>
    <col collapsed="false" customWidth="true" hidden="false" outlineLevel="0" max="9" min="9" style="0" width="26"/>
    <col collapsed="false" customWidth="true" hidden="false" outlineLevel="0" max="10" min="10" style="0" width="24"/>
    <col collapsed="false" customWidth="true" hidden="false" outlineLevel="0" max="11" min="11" style="0" width="20"/>
    <col collapsed="false" customWidth="true" hidden="false" outlineLevel="0" max="12" min="12" style="0" width="12"/>
    <col collapsed="false" customWidth="true" hidden="false" outlineLevel="0" max="13" min="13" style="0" width="11"/>
    <col collapsed="false" customWidth="true" hidden="false" outlineLevel="0" max="14" min="14" style="0" width="13"/>
    <col collapsed="false" customWidth="true" hidden="false" outlineLevel="0" max="15" min="15" style="0" width="15"/>
    <col collapsed="false" customWidth="true" hidden="false" outlineLevel="0" max="16" min="16" style="0" width="26"/>
    <col collapsed="false" customWidth="true" hidden="false" outlineLevel="0" max="17" min="17" style="0" width="12"/>
    <col collapsed="false" customWidth="true" hidden="false" outlineLevel="0" max="20" min="18" style="0" width="17"/>
    <col collapsed="false" customWidth="true" hidden="false" outlineLevel="0" max="21" min="21" style="0" width="44"/>
    <col collapsed="false" customWidth="true" hidden="false" outlineLevel="0" max="22" min="22" style="0" width="34"/>
    <col collapsed="false" customWidth="true" hidden="false" outlineLevel="0" max="23" min="23" style="0" width="42"/>
    <col collapsed="false" customWidth="true" hidden="false" outlineLevel="0" max="24" min="24" style="0" width="10"/>
    <col collapsed="false" customWidth="true" hidden="false" outlineLevel="0" max="25" min="25" style="0" width="12"/>
  </cols>
  <sheetData>
    <row r="1" customFormat="false" ht="24" hidden="false" customHeight="true" outlineLevel="0" collapsed="false">
      <c r="A1" s="10" t="s">
        <v>64</v>
      </c>
      <c r="B1" s="10"/>
      <c r="C1" s="10"/>
      <c r="D1" s="10"/>
      <c r="E1" s="10"/>
      <c r="F1" s="10"/>
      <c r="G1" s="10"/>
      <c r="H1" s="10"/>
      <c r="I1" s="10"/>
      <c r="J1" s="10"/>
      <c r="K1" s="10"/>
      <c r="L1" s="10"/>
      <c r="M1" s="10"/>
      <c r="N1" s="10"/>
      <c r="O1" s="10"/>
      <c r="P1" s="10"/>
      <c r="Q1" s="10"/>
      <c r="R1" s="10"/>
      <c r="S1" s="10"/>
      <c r="T1" s="10"/>
      <c r="U1" s="10"/>
      <c r="V1" s="10"/>
      <c r="W1" s="10"/>
      <c r="X1" s="10"/>
      <c r="Y1" s="10"/>
    </row>
    <row r="2" customFormat="false" ht="25.5" hidden="false" customHeight="true" outlineLevel="0" collapsed="false">
      <c r="A2" s="11" t="s">
        <v>65</v>
      </c>
      <c r="B2" s="11"/>
      <c r="C2" s="11"/>
      <c r="D2" s="11"/>
      <c r="E2" s="11"/>
      <c r="F2" s="11"/>
      <c r="G2" s="11"/>
      <c r="H2" s="11"/>
      <c r="I2" s="11"/>
      <c r="J2" s="11"/>
      <c r="K2" s="11"/>
      <c r="L2" s="11"/>
      <c r="M2" s="11"/>
      <c r="N2" s="11"/>
      <c r="O2" s="11"/>
      <c r="P2" s="11"/>
      <c r="Q2" s="11"/>
      <c r="R2" s="11"/>
      <c r="S2" s="11"/>
      <c r="T2" s="11"/>
      <c r="U2" s="11"/>
      <c r="V2" s="11"/>
      <c r="W2" s="11"/>
      <c r="X2" s="11"/>
      <c r="Y2" s="11"/>
    </row>
    <row r="3" customFormat="false" ht="33.75" hidden="false" customHeight="true" outlineLevel="0" collapsed="false">
      <c r="A3" s="12" t="s">
        <v>66</v>
      </c>
      <c r="B3" s="12" t="s">
        <v>14</v>
      </c>
      <c r="C3" s="12" t="s">
        <v>67</v>
      </c>
      <c r="D3" s="12" t="s">
        <v>68</v>
      </c>
      <c r="E3" s="12" t="s">
        <v>69</v>
      </c>
      <c r="F3" s="12" t="s">
        <v>70</v>
      </c>
      <c r="G3" s="12" t="s">
        <v>71</v>
      </c>
      <c r="H3" s="12" t="s">
        <v>50</v>
      </c>
      <c r="I3" s="12" t="s">
        <v>72</v>
      </c>
      <c r="J3" s="12" t="s">
        <v>73</v>
      </c>
      <c r="K3" s="12" t="s">
        <v>74</v>
      </c>
      <c r="L3" s="12" t="s">
        <v>75</v>
      </c>
      <c r="M3" s="12" t="s">
        <v>76</v>
      </c>
      <c r="N3" s="12" t="s">
        <v>77</v>
      </c>
      <c r="O3" s="12" t="s">
        <v>78</v>
      </c>
      <c r="P3" s="12" t="s">
        <v>79</v>
      </c>
      <c r="Q3" s="12" t="s">
        <v>54</v>
      </c>
      <c r="R3" s="12" t="s">
        <v>80</v>
      </c>
      <c r="S3" s="12" t="s">
        <v>81</v>
      </c>
      <c r="T3" s="12" t="s">
        <v>82</v>
      </c>
      <c r="U3" s="12" t="s">
        <v>83</v>
      </c>
      <c r="V3" s="12" t="s">
        <v>84</v>
      </c>
      <c r="W3" s="12" t="s">
        <v>85</v>
      </c>
      <c r="X3" s="12" t="s">
        <v>86</v>
      </c>
      <c r="Y3" s="12" t="s">
        <v>87</v>
      </c>
    </row>
    <row r="4" customFormat="false" ht="32.8" hidden="false" customHeight="false" outlineLevel="0" collapsed="false">
      <c r="A4" s="4" t="s">
        <v>88</v>
      </c>
      <c r="B4" s="4" t="s">
        <v>15</v>
      </c>
      <c r="C4" s="4" t="s">
        <v>89</v>
      </c>
      <c r="D4" s="4" t="s">
        <v>90</v>
      </c>
      <c r="E4" s="4" t="n">
        <v>1</v>
      </c>
      <c r="F4" s="4" t="s">
        <v>91</v>
      </c>
      <c r="G4" s="4" t="s">
        <v>92</v>
      </c>
      <c r="H4" s="4" t="s">
        <v>93</v>
      </c>
      <c r="I4" s="4" t="s">
        <v>94</v>
      </c>
      <c r="J4" s="4" t="s">
        <v>95</v>
      </c>
      <c r="K4" s="4" t="s">
        <v>96</v>
      </c>
      <c r="L4" s="4" t="s">
        <v>97</v>
      </c>
      <c r="M4" s="4" t="s">
        <v>97</v>
      </c>
      <c r="N4" s="4" t="s">
        <v>97</v>
      </c>
      <c r="O4" s="4" t="s">
        <v>98</v>
      </c>
      <c r="P4" s="4" t="s">
        <v>99</v>
      </c>
      <c r="Q4" s="6" t="s">
        <v>100</v>
      </c>
      <c r="R4" s="6" t="s">
        <v>101</v>
      </c>
      <c r="S4" s="6" t="s">
        <v>101</v>
      </c>
      <c r="T4" s="6" t="s">
        <v>101</v>
      </c>
      <c r="U4" s="4" t="s">
        <v>102</v>
      </c>
      <c r="V4" s="4" t="s">
        <v>103</v>
      </c>
      <c r="W4" s="4" t="s">
        <v>104</v>
      </c>
      <c r="X4" s="4"/>
      <c r="Y4" s="4" t="s">
        <v>43</v>
      </c>
    </row>
    <row r="5" customFormat="false" ht="32.8" hidden="false" customHeight="false" outlineLevel="0" collapsed="false">
      <c r="A5" s="4" t="s">
        <v>105</v>
      </c>
      <c r="B5" s="4" t="s">
        <v>15</v>
      </c>
      <c r="C5" s="4" t="s">
        <v>106</v>
      </c>
      <c r="D5" s="4" t="s">
        <v>107</v>
      </c>
      <c r="E5" s="4" t="n">
        <v>1</v>
      </c>
      <c r="F5" s="4" t="s">
        <v>107</v>
      </c>
      <c r="G5" s="4" t="s">
        <v>108</v>
      </c>
      <c r="H5" s="4" t="s">
        <v>109</v>
      </c>
      <c r="I5" s="4" t="s">
        <v>110</v>
      </c>
      <c r="J5" s="4" t="s">
        <v>111</v>
      </c>
      <c r="K5" s="4" t="s">
        <v>112</v>
      </c>
      <c r="L5" s="4" t="s">
        <v>97</v>
      </c>
      <c r="M5" s="4" t="s">
        <v>97</v>
      </c>
      <c r="N5" s="4" t="s">
        <v>97</v>
      </c>
      <c r="O5" s="4" t="s">
        <v>97</v>
      </c>
      <c r="P5" s="4" t="s">
        <v>113</v>
      </c>
      <c r="Q5" s="6" t="s">
        <v>100</v>
      </c>
      <c r="R5" s="6" t="s">
        <v>101</v>
      </c>
      <c r="S5" s="6" t="s">
        <v>101</v>
      </c>
      <c r="T5" s="6" t="s">
        <v>101</v>
      </c>
      <c r="U5" s="4" t="s">
        <v>114</v>
      </c>
      <c r="V5" s="4" t="s">
        <v>115</v>
      </c>
      <c r="W5" s="4" t="s">
        <v>116</v>
      </c>
      <c r="X5" s="4"/>
      <c r="Y5" s="4" t="s">
        <v>43</v>
      </c>
    </row>
    <row r="6" customFormat="false" ht="32.8" hidden="false" customHeight="false" outlineLevel="0" collapsed="false">
      <c r="A6" s="4" t="s">
        <v>117</v>
      </c>
      <c r="B6" s="4" t="s">
        <v>15</v>
      </c>
      <c r="C6" s="4" t="s">
        <v>118</v>
      </c>
      <c r="D6" s="4" t="s">
        <v>119</v>
      </c>
      <c r="E6" s="4" t="n">
        <v>1</v>
      </c>
      <c r="F6" s="4" t="s">
        <v>120</v>
      </c>
      <c r="G6" s="4" t="s">
        <v>121</v>
      </c>
      <c r="H6" s="4" t="s">
        <v>122</v>
      </c>
      <c r="I6" s="4" t="s">
        <v>123</v>
      </c>
      <c r="J6" s="4" t="s">
        <v>124</v>
      </c>
      <c r="K6" s="4" t="s">
        <v>125</v>
      </c>
      <c r="L6" s="4" t="s">
        <v>97</v>
      </c>
      <c r="M6" s="4" t="s">
        <v>97</v>
      </c>
      <c r="N6" s="6" t="s">
        <v>126</v>
      </c>
      <c r="O6" s="6" t="s">
        <v>126</v>
      </c>
      <c r="P6" s="4" t="s">
        <v>127</v>
      </c>
      <c r="Q6" s="4" t="s">
        <v>128</v>
      </c>
      <c r="R6" s="6" t="s">
        <v>101</v>
      </c>
      <c r="S6" s="6" t="s">
        <v>101</v>
      </c>
      <c r="T6" s="6" t="s">
        <v>101</v>
      </c>
      <c r="U6" s="4" t="s">
        <v>129</v>
      </c>
      <c r="V6" s="4" t="s">
        <v>130</v>
      </c>
      <c r="W6" s="4" t="s">
        <v>131</v>
      </c>
      <c r="X6" s="4"/>
      <c r="Y6" s="4" t="s">
        <v>43</v>
      </c>
    </row>
    <row r="7" customFormat="false" ht="32.8" hidden="false" customHeight="false" outlineLevel="0" collapsed="false">
      <c r="A7" s="4" t="s">
        <v>132</v>
      </c>
      <c r="B7" s="4" t="s">
        <v>15</v>
      </c>
      <c r="C7" s="4" t="s">
        <v>118</v>
      </c>
      <c r="D7" s="4" t="s">
        <v>119</v>
      </c>
      <c r="E7" s="4" t="n">
        <v>2</v>
      </c>
      <c r="F7" s="4" t="s">
        <v>133</v>
      </c>
      <c r="G7" s="4" t="s">
        <v>121</v>
      </c>
      <c r="H7" s="4" t="s">
        <v>134</v>
      </c>
      <c r="I7" s="4" t="s">
        <v>135</v>
      </c>
      <c r="J7" s="4" t="s">
        <v>136</v>
      </c>
      <c r="K7" s="4" t="s">
        <v>137</v>
      </c>
      <c r="L7" s="4" t="s">
        <v>97</v>
      </c>
      <c r="M7" s="4" t="s">
        <v>97</v>
      </c>
      <c r="N7" s="4" t="s">
        <v>97</v>
      </c>
      <c r="O7" s="4" t="s">
        <v>97</v>
      </c>
      <c r="P7" s="4" t="s">
        <v>127</v>
      </c>
      <c r="Q7" s="4" t="s">
        <v>128</v>
      </c>
      <c r="R7" s="6" t="s">
        <v>101</v>
      </c>
      <c r="S7" s="6" t="s">
        <v>101</v>
      </c>
      <c r="T7" s="6" t="s">
        <v>101</v>
      </c>
      <c r="U7" s="4" t="s">
        <v>138</v>
      </c>
      <c r="V7" s="4" t="s">
        <v>130</v>
      </c>
      <c r="W7" s="4" t="s">
        <v>139</v>
      </c>
      <c r="X7" s="4"/>
      <c r="Y7" s="4" t="s">
        <v>43</v>
      </c>
    </row>
    <row r="8" customFormat="false" ht="32.8" hidden="false" customHeight="false" outlineLevel="0" collapsed="false">
      <c r="A8" s="4" t="s">
        <v>140</v>
      </c>
      <c r="B8" s="4" t="s">
        <v>15</v>
      </c>
      <c r="C8" s="4" t="s">
        <v>118</v>
      </c>
      <c r="D8" s="4" t="s">
        <v>119</v>
      </c>
      <c r="E8" s="4" t="n">
        <v>3</v>
      </c>
      <c r="F8" s="4" t="s">
        <v>141</v>
      </c>
      <c r="G8" s="4" t="s">
        <v>142</v>
      </c>
      <c r="H8" s="4" t="s">
        <v>143</v>
      </c>
      <c r="I8" s="4" t="s">
        <v>144</v>
      </c>
      <c r="J8" s="4" t="s">
        <v>145</v>
      </c>
      <c r="K8" s="4" t="s">
        <v>137</v>
      </c>
      <c r="L8" s="4" t="s">
        <v>97</v>
      </c>
      <c r="M8" s="4" t="s">
        <v>97</v>
      </c>
      <c r="N8" s="4" t="s">
        <v>97</v>
      </c>
      <c r="O8" s="4" t="s">
        <v>97</v>
      </c>
      <c r="P8" s="4" t="s">
        <v>127</v>
      </c>
      <c r="Q8" s="4" t="s">
        <v>128</v>
      </c>
      <c r="R8" s="6" t="s">
        <v>101</v>
      </c>
      <c r="S8" s="6" t="s">
        <v>101</v>
      </c>
      <c r="T8" s="6" t="s">
        <v>101</v>
      </c>
      <c r="U8" s="4" t="s">
        <v>138</v>
      </c>
      <c r="V8" s="4" t="s">
        <v>130</v>
      </c>
      <c r="W8" s="4" t="s">
        <v>139</v>
      </c>
      <c r="X8" s="4"/>
      <c r="Y8" s="4" t="s">
        <v>43</v>
      </c>
    </row>
    <row r="9" customFormat="false" ht="32.8" hidden="false" customHeight="false" outlineLevel="0" collapsed="false">
      <c r="A9" s="4" t="s">
        <v>146</v>
      </c>
      <c r="B9" s="4" t="s">
        <v>15</v>
      </c>
      <c r="C9" s="4" t="s">
        <v>118</v>
      </c>
      <c r="D9" s="4" t="s">
        <v>119</v>
      </c>
      <c r="E9" s="4" t="n">
        <v>4</v>
      </c>
      <c r="F9" s="4" t="s">
        <v>147</v>
      </c>
      <c r="G9" s="4" t="s">
        <v>148</v>
      </c>
      <c r="H9" s="4" t="s">
        <v>149</v>
      </c>
      <c r="I9" s="4" t="s">
        <v>150</v>
      </c>
      <c r="J9" s="4" t="s">
        <v>151</v>
      </c>
      <c r="K9" s="4" t="s">
        <v>137</v>
      </c>
      <c r="L9" s="4" t="s">
        <v>97</v>
      </c>
      <c r="M9" s="4" t="s">
        <v>97</v>
      </c>
      <c r="N9" s="4" t="s">
        <v>97</v>
      </c>
      <c r="O9" s="4" t="s">
        <v>97</v>
      </c>
      <c r="P9" s="4" t="s">
        <v>127</v>
      </c>
      <c r="Q9" s="4" t="s">
        <v>128</v>
      </c>
      <c r="R9" s="6" t="s">
        <v>101</v>
      </c>
      <c r="S9" s="6" t="s">
        <v>101</v>
      </c>
      <c r="T9" s="6" t="s">
        <v>101</v>
      </c>
      <c r="U9" s="4" t="s">
        <v>152</v>
      </c>
      <c r="V9" s="4" t="s">
        <v>130</v>
      </c>
      <c r="W9" s="4" t="s">
        <v>139</v>
      </c>
      <c r="X9" s="4"/>
      <c r="Y9" s="4" t="s">
        <v>43</v>
      </c>
    </row>
    <row r="10" customFormat="false" ht="32.8" hidden="false" customHeight="false" outlineLevel="0" collapsed="false">
      <c r="A10" s="13" t="s">
        <v>153</v>
      </c>
      <c r="B10" s="13" t="s">
        <v>15</v>
      </c>
      <c r="C10" s="13" t="s">
        <v>154</v>
      </c>
      <c r="D10" s="13" t="s">
        <v>155</v>
      </c>
      <c r="E10" s="13" t="n">
        <v>1</v>
      </c>
      <c r="F10" s="13" t="s">
        <v>156</v>
      </c>
      <c r="G10" s="13" t="s">
        <v>157</v>
      </c>
      <c r="H10" s="13" t="s">
        <v>158</v>
      </c>
      <c r="I10" s="13" t="s">
        <v>159</v>
      </c>
      <c r="J10" s="13" t="s">
        <v>95</v>
      </c>
      <c r="K10" s="13" t="s">
        <v>137</v>
      </c>
      <c r="L10" s="13" t="s">
        <v>97</v>
      </c>
      <c r="M10" s="13" t="s">
        <v>97</v>
      </c>
      <c r="N10" s="13" t="s">
        <v>97</v>
      </c>
      <c r="O10" s="13" t="s">
        <v>97</v>
      </c>
      <c r="P10" s="13" t="s">
        <v>160</v>
      </c>
      <c r="Q10" s="13" t="s">
        <v>128</v>
      </c>
      <c r="R10" s="13" t="s">
        <v>127</v>
      </c>
      <c r="S10" s="13" t="s">
        <v>127</v>
      </c>
      <c r="T10" s="13" t="s">
        <v>161</v>
      </c>
      <c r="U10" s="13" t="s">
        <v>162</v>
      </c>
      <c r="V10" s="13" t="s">
        <v>163</v>
      </c>
      <c r="W10" s="13" t="s">
        <v>164</v>
      </c>
      <c r="X10" s="13"/>
      <c r="Y10" s="13" t="s">
        <v>43</v>
      </c>
    </row>
    <row r="11" customFormat="false" ht="32.8" hidden="false" customHeight="false" outlineLevel="0" collapsed="false">
      <c r="A11" s="4" t="s">
        <v>165</v>
      </c>
      <c r="B11" s="4" t="s">
        <v>15</v>
      </c>
      <c r="C11" s="4" t="s">
        <v>154</v>
      </c>
      <c r="D11" s="4" t="s">
        <v>155</v>
      </c>
      <c r="E11" s="4" t="n">
        <v>2</v>
      </c>
      <c r="F11" s="4" t="s">
        <v>166</v>
      </c>
      <c r="G11" s="4" t="s">
        <v>167</v>
      </c>
      <c r="H11" s="4" t="s">
        <v>168</v>
      </c>
      <c r="I11" s="4" t="s">
        <v>169</v>
      </c>
      <c r="J11" s="4" t="s">
        <v>170</v>
      </c>
      <c r="K11" s="4" t="s">
        <v>137</v>
      </c>
      <c r="L11" s="4" t="s">
        <v>97</v>
      </c>
      <c r="M11" s="4" t="s">
        <v>97</v>
      </c>
      <c r="N11" s="4" t="s">
        <v>97</v>
      </c>
      <c r="O11" s="4" t="s">
        <v>97</v>
      </c>
      <c r="P11" s="4" t="s">
        <v>160</v>
      </c>
      <c r="Q11" s="4" t="s">
        <v>128</v>
      </c>
      <c r="R11" s="4" t="s">
        <v>127</v>
      </c>
      <c r="S11" s="4" t="s">
        <v>127</v>
      </c>
      <c r="T11" s="6" t="s">
        <v>101</v>
      </c>
      <c r="U11" s="4" t="s">
        <v>171</v>
      </c>
      <c r="V11" s="4" t="s">
        <v>172</v>
      </c>
      <c r="W11" s="4" t="s">
        <v>173</v>
      </c>
      <c r="X11" s="4"/>
      <c r="Y11" s="4" t="s">
        <v>43</v>
      </c>
    </row>
    <row r="12" customFormat="false" ht="43.25" hidden="false" customHeight="false" outlineLevel="0" collapsed="false">
      <c r="A12" s="13" t="s">
        <v>174</v>
      </c>
      <c r="B12" s="13" t="s">
        <v>15</v>
      </c>
      <c r="C12" s="13" t="s">
        <v>154</v>
      </c>
      <c r="D12" s="13" t="s">
        <v>155</v>
      </c>
      <c r="E12" s="13" t="n">
        <v>3</v>
      </c>
      <c r="F12" s="13" t="s">
        <v>175</v>
      </c>
      <c r="G12" s="13" t="s">
        <v>176</v>
      </c>
      <c r="H12" s="13" t="s">
        <v>177</v>
      </c>
      <c r="I12" s="13" t="s">
        <v>178</v>
      </c>
      <c r="J12" s="13" t="s">
        <v>179</v>
      </c>
      <c r="K12" s="13" t="s">
        <v>137</v>
      </c>
      <c r="L12" s="13" t="s">
        <v>97</v>
      </c>
      <c r="M12" s="13" t="s">
        <v>97</v>
      </c>
      <c r="N12" s="13" t="s">
        <v>97</v>
      </c>
      <c r="O12" s="13" t="s">
        <v>97</v>
      </c>
      <c r="P12" s="13" t="s">
        <v>160</v>
      </c>
      <c r="Q12" s="13" t="s">
        <v>128</v>
      </c>
      <c r="R12" s="13" t="s">
        <v>127</v>
      </c>
      <c r="S12" s="13" t="s">
        <v>127</v>
      </c>
      <c r="T12" s="13" t="s">
        <v>161</v>
      </c>
      <c r="U12" s="13" t="s">
        <v>180</v>
      </c>
      <c r="V12" s="13" t="s">
        <v>181</v>
      </c>
      <c r="W12" s="13" t="s">
        <v>182</v>
      </c>
      <c r="X12" s="13"/>
      <c r="Y12" s="13" t="s">
        <v>43</v>
      </c>
    </row>
    <row r="13" customFormat="false" ht="43.25" hidden="false" customHeight="false" outlineLevel="0" collapsed="false">
      <c r="A13" s="13" t="s">
        <v>183</v>
      </c>
      <c r="B13" s="13" t="s">
        <v>15</v>
      </c>
      <c r="C13" s="13" t="s">
        <v>154</v>
      </c>
      <c r="D13" s="13" t="s">
        <v>155</v>
      </c>
      <c r="E13" s="13" t="n">
        <v>4</v>
      </c>
      <c r="F13" s="13" t="s">
        <v>184</v>
      </c>
      <c r="G13" s="13" t="s">
        <v>185</v>
      </c>
      <c r="H13" s="13" t="s">
        <v>186</v>
      </c>
      <c r="I13" s="13" t="s">
        <v>187</v>
      </c>
      <c r="J13" s="13" t="s">
        <v>188</v>
      </c>
      <c r="K13" s="13" t="s">
        <v>137</v>
      </c>
      <c r="L13" s="13" t="s">
        <v>97</v>
      </c>
      <c r="M13" s="13" t="s">
        <v>97</v>
      </c>
      <c r="N13" s="13" t="s">
        <v>97</v>
      </c>
      <c r="O13" s="13" t="s">
        <v>97</v>
      </c>
      <c r="P13" s="13" t="s">
        <v>160</v>
      </c>
      <c r="Q13" s="13" t="s">
        <v>128</v>
      </c>
      <c r="R13" s="13" t="s">
        <v>189</v>
      </c>
      <c r="S13" s="6" t="s">
        <v>101</v>
      </c>
      <c r="T13" s="6" t="s">
        <v>101</v>
      </c>
      <c r="U13" s="13" t="s">
        <v>190</v>
      </c>
      <c r="V13" s="13" t="s">
        <v>191</v>
      </c>
      <c r="W13" s="13" t="s">
        <v>192</v>
      </c>
      <c r="X13" s="13"/>
      <c r="Y13" s="13" t="s">
        <v>43</v>
      </c>
    </row>
    <row r="14" customFormat="false" ht="32.8" hidden="false" customHeight="false" outlineLevel="0" collapsed="false">
      <c r="A14" s="13" t="s">
        <v>193</v>
      </c>
      <c r="B14" s="13" t="s">
        <v>15</v>
      </c>
      <c r="C14" s="13" t="s">
        <v>154</v>
      </c>
      <c r="D14" s="13" t="s">
        <v>155</v>
      </c>
      <c r="E14" s="13" t="n">
        <v>5</v>
      </c>
      <c r="F14" s="13" t="s">
        <v>194</v>
      </c>
      <c r="G14" s="13" t="s">
        <v>195</v>
      </c>
      <c r="H14" s="13" t="s">
        <v>196</v>
      </c>
      <c r="I14" s="13" t="s">
        <v>197</v>
      </c>
      <c r="J14" s="13" t="s">
        <v>198</v>
      </c>
      <c r="K14" s="13" t="s">
        <v>137</v>
      </c>
      <c r="L14" s="13" t="s">
        <v>97</v>
      </c>
      <c r="M14" s="13" t="s">
        <v>97</v>
      </c>
      <c r="N14" s="13" t="s">
        <v>97</v>
      </c>
      <c r="O14" s="13" t="s">
        <v>97</v>
      </c>
      <c r="P14" s="13" t="s">
        <v>160</v>
      </c>
      <c r="Q14" s="13" t="s">
        <v>128</v>
      </c>
      <c r="R14" s="13" t="s">
        <v>127</v>
      </c>
      <c r="S14" s="13" t="s">
        <v>199</v>
      </c>
      <c r="T14" s="6" t="s">
        <v>101</v>
      </c>
      <c r="U14" s="13" t="s">
        <v>200</v>
      </c>
      <c r="V14" s="13" t="s">
        <v>201</v>
      </c>
      <c r="W14" s="13" t="s">
        <v>202</v>
      </c>
      <c r="X14" s="13"/>
      <c r="Y14" s="13" t="s">
        <v>43</v>
      </c>
    </row>
  </sheetData>
  <mergeCells count="2">
    <mergeCell ref="A1:Y1"/>
    <mergeCell ref="A2:Y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24"/>
    <col collapsed="false" customWidth="true" hidden="false" outlineLevel="0" max="3" min="3" style="0" width="16"/>
    <col collapsed="false" customWidth="true" hidden="false" outlineLevel="0" max="4" min="4" style="0" width="52"/>
    <col collapsed="false" customWidth="true" hidden="false" outlineLevel="0" max="5" min="5" style="0" width="28"/>
    <col collapsed="false" customWidth="true" hidden="false" outlineLevel="0" max="6" min="6" style="0" width="22"/>
    <col collapsed="false" customWidth="true" hidden="false" outlineLevel="0" max="7" min="7" style="0" width="38"/>
    <col collapsed="false" customWidth="true" hidden="false" outlineLevel="0" max="8" min="8" style="0" width="18"/>
    <col collapsed="false" customWidth="true" hidden="false" outlineLevel="0" max="9" min="9" style="0" width="22"/>
    <col collapsed="false" customWidth="true" hidden="false" outlineLevel="0" max="10" min="10" style="0" width="28"/>
    <col collapsed="false" customWidth="true" hidden="false" outlineLevel="0" max="11" min="11" style="0" width="12"/>
  </cols>
  <sheetData>
    <row r="1" customFormat="false" ht="24" hidden="false" customHeight="true" outlineLevel="0" collapsed="false">
      <c r="A1" s="10" t="s">
        <v>203</v>
      </c>
      <c r="B1" s="10"/>
      <c r="C1" s="10"/>
      <c r="D1" s="10"/>
      <c r="E1" s="10"/>
      <c r="F1" s="10"/>
      <c r="G1" s="10"/>
      <c r="H1" s="10"/>
      <c r="I1" s="10"/>
      <c r="J1" s="10"/>
      <c r="K1" s="10"/>
    </row>
    <row r="2" customFormat="false" ht="25.5" hidden="false" customHeight="true" outlineLevel="0" collapsed="false">
      <c r="A2" s="11" t="s">
        <v>204</v>
      </c>
      <c r="B2" s="11"/>
      <c r="C2" s="11"/>
      <c r="D2" s="11"/>
      <c r="E2" s="11"/>
      <c r="F2" s="11"/>
      <c r="G2" s="11"/>
      <c r="H2" s="11"/>
      <c r="I2" s="11"/>
      <c r="J2" s="11"/>
      <c r="K2" s="11"/>
    </row>
    <row r="3" customFormat="false" ht="33.75" hidden="false" customHeight="true" outlineLevel="0" collapsed="false">
      <c r="A3" s="12" t="s">
        <v>205</v>
      </c>
      <c r="B3" s="12" t="s">
        <v>68</v>
      </c>
      <c r="C3" s="12" t="s">
        <v>206</v>
      </c>
      <c r="D3" s="12" t="s">
        <v>207</v>
      </c>
      <c r="E3" s="12" t="s">
        <v>208</v>
      </c>
      <c r="F3" s="12" t="s">
        <v>73</v>
      </c>
      <c r="G3" s="12" t="s">
        <v>209</v>
      </c>
      <c r="H3" s="12" t="s">
        <v>210</v>
      </c>
      <c r="I3" s="12" t="s">
        <v>84</v>
      </c>
      <c r="J3" s="12" t="s">
        <v>211</v>
      </c>
      <c r="K3" s="12" t="s">
        <v>87</v>
      </c>
    </row>
    <row r="4" customFormat="false" ht="15" hidden="false" customHeight="false" outlineLevel="0" collapsed="false">
      <c r="A4" s="4" t="s">
        <v>212</v>
      </c>
      <c r="B4" s="4" t="s">
        <v>90</v>
      </c>
      <c r="C4" s="4" t="s">
        <v>88</v>
      </c>
      <c r="D4" s="4" t="s">
        <v>213</v>
      </c>
      <c r="E4" s="4" t="s">
        <v>214</v>
      </c>
      <c r="F4" s="4" t="s">
        <v>95</v>
      </c>
      <c r="G4" s="4" t="s">
        <v>215</v>
      </c>
      <c r="H4" s="4" t="s">
        <v>216</v>
      </c>
      <c r="I4" s="4" t="s">
        <v>217</v>
      </c>
      <c r="J4" s="4" t="s">
        <v>218</v>
      </c>
      <c r="K4" s="4" t="s">
        <v>219</v>
      </c>
    </row>
    <row r="5" customFormat="false" ht="15" hidden="false" customHeight="false" outlineLevel="0" collapsed="false">
      <c r="A5" s="4" t="s">
        <v>220</v>
      </c>
      <c r="B5" s="4" t="s">
        <v>90</v>
      </c>
      <c r="C5" s="4" t="s">
        <v>88</v>
      </c>
      <c r="D5" s="4" t="s">
        <v>221</v>
      </c>
      <c r="E5" s="4" t="s">
        <v>222</v>
      </c>
      <c r="F5" s="4" t="s">
        <v>95</v>
      </c>
      <c r="G5" s="4" t="s">
        <v>223</v>
      </c>
      <c r="H5" s="4" t="s">
        <v>216</v>
      </c>
      <c r="I5" s="4" t="s">
        <v>217</v>
      </c>
      <c r="J5" s="4" t="s">
        <v>224</v>
      </c>
      <c r="K5" s="4" t="s">
        <v>219</v>
      </c>
    </row>
    <row r="6" customFormat="false" ht="15" hidden="false" customHeight="false" outlineLevel="0" collapsed="false">
      <c r="A6" s="4" t="s">
        <v>225</v>
      </c>
      <c r="B6" s="4" t="s">
        <v>90</v>
      </c>
      <c r="C6" s="4" t="s">
        <v>88</v>
      </c>
      <c r="D6" s="4" t="s">
        <v>226</v>
      </c>
      <c r="E6" s="4" t="s">
        <v>222</v>
      </c>
      <c r="F6" s="4" t="s">
        <v>95</v>
      </c>
      <c r="G6" s="4" t="s">
        <v>227</v>
      </c>
      <c r="H6" s="4" t="s">
        <v>216</v>
      </c>
      <c r="I6" s="4" t="s">
        <v>217</v>
      </c>
      <c r="J6" s="4" t="s">
        <v>228</v>
      </c>
      <c r="K6" s="4" t="s">
        <v>219</v>
      </c>
    </row>
    <row r="7" customFormat="false" ht="15" hidden="false" customHeight="false" outlineLevel="0" collapsed="false">
      <c r="A7" s="4" t="s">
        <v>229</v>
      </c>
      <c r="B7" s="4" t="s">
        <v>107</v>
      </c>
      <c r="C7" s="4" t="s">
        <v>105</v>
      </c>
      <c r="D7" s="4" t="s">
        <v>230</v>
      </c>
      <c r="E7" s="4" t="s">
        <v>231</v>
      </c>
      <c r="F7" s="4" t="s">
        <v>111</v>
      </c>
      <c r="G7" s="4" t="s">
        <v>232</v>
      </c>
      <c r="H7" s="4" t="s">
        <v>233</v>
      </c>
      <c r="I7" s="4" t="s">
        <v>234</v>
      </c>
      <c r="J7" s="4" t="s">
        <v>235</v>
      </c>
      <c r="K7" s="4" t="s">
        <v>219</v>
      </c>
    </row>
    <row r="8" customFormat="false" ht="15" hidden="false" customHeight="false" outlineLevel="0" collapsed="false">
      <c r="A8" s="4" t="s">
        <v>236</v>
      </c>
      <c r="B8" s="4" t="s">
        <v>107</v>
      </c>
      <c r="C8" s="4" t="s">
        <v>105</v>
      </c>
      <c r="D8" s="4" t="s">
        <v>237</v>
      </c>
      <c r="E8" s="4" t="s">
        <v>238</v>
      </c>
      <c r="F8" s="4" t="s">
        <v>111</v>
      </c>
      <c r="G8" s="4" t="s">
        <v>239</v>
      </c>
      <c r="H8" s="4" t="s">
        <v>233</v>
      </c>
      <c r="I8" s="4" t="s">
        <v>234</v>
      </c>
      <c r="J8" s="4" t="s">
        <v>240</v>
      </c>
      <c r="K8" s="4" t="s">
        <v>219</v>
      </c>
    </row>
    <row r="9" customFormat="false" ht="15" hidden="false" customHeight="false" outlineLevel="0" collapsed="false">
      <c r="A9" s="4" t="s">
        <v>241</v>
      </c>
      <c r="B9" s="4" t="s">
        <v>107</v>
      </c>
      <c r="C9" s="4" t="s">
        <v>105</v>
      </c>
      <c r="D9" s="4" t="s">
        <v>242</v>
      </c>
      <c r="E9" s="4" t="s">
        <v>243</v>
      </c>
      <c r="F9" s="4" t="s">
        <v>111</v>
      </c>
      <c r="G9" s="4" t="s">
        <v>244</v>
      </c>
      <c r="H9" s="4" t="s">
        <v>233</v>
      </c>
      <c r="I9" s="4" t="s">
        <v>234</v>
      </c>
      <c r="J9" s="4" t="s">
        <v>245</v>
      </c>
      <c r="K9" s="4" t="s">
        <v>219</v>
      </c>
    </row>
    <row r="10" customFormat="false" ht="22.35" hidden="false" customHeight="false" outlineLevel="0" collapsed="false">
      <c r="A10" s="4" t="s">
        <v>246</v>
      </c>
      <c r="B10" s="4" t="s">
        <v>119</v>
      </c>
      <c r="C10" s="4" t="s">
        <v>117</v>
      </c>
      <c r="D10" s="4" t="s">
        <v>247</v>
      </c>
      <c r="E10" s="4" t="s">
        <v>248</v>
      </c>
      <c r="F10" s="4" t="s">
        <v>249</v>
      </c>
      <c r="G10" s="4" t="s">
        <v>250</v>
      </c>
      <c r="H10" s="4" t="s">
        <v>251</v>
      </c>
      <c r="I10" s="4" t="s">
        <v>252</v>
      </c>
      <c r="J10" s="4" t="s">
        <v>253</v>
      </c>
      <c r="K10" s="4" t="s">
        <v>219</v>
      </c>
    </row>
    <row r="11" customFormat="false" ht="22.35" hidden="false" customHeight="false" outlineLevel="0" collapsed="false">
      <c r="A11" s="4" t="s">
        <v>254</v>
      </c>
      <c r="B11" s="4" t="s">
        <v>119</v>
      </c>
      <c r="C11" s="4" t="s">
        <v>117</v>
      </c>
      <c r="D11" s="4" t="s">
        <v>255</v>
      </c>
      <c r="E11" s="4" t="s">
        <v>256</v>
      </c>
      <c r="F11" s="4" t="s">
        <v>257</v>
      </c>
      <c r="G11" s="4" t="s">
        <v>258</v>
      </c>
      <c r="H11" s="4" t="s">
        <v>251</v>
      </c>
      <c r="I11" s="4" t="s">
        <v>252</v>
      </c>
      <c r="J11" s="4" t="s">
        <v>259</v>
      </c>
      <c r="K11" s="4" t="s">
        <v>219</v>
      </c>
    </row>
    <row r="12" customFormat="false" ht="22.35" hidden="false" customHeight="false" outlineLevel="0" collapsed="false">
      <c r="A12" s="4" t="s">
        <v>260</v>
      </c>
      <c r="B12" s="4" t="s">
        <v>119</v>
      </c>
      <c r="C12" s="4" t="s">
        <v>132</v>
      </c>
      <c r="D12" s="4" t="s">
        <v>261</v>
      </c>
      <c r="E12" s="4" t="s">
        <v>262</v>
      </c>
      <c r="F12" s="4" t="s">
        <v>136</v>
      </c>
      <c r="G12" s="4" t="s">
        <v>263</v>
      </c>
      <c r="H12" s="4" t="s">
        <v>251</v>
      </c>
      <c r="I12" s="4" t="s">
        <v>264</v>
      </c>
      <c r="J12" s="4" t="s">
        <v>265</v>
      </c>
      <c r="K12" s="4" t="s">
        <v>219</v>
      </c>
    </row>
    <row r="13" customFormat="false" ht="22.35" hidden="false" customHeight="false" outlineLevel="0" collapsed="false">
      <c r="A13" s="4" t="s">
        <v>266</v>
      </c>
      <c r="B13" s="4" t="s">
        <v>119</v>
      </c>
      <c r="C13" s="4" t="s">
        <v>140</v>
      </c>
      <c r="D13" s="4" t="s">
        <v>267</v>
      </c>
      <c r="E13" s="4" t="s">
        <v>268</v>
      </c>
      <c r="F13" s="4" t="s">
        <v>269</v>
      </c>
      <c r="G13" s="4" t="s">
        <v>270</v>
      </c>
      <c r="H13" s="4" t="s">
        <v>251</v>
      </c>
      <c r="I13" s="4" t="s">
        <v>271</v>
      </c>
      <c r="J13" s="4" t="s">
        <v>272</v>
      </c>
      <c r="K13" s="4" t="s">
        <v>219</v>
      </c>
    </row>
    <row r="14" customFormat="false" ht="22.35" hidden="false" customHeight="false" outlineLevel="0" collapsed="false">
      <c r="A14" s="4" t="s">
        <v>273</v>
      </c>
      <c r="B14" s="4" t="s">
        <v>119</v>
      </c>
      <c r="C14" s="4" t="s">
        <v>146</v>
      </c>
      <c r="D14" s="4" t="s">
        <v>274</v>
      </c>
      <c r="E14" s="4" t="s">
        <v>275</v>
      </c>
      <c r="F14" s="4" t="s">
        <v>151</v>
      </c>
      <c r="G14" s="4" t="s">
        <v>276</v>
      </c>
      <c r="H14" s="4" t="s">
        <v>251</v>
      </c>
      <c r="I14" s="4" t="s">
        <v>277</v>
      </c>
      <c r="J14" s="4" t="s">
        <v>278</v>
      </c>
      <c r="K14" s="4" t="s">
        <v>219</v>
      </c>
    </row>
    <row r="15" customFormat="false" ht="22.35" hidden="false" customHeight="false" outlineLevel="0" collapsed="false">
      <c r="A15" s="4" t="s">
        <v>279</v>
      </c>
      <c r="B15" s="4" t="s">
        <v>119</v>
      </c>
      <c r="C15" s="4" t="s">
        <v>146</v>
      </c>
      <c r="D15" s="4" t="s">
        <v>280</v>
      </c>
      <c r="E15" s="4" t="s">
        <v>281</v>
      </c>
      <c r="F15" s="4" t="s">
        <v>95</v>
      </c>
      <c r="G15" s="4" t="s">
        <v>282</v>
      </c>
      <c r="H15" s="4" t="s">
        <v>251</v>
      </c>
      <c r="I15" s="4" t="s">
        <v>277</v>
      </c>
      <c r="J15" s="4" t="s">
        <v>283</v>
      </c>
      <c r="K15" s="4" t="s">
        <v>219</v>
      </c>
    </row>
    <row r="16" customFormat="false" ht="22.35" hidden="false" customHeight="false" outlineLevel="0" collapsed="false">
      <c r="A16" s="13" t="s">
        <v>284</v>
      </c>
      <c r="B16" s="13" t="s">
        <v>155</v>
      </c>
      <c r="C16" s="13" t="s">
        <v>153</v>
      </c>
      <c r="D16" s="13" t="s">
        <v>285</v>
      </c>
      <c r="E16" s="13" t="s">
        <v>286</v>
      </c>
      <c r="F16" s="13" t="s">
        <v>95</v>
      </c>
      <c r="G16" s="13" t="s">
        <v>287</v>
      </c>
      <c r="H16" s="13" t="s">
        <v>251</v>
      </c>
      <c r="I16" s="13" t="s">
        <v>288</v>
      </c>
      <c r="J16" s="13" t="s">
        <v>289</v>
      </c>
      <c r="K16" s="13" t="s">
        <v>43</v>
      </c>
    </row>
    <row r="17" customFormat="false" ht="22.35" hidden="false" customHeight="false" outlineLevel="0" collapsed="false">
      <c r="A17" s="13" t="s">
        <v>290</v>
      </c>
      <c r="B17" s="13" t="s">
        <v>155</v>
      </c>
      <c r="C17" s="13" t="s">
        <v>165</v>
      </c>
      <c r="D17" s="13" t="s">
        <v>291</v>
      </c>
      <c r="E17" s="13" t="s">
        <v>292</v>
      </c>
      <c r="F17" s="13" t="s">
        <v>95</v>
      </c>
      <c r="G17" s="13" t="s">
        <v>293</v>
      </c>
      <c r="H17" s="13" t="s">
        <v>251</v>
      </c>
      <c r="I17" s="13" t="s">
        <v>294</v>
      </c>
      <c r="J17" s="13" t="s">
        <v>295</v>
      </c>
      <c r="K17" s="13" t="s">
        <v>43</v>
      </c>
    </row>
    <row r="18" customFormat="false" ht="22.35" hidden="false" customHeight="false" outlineLevel="0" collapsed="false">
      <c r="A18" s="13" t="s">
        <v>296</v>
      </c>
      <c r="B18" s="13" t="s">
        <v>155</v>
      </c>
      <c r="C18" s="13" t="s">
        <v>174</v>
      </c>
      <c r="D18" s="13" t="s">
        <v>297</v>
      </c>
      <c r="E18" s="13" t="s">
        <v>298</v>
      </c>
      <c r="F18" s="13" t="s">
        <v>198</v>
      </c>
      <c r="G18" s="13" t="s">
        <v>299</v>
      </c>
      <c r="H18" s="13" t="s">
        <v>251</v>
      </c>
      <c r="I18" s="13" t="s">
        <v>300</v>
      </c>
      <c r="J18" s="13" t="s">
        <v>301</v>
      </c>
      <c r="K18" s="13" t="s">
        <v>43</v>
      </c>
    </row>
    <row r="19" customFormat="false" ht="22.35" hidden="false" customHeight="false" outlineLevel="0" collapsed="false">
      <c r="A19" s="13" t="s">
        <v>302</v>
      </c>
      <c r="B19" s="13" t="s">
        <v>155</v>
      </c>
      <c r="C19" s="13" t="s">
        <v>174</v>
      </c>
      <c r="D19" s="13" t="s">
        <v>303</v>
      </c>
      <c r="E19" s="13" t="s">
        <v>304</v>
      </c>
      <c r="F19" s="13" t="s">
        <v>198</v>
      </c>
      <c r="G19" s="13" t="s">
        <v>305</v>
      </c>
      <c r="H19" s="13" t="s">
        <v>251</v>
      </c>
      <c r="I19" s="13" t="s">
        <v>300</v>
      </c>
      <c r="J19" s="13" t="s">
        <v>306</v>
      </c>
      <c r="K19" s="13" t="s">
        <v>43</v>
      </c>
    </row>
    <row r="20" customFormat="false" ht="22.35" hidden="false" customHeight="false" outlineLevel="0" collapsed="false">
      <c r="A20" s="13" t="s">
        <v>307</v>
      </c>
      <c r="B20" s="13" t="s">
        <v>155</v>
      </c>
      <c r="C20" s="13" t="s">
        <v>183</v>
      </c>
      <c r="D20" s="13" t="s">
        <v>308</v>
      </c>
      <c r="E20" s="13" t="s">
        <v>286</v>
      </c>
      <c r="F20" s="13" t="s">
        <v>188</v>
      </c>
      <c r="G20" s="13" t="s">
        <v>309</v>
      </c>
      <c r="H20" s="13" t="s">
        <v>251</v>
      </c>
      <c r="I20" s="13" t="s">
        <v>310</v>
      </c>
      <c r="J20" s="13" t="s">
        <v>311</v>
      </c>
      <c r="K20" s="13" t="s">
        <v>43</v>
      </c>
    </row>
    <row r="21" customFormat="false" ht="22.35" hidden="false" customHeight="false" outlineLevel="0" collapsed="false">
      <c r="A21" s="13" t="s">
        <v>312</v>
      </c>
      <c r="B21" s="13" t="s">
        <v>155</v>
      </c>
      <c r="C21" s="13" t="s">
        <v>183</v>
      </c>
      <c r="D21" s="13" t="s">
        <v>313</v>
      </c>
      <c r="E21" s="13" t="s">
        <v>314</v>
      </c>
      <c r="F21" s="13" t="s">
        <v>198</v>
      </c>
      <c r="G21" s="13" t="s">
        <v>315</v>
      </c>
      <c r="H21" s="13" t="s">
        <v>251</v>
      </c>
      <c r="I21" s="13" t="s">
        <v>310</v>
      </c>
      <c r="J21" s="13" t="s">
        <v>316</v>
      </c>
      <c r="K21" s="13" t="s">
        <v>43</v>
      </c>
    </row>
    <row r="22" customFormat="false" ht="22.35" hidden="false" customHeight="false" outlineLevel="0" collapsed="false">
      <c r="A22" s="13" t="s">
        <v>317</v>
      </c>
      <c r="B22" s="13" t="s">
        <v>155</v>
      </c>
      <c r="C22" s="13" t="s">
        <v>193</v>
      </c>
      <c r="D22" s="13" t="s">
        <v>318</v>
      </c>
      <c r="E22" s="13" t="s">
        <v>319</v>
      </c>
      <c r="F22" s="13" t="s">
        <v>198</v>
      </c>
      <c r="G22" s="13" t="s">
        <v>320</v>
      </c>
      <c r="H22" s="13" t="s">
        <v>251</v>
      </c>
      <c r="I22" s="13" t="s">
        <v>321</v>
      </c>
      <c r="J22" s="13" t="s">
        <v>322</v>
      </c>
      <c r="K22" s="13" t="s">
        <v>43</v>
      </c>
    </row>
    <row r="23" customFormat="false" ht="22.35" hidden="false" customHeight="false" outlineLevel="0" collapsed="false">
      <c r="A23" s="13" t="s">
        <v>323</v>
      </c>
      <c r="B23" s="13" t="s">
        <v>155</v>
      </c>
      <c r="C23" s="13" t="s">
        <v>193</v>
      </c>
      <c r="D23" s="13" t="s">
        <v>324</v>
      </c>
      <c r="E23" s="13" t="s">
        <v>325</v>
      </c>
      <c r="F23" s="13" t="s">
        <v>198</v>
      </c>
      <c r="G23" s="13" t="s">
        <v>326</v>
      </c>
      <c r="H23" s="13" t="s">
        <v>251</v>
      </c>
      <c r="I23" s="13" t="s">
        <v>321</v>
      </c>
      <c r="J23" s="13" t="s">
        <v>327</v>
      </c>
      <c r="K23" s="13" t="s">
        <v>43</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13"/>
    <col collapsed="false" customWidth="true" hidden="false" outlineLevel="0" max="3" min="3" style="0" width="14"/>
    <col collapsed="false" customWidth="true" hidden="false" outlineLevel="0" max="4" min="4" style="0" width="42"/>
    <col collapsed="false" customWidth="true" hidden="false" outlineLevel="0" max="5" min="5" style="0" width="28"/>
    <col collapsed="false" customWidth="true" hidden="false" outlineLevel="0" max="6" min="6" style="0" width="32"/>
    <col collapsed="false" customWidth="true" hidden="false" outlineLevel="0" max="7" min="7" style="0" width="40"/>
    <col collapsed="false" customWidth="true" hidden="false" outlineLevel="0" max="8" min="8" style="0" width="24"/>
    <col collapsed="false" customWidth="true" hidden="false" outlineLevel="0" max="9" min="9" style="0" width="26"/>
    <col collapsed="false" customWidth="true" hidden="false" outlineLevel="0" max="10" min="10" style="0" width="44"/>
    <col collapsed="false" customWidth="true" hidden="false" outlineLevel="0" max="11" min="11" style="0" width="12"/>
  </cols>
  <sheetData>
    <row r="1" customFormat="false" ht="24" hidden="false" customHeight="true" outlineLevel="0" collapsed="false">
      <c r="A1" s="10" t="s">
        <v>328</v>
      </c>
      <c r="B1" s="10"/>
      <c r="C1" s="10"/>
      <c r="D1" s="10"/>
      <c r="E1" s="10"/>
      <c r="F1" s="10"/>
      <c r="G1" s="10"/>
      <c r="H1" s="10"/>
      <c r="I1" s="10"/>
      <c r="J1" s="10"/>
      <c r="K1" s="10"/>
    </row>
    <row r="2" customFormat="false" ht="25.5" hidden="false" customHeight="true" outlineLevel="0" collapsed="false">
      <c r="A2" s="11" t="s">
        <v>329</v>
      </c>
      <c r="B2" s="11"/>
      <c r="C2" s="11"/>
      <c r="D2" s="11"/>
      <c r="E2" s="11"/>
      <c r="F2" s="11"/>
      <c r="G2" s="11"/>
      <c r="H2" s="11"/>
      <c r="I2" s="11"/>
      <c r="J2" s="11"/>
      <c r="K2" s="11"/>
    </row>
    <row r="3" customFormat="false" ht="33.75" hidden="false" customHeight="true" outlineLevel="0" collapsed="false">
      <c r="A3" s="12" t="s">
        <v>330</v>
      </c>
      <c r="B3" s="12" t="s">
        <v>14</v>
      </c>
      <c r="C3" s="12" t="s">
        <v>331</v>
      </c>
      <c r="D3" s="12" t="s">
        <v>332</v>
      </c>
      <c r="E3" s="12" t="s">
        <v>333</v>
      </c>
      <c r="F3" s="12" t="s">
        <v>334</v>
      </c>
      <c r="G3" s="12" t="s">
        <v>335</v>
      </c>
      <c r="H3" s="12" t="s">
        <v>336</v>
      </c>
      <c r="I3" s="12" t="s">
        <v>84</v>
      </c>
      <c r="J3" s="12" t="s">
        <v>85</v>
      </c>
      <c r="K3" s="12" t="s">
        <v>87</v>
      </c>
    </row>
    <row r="4" customFormat="false" ht="22.35" hidden="false" customHeight="false" outlineLevel="0" collapsed="false">
      <c r="A4" s="4" t="s">
        <v>95</v>
      </c>
      <c r="B4" s="4" t="s">
        <v>15</v>
      </c>
      <c r="C4" s="4" t="s">
        <v>337</v>
      </c>
      <c r="D4" s="4" t="s">
        <v>338</v>
      </c>
      <c r="E4" s="4" t="s">
        <v>339</v>
      </c>
      <c r="F4" s="4" t="s">
        <v>340</v>
      </c>
      <c r="G4" s="4" t="s">
        <v>341</v>
      </c>
      <c r="H4" s="4" t="s">
        <v>342</v>
      </c>
      <c r="I4" s="4" t="s">
        <v>343</v>
      </c>
      <c r="J4" s="4" t="s">
        <v>344</v>
      </c>
      <c r="K4" s="4" t="s">
        <v>43</v>
      </c>
    </row>
    <row r="5" customFormat="false" ht="22.35" hidden="false" customHeight="false" outlineLevel="0" collapsed="false">
      <c r="A5" s="13" t="s">
        <v>198</v>
      </c>
      <c r="B5" s="13" t="s">
        <v>15</v>
      </c>
      <c r="C5" s="13" t="s">
        <v>154</v>
      </c>
      <c r="D5" s="13" t="s">
        <v>345</v>
      </c>
      <c r="E5" s="13" t="s">
        <v>346</v>
      </c>
      <c r="F5" s="13" t="s">
        <v>347</v>
      </c>
      <c r="G5" s="13" t="s">
        <v>348</v>
      </c>
      <c r="H5" s="13" t="s">
        <v>349</v>
      </c>
      <c r="I5" s="13" t="s">
        <v>350</v>
      </c>
      <c r="J5" s="13" t="s">
        <v>351</v>
      </c>
      <c r="K5" s="13" t="s">
        <v>43</v>
      </c>
    </row>
    <row r="6" customFormat="false" ht="22.35" hidden="false" customHeight="false" outlineLevel="0" collapsed="false">
      <c r="A6" s="4" t="s">
        <v>269</v>
      </c>
      <c r="B6" s="4" t="s">
        <v>15</v>
      </c>
      <c r="C6" s="4" t="s">
        <v>337</v>
      </c>
      <c r="D6" s="4" t="s">
        <v>352</v>
      </c>
      <c r="E6" s="4" t="s">
        <v>353</v>
      </c>
      <c r="F6" s="4" t="s">
        <v>271</v>
      </c>
      <c r="G6" s="4" t="s">
        <v>354</v>
      </c>
      <c r="H6" s="4" t="s">
        <v>355</v>
      </c>
      <c r="I6" s="4" t="s">
        <v>356</v>
      </c>
      <c r="J6" s="4" t="s">
        <v>357</v>
      </c>
      <c r="K6" s="4" t="s">
        <v>43</v>
      </c>
    </row>
    <row r="7" customFormat="false" ht="22.35" hidden="false" customHeight="false" outlineLevel="0" collapsed="false">
      <c r="A7" s="4" t="s">
        <v>136</v>
      </c>
      <c r="B7" s="4" t="s">
        <v>15</v>
      </c>
      <c r="C7" s="4" t="s">
        <v>358</v>
      </c>
      <c r="D7" s="4" t="s">
        <v>359</v>
      </c>
      <c r="E7" s="4" t="s">
        <v>360</v>
      </c>
      <c r="F7" s="4" t="s">
        <v>361</v>
      </c>
      <c r="G7" s="4" t="s">
        <v>362</v>
      </c>
      <c r="H7" s="4" t="s">
        <v>355</v>
      </c>
      <c r="I7" s="4" t="s">
        <v>356</v>
      </c>
      <c r="J7" s="4" t="s">
        <v>357</v>
      </c>
      <c r="K7" s="4" t="s">
        <v>43</v>
      </c>
    </row>
    <row r="8" customFormat="false" ht="15" hidden="false" customHeight="false" outlineLevel="0" collapsed="false">
      <c r="A8" s="4" t="s">
        <v>249</v>
      </c>
      <c r="B8" s="4" t="s">
        <v>15</v>
      </c>
      <c r="C8" s="4" t="s">
        <v>337</v>
      </c>
      <c r="D8" s="4" t="s">
        <v>363</v>
      </c>
      <c r="E8" s="4" t="s">
        <v>364</v>
      </c>
      <c r="F8" s="4" t="s">
        <v>365</v>
      </c>
      <c r="G8" s="4" t="s">
        <v>366</v>
      </c>
      <c r="H8" s="4" t="s">
        <v>355</v>
      </c>
      <c r="I8" s="4" t="s">
        <v>356</v>
      </c>
      <c r="J8" s="4" t="s">
        <v>357</v>
      </c>
      <c r="K8" s="4" t="s">
        <v>43</v>
      </c>
    </row>
    <row r="9" customFormat="false" ht="22.35" hidden="false" customHeight="false" outlineLevel="0" collapsed="false">
      <c r="A9" s="4" t="s">
        <v>367</v>
      </c>
      <c r="B9" s="4" t="s">
        <v>15</v>
      </c>
      <c r="C9" s="4" t="s">
        <v>337</v>
      </c>
      <c r="D9" s="4" t="s">
        <v>368</v>
      </c>
      <c r="E9" s="4" t="s">
        <v>369</v>
      </c>
      <c r="F9" s="4" t="s">
        <v>365</v>
      </c>
      <c r="G9" s="4" t="s">
        <v>370</v>
      </c>
      <c r="H9" s="4" t="s">
        <v>371</v>
      </c>
      <c r="I9" s="4" t="s">
        <v>365</v>
      </c>
      <c r="J9" s="4" t="s">
        <v>372</v>
      </c>
      <c r="K9" s="4" t="s">
        <v>43</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20"/>
    <col collapsed="false" customWidth="true" hidden="false" outlineLevel="0" max="4" min="4" style="0" width="30"/>
    <col collapsed="false" customWidth="true" hidden="false" outlineLevel="0" max="5" min="5" style="0" width="24"/>
    <col collapsed="false" customWidth="true" hidden="false" outlineLevel="0" max="6" min="6" style="0" width="22"/>
    <col collapsed="false" customWidth="true" hidden="false" outlineLevel="0" max="7" min="7" style="0" width="36"/>
    <col collapsed="false" customWidth="true" hidden="false" outlineLevel="0" max="8" min="8" style="0" width="15"/>
    <col collapsed="false" customWidth="true" hidden="false" outlineLevel="0" max="9" min="9" style="0" width="44"/>
    <col collapsed="false" customWidth="true" hidden="false" outlineLevel="0" max="10" min="10" style="0" width="42"/>
    <col collapsed="false" customWidth="true" hidden="false" outlineLevel="0" max="11" min="11" style="0" width="30"/>
    <col collapsed="false" customWidth="true" hidden="false" outlineLevel="0" max="12" min="12" style="0" width="12"/>
  </cols>
  <sheetData>
    <row r="1" customFormat="false" ht="24" hidden="false" customHeight="true" outlineLevel="0" collapsed="false">
      <c r="A1" s="10" t="s">
        <v>373</v>
      </c>
      <c r="B1" s="10"/>
      <c r="C1" s="10"/>
      <c r="D1" s="10"/>
      <c r="E1" s="10"/>
      <c r="F1" s="10"/>
      <c r="G1" s="10"/>
      <c r="H1" s="10"/>
      <c r="I1" s="10"/>
      <c r="J1" s="10"/>
      <c r="K1" s="10"/>
      <c r="L1" s="10"/>
    </row>
    <row r="2" customFormat="false" ht="25.5" hidden="false" customHeight="true" outlineLevel="0" collapsed="false">
      <c r="A2" s="11" t="s">
        <v>374</v>
      </c>
      <c r="B2" s="11"/>
      <c r="C2" s="11"/>
      <c r="D2" s="11"/>
      <c r="E2" s="11"/>
      <c r="F2" s="11"/>
      <c r="G2" s="11"/>
      <c r="H2" s="11"/>
      <c r="I2" s="11"/>
      <c r="J2" s="11"/>
      <c r="K2" s="11"/>
      <c r="L2" s="11"/>
    </row>
    <row r="3" customFormat="false" ht="33.75" hidden="false" customHeight="true" outlineLevel="0" collapsed="false">
      <c r="A3" s="12" t="s">
        <v>375</v>
      </c>
      <c r="B3" s="12" t="s">
        <v>14</v>
      </c>
      <c r="C3" s="12" t="s">
        <v>376</v>
      </c>
      <c r="D3" s="12" t="s">
        <v>377</v>
      </c>
      <c r="E3" s="12" t="s">
        <v>378</v>
      </c>
      <c r="F3" s="12" t="s">
        <v>379</v>
      </c>
      <c r="G3" s="12" t="s">
        <v>380</v>
      </c>
      <c r="H3" s="12" t="s">
        <v>381</v>
      </c>
      <c r="I3" s="12" t="s">
        <v>382</v>
      </c>
      <c r="J3" s="12" t="s">
        <v>84</v>
      </c>
      <c r="K3" s="12" t="s">
        <v>383</v>
      </c>
      <c r="L3" s="12" t="s">
        <v>87</v>
      </c>
    </row>
    <row r="4" customFormat="false" ht="32.8" hidden="false" customHeight="false" outlineLevel="0" collapsed="false">
      <c r="A4" s="4" t="s">
        <v>384</v>
      </c>
      <c r="B4" s="4" t="s">
        <v>15</v>
      </c>
      <c r="C4" s="4" t="s">
        <v>385</v>
      </c>
      <c r="D4" s="4" t="s">
        <v>107</v>
      </c>
      <c r="E4" s="4" t="s">
        <v>386</v>
      </c>
      <c r="F4" s="4" t="s">
        <v>387</v>
      </c>
      <c r="G4" s="4" t="s">
        <v>388</v>
      </c>
      <c r="H4" s="6" t="s">
        <v>100</v>
      </c>
      <c r="I4" s="4" t="s">
        <v>389</v>
      </c>
      <c r="J4" s="4" t="s">
        <v>390</v>
      </c>
      <c r="K4" s="4" t="s">
        <v>391</v>
      </c>
      <c r="L4" s="4" t="s">
        <v>43</v>
      </c>
    </row>
    <row r="5" customFormat="false" ht="22.35" hidden="false" customHeight="false" outlineLevel="0" collapsed="false">
      <c r="A5" s="4" t="s">
        <v>392</v>
      </c>
      <c r="B5" s="4" t="s">
        <v>15</v>
      </c>
      <c r="C5" s="4" t="s">
        <v>77</v>
      </c>
      <c r="D5" s="4" t="s">
        <v>107</v>
      </c>
      <c r="E5" s="4" t="s">
        <v>393</v>
      </c>
      <c r="F5" s="4" t="s">
        <v>394</v>
      </c>
      <c r="G5" s="4" t="s">
        <v>395</v>
      </c>
      <c r="H5" s="4" t="s">
        <v>128</v>
      </c>
      <c r="I5" s="4" t="s">
        <v>395</v>
      </c>
      <c r="J5" s="4" t="s">
        <v>396</v>
      </c>
      <c r="K5" s="4" t="s">
        <v>397</v>
      </c>
      <c r="L5" s="4" t="s">
        <v>219</v>
      </c>
    </row>
    <row r="6" customFormat="false" ht="22.35" hidden="false" customHeight="false" outlineLevel="0" collapsed="false">
      <c r="A6" s="4" t="s">
        <v>398</v>
      </c>
      <c r="B6" s="4" t="s">
        <v>15</v>
      </c>
      <c r="C6" s="4" t="s">
        <v>78</v>
      </c>
      <c r="D6" s="4" t="s">
        <v>107</v>
      </c>
      <c r="E6" s="4" t="s">
        <v>399</v>
      </c>
      <c r="F6" s="4" t="s">
        <v>394</v>
      </c>
      <c r="G6" s="4" t="s">
        <v>395</v>
      </c>
      <c r="H6" s="4" t="s">
        <v>128</v>
      </c>
      <c r="I6" s="4" t="s">
        <v>395</v>
      </c>
      <c r="J6" s="4" t="s">
        <v>400</v>
      </c>
      <c r="K6" s="4" t="s">
        <v>397</v>
      </c>
      <c r="L6" s="4" t="s">
        <v>219</v>
      </c>
    </row>
    <row r="7" customFormat="false" ht="32.8" hidden="false" customHeight="false" outlineLevel="0" collapsed="false">
      <c r="A7" s="4" t="s">
        <v>401</v>
      </c>
      <c r="B7" s="4" t="s">
        <v>402</v>
      </c>
      <c r="C7" s="4" t="s">
        <v>385</v>
      </c>
      <c r="D7" s="4" t="s">
        <v>403</v>
      </c>
      <c r="E7" s="4" t="s">
        <v>386</v>
      </c>
      <c r="F7" s="4" t="s">
        <v>404</v>
      </c>
      <c r="G7" s="4" t="s">
        <v>405</v>
      </c>
      <c r="H7" s="6" t="s">
        <v>100</v>
      </c>
      <c r="I7" s="4" t="s">
        <v>406</v>
      </c>
      <c r="J7" s="4" t="s">
        <v>407</v>
      </c>
      <c r="K7" s="4" t="s">
        <v>408</v>
      </c>
      <c r="L7" s="4" t="s">
        <v>43</v>
      </c>
    </row>
    <row r="8" customFormat="false" ht="22.35" hidden="false" customHeight="false" outlineLevel="0" collapsed="false">
      <c r="A8" s="4" t="s">
        <v>409</v>
      </c>
      <c r="B8" s="4" t="s">
        <v>402</v>
      </c>
      <c r="C8" s="4" t="s">
        <v>77</v>
      </c>
      <c r="D8" s="4" t="s">
        <v>403</v>
      </c>
      <c r="E8" s="4" t="s">
        <v>393</v>
      </c>
      <c r="F8" s="4" t="s">
        <v>394</v>
      </c>
      <c r="G8" s="4" t="s">
        <v>395</v>
      </c>
      <c r="H8" s="4" t="s">
        <v>128</v>
      </c>
      <c r="I8" s="4" t="s">
        <v>395</v>
      </c>
      <c r="J8" s="4" t="s">
        <v>410</v>
      </c>
      <c r="K8" s="4" t="s">
        <v>397</v>
      </c>
      <c r="L8" s="4" t="s">
        <v>219</v>
      </c>
    </row>
    <row r="9" customFormat="false" ht="32.8" hidden="false" customHeight="false" outlineLevel="0" collapsed="false">
      <c r="A9" s="4" t="s">
        <v>411</v>
      </c>
      <c r="B9" s="4" t="s">
        <v>402</v>
      </c>
      <c r="C9" s="4" t="s">
        <v>78</v>
      </c>
      <c r="D9" s="4" t="s">
        <v>403</v>
      </c>
      <c r="E9" s="4" t="s">
        <v>399</v>
      </c>
      <c r="F9" s="4" t="s">
        <v>394</v>
      </c>
      <c r="G9" s="4" t="s">
        <v>395</v>
      </c>
      <c r="H9" s="4" t="s">
        <v>128</v>
      </c>
      <c r="I9" s="4" t="s">
        <v>395</v>
      </c>
      <c r="J9" s="4" t="s">
        <v>412</v>
      </c>
      <c r="K9" s="4" t="s">
        <v>397</v>
      </c>
      <c r="L9" s="4" t="s">
        <v>219</v>
      </c>
    </row>
    <row r="10" customFormat="false" ht="22.35" hidden="false" customHeight="false" outlineLevel="0" collapsed="false">
      <c r="A10" s="4" t="s">
        <v>413</v>
      </c>
      <c r="B10" s="4" t="s">
        <v>15</v>
      </c>
      <c r="C10" s="4" t="s">
        <v>385</v>
      </c>
      <c r="D10" s="4" t="s">
        <v>90</v>
      </c>
      <c r="E10" s="4" t="s">
        <v>414</v>
      </c>
      <c r="F10" s="4" t="s">
        <v>415</v>
      </c>
      <c r="G10" s="4" t="s">
        <v>416</v>
      </c>
      <c r="H10" s="6" t="s">
        <v>100</v>
      </c>
      <c r="I10" s="4" t="s">
        <v>417</v>
      </c>
      <c r="J10" s="4" t="s">
        <v>418</v>
      </c>
      <c r="K10" s="4" t="s">
        <v>419</v>
      </c>
      <c r="L10" s="4" t="s">
        <v>43</v>
      </c>
    </row>
    <row r="11" customFormat="false" ht="22.35" hidden="false" customHeight="false" outlineLevel="0" collapsed="false">
      <c r="A11" s="4" t="s">
        <v>420</v>
      </c>
      <c r="B11" s="4" t="s">
        <v>15</v>
      </c>
      <c r="C11" s="4" t="s">
        <v>77</v>
      </c>
      <c r="D11" s="4" t="s">
        <v>90</v>
      </c>
      <c r="E11" s="4" t="s">
        <v>421</v>
      </c>
      <c r="F11" s="4" t="s">
        <v>415</v>
      </c>
      <c r="G11" s="4" t="s">
        <v>395</v>
      </c>
      <c r="H11" s="4" t="s">
        <v>128</v>
      </c>
      <c r="I11" s="4" t="s">
        <v>395</v>
      </c>
      <c r="J11" s="4" t="s">
        <v>422</v>
      </c>
      <c r="K11" s="4" t="s">
        <v>391</v>
      </c>
      <c r="L11" s="4" t="s">
        <v>219</v>
      </c>
    </row>
    <row r="12" customFormat="false" ht="32.8" hidden="false" customHeight="false" outlineLevel="0" collapsed="false">
      <c r="A12" s="4" t="s">
        <v>423</v>
      </c>
      <c r="B12" s="4" t="s">
        <v>15</v>
      </c>
      <c r="C12" s="4" t="s">
        <v>78</v>
      </c>
      <c r="D12" s="4" t="s">
        <v>90</v>
      </c>
      <c r="E12" s="4" t="s">
        <v>424</v>
      </c>
      <c r="F12" s="4" t="s">
        <v>415</v>
      </c>
      <c r="G12" s="4" t="s">
        <v>425</v>
      </c>
      <c r="H12" s="6" t="s">
        <v>100</v>
      </c>
      <c r="I12" s="4" t="s">
        <v>426</v>
      </c>
      <c r="J12" s="4" t="s">
        <v>427</v>
      </c>
      <c r="K12" s="4" t="s">
        <v>391</v>
      </c>
      <c r="L12" s="4" t="s">
        <v>43</v>
      </c>
    </row>
    <row r="13" customFormat="false" ht="15" hidden="false" customHeight="false" outlineLevel="0" collapsed="false">
      <c r="A13" s="4" t="s">
        <v>428</v>
      </c>
      <c r="B13" s="4" t="s">
        <v>15</v>
      </c>
      <c r="C13" s="4" t="s">
        <v>385</v>
      </c>
      <c r="D13" s="4" t="s">
        <v>252</v>
      </c>
      <c r="E13" s="4" t="s">
        <v>429</v>
      </c>
      <c r="F13" s="4" t="s">
        <v>430</v>
      </c>
      <c r="G13" s="4" t="s">
        <v>395</v>
      </c>
      <c r="H13" s="4" t="s">
        <v>128</v>
      </c>
      <c r="I13" s="4" t="s">
        <v>395</v>
      </c>
      <c r="J13" s="4" t="s">
        <v>431</v>
      </c>
      <c r="K13" s="4" t="s">
        <v>432</v>
      </c>
      <c r="L13" s="4" t="s">
        <v>219</v>
      </c>
    </row>
    <row r="14" customFormat="false" ht="15" hidden="false" customHeight="false" outlineLevel="0" collapsed="false">
      <c r="A14" s="4" t="s">
        <v>433</v>
      </c>
      <c r="B14" s="4" t="s">
        <v>15</v>
      </c>
      <c r="C14" s="4" t="s">
        <v>385</v>
      </c>
      <c r="D14" s="4" t="s">
        <v>264</v>
      </c>
      <c r="E14" s="4" t="s">
        <v>429</v>
      </c>
      <c r="F14" s="4" t="s">
        <v>430</v>
      </c>
      <c r="G14" s="4" t="s">
        <v>395</v>
      </c>
      <c r="H14" s="4" t="s">
        <v>128</v>
      </c>
      <c r="I14" s="4" t="s">
        <v>395</v>
      </c>
      <c r="J14" s="4" t="s">
        <v>434</v>
      </c>
      <c r="K14" s="4" t="s">
        <v>432</v>
      </c>
      <c r="L14" s="4" t="s">
        <v>219</v>
      </c>
    </row>
    <row r="15" customFormat="false" ht="15" hidden="false" customHeight="false" outlineLevel="0" collapsed="false">
      <c r="A15" s="4" t="s">
        <v>435</v>
      </c>
      <c r="B15" s="4" t="s">
        <v>15</v>
      </c>
      <c r="C15" s="4" t="s">
        <v>385</v>
      </c>
      <c r="D15" s="4" t="s">
        <v>271</v>
      </c>
      <c r="E15" s="4" t="s">
        <v>429</v>
      </c>
      <c r="F15" s="4" t="s">
        <v>430</v>
      </c>
      <c r="G15" s="4" t="s">
        <v>395</v>
      </c>
      <c r="H15" s="4" t="s">
        <v>128</v>
      </c>
      <c r="I15" s="4" t="s">
        <v>395</v>
      </c>
      <c r="J15" s="4" t="s">
        <v>436</v>
      </c>
      <c r="K15" s="4" t="s">
        <v>432</v>
      </c>
      <c r="L15" s="4" t="s">
        <v>219</v>
      </c>
    </row>
    <row r="16" customFormat="false" ht="15" hidden="false" customHeight="false" outlineLevel="0" collapsed="false">
      <c r="A16" s="4" t="s">
        <v>437</v>
      </c>
      <c r="B16" s="4" t="s">
        <v>15</v>
      </c>
      <c r="C16" s="4" t="s">
        <v>385</v>
      </c>
      <c r="D16" s="4" t="s">
        <v>277</v>
      </c>
      <c r="E16" s="4" t="s">
        <v>429</v>
      </c>
      <c r="F16" s="4" t="s">
        <v>430</v>
      </c>
      <c r="G16" s="4" t="s">
        <v>395</v>
      </c>
      <c r="H16" s="4" t="s">
        <v>128</v>
      </c>
      <c r="I16" s="4" t="s">
        <v>395</v>
      </c>
      <c r="J16" s="4" t="s">
        <v>438</v>
      </c>
      <c r="K16" s="4" t="s">
        <v>432</v>
      </c>
      <c r="L16" s="4" t="s">
        <v>219</v>
      </c>
    </row>
    <row r="17" customFormat="false" ht="22.35" hidden="false" customHeight="false" outlineLevel="0" collapsed="false">
      <c r="A17" s="4" t="s">
        <v>439</v>
      </c>
      <c r="B17" s="4" t="s">
        <v>15</v>
      </c>
      <c r="C17" s="4" t="s">
        <v>77</v>
      </c>
      <c r="D17" s="4" t="s">
        <v>440</v>
      </c>
      <c r="E17" s="4" t="s">
        <v>441</v>
      </c>
      <c r="F17" s="4" t="s">
        <v>442</v>
      </c>
      <c r="G17" s="4" t="s">
        <v>395</v>
      </c>
      <c r="H17" s="4" t="s">
        <v>128</v>
      </c>
      <c r="I17" s="4" t="s">
        <v>395</v>
      </c>
      <c r="J17" s="4" t="s">
        <v>443</v>
      </c>
      <c r="K17" s="4" t="s">
        <v>444</v>
      </c>
      <c r="L17" s="4" t="s">
        <v>219</v>
      </c>
    </row>
    <row r="18" customFormat="false" ht="22.35" hidden="false" customHeight="false" outlineLevel="0" collapsed="false">
      <c r="A18" s="4" t="s">
        <v>445</v>
      </c>
      <c r="B18" s="4" t="s">
        <v>15</v>
      </c>
      <c r="C18" s="4" t="s">
        <v>78</v>
      </c>
      <c r="D18" s="4" t="s">
        <v>440</v>
      </c>
      <c r="E18" s="4" t="s">
        <v>441</v>
      </c>
      <c r="F18" s="4" t="s">
        <v>442</v>
      </c>
      <c r="G18" s="4" t="s">
        <v>395</v>
      </c>
      <c r="H18" s="4" t="s">
        <v>128</v>
      </c>
      <c r="I18" s="4" t="s">
        <v>395</v>
      </c>
      <c r="J18" s="4" t="s">
        <v>443</v>
      </c>
      <c r="K18" s="4" t="s">
        <v>444</v>
      </c>
      <c r="L18" s="4" t="s">
        <v>219</v>
      </c>
    </row>
    <row r="19" customFormat="false" ht="15" hidden="false" customHeight="false" outlineLevel="0" collapsed="false">
      <c r="A19" s="4" t="s">
        <v>446</v>
      </c>
      <c r="B19" s="4" t="s">
        <v>15</v>
      </c>
      <c r="C19" s="4" t="s">
        <v>447</v>
      </c>
      <c r="D19" s="4" t="s">
        <v>252</v>
      </c>
      <c r="E19" s="4" t="s">
        <v>448</v>
      </c>
      <c r="F19" s="4" t="s">
        <v>449</v>
      </c>
      <c r="G19" s="4" t="s">
        <v>449</v>
      </c>
      <c r="H19" s="4" t="s">
        <v>448</v>
      </c>
      <c r="I19" s="4" t="s">
        <v>450</v>
      </c>
      <c r="J19" s="4" t="s">
        <v>451</v>
      </c>
      <c r="K19" s="4" t="s">
        <v>452</v>
      </c>
      <c r="L19" s="4" t="s">
        <v>43</v>
      </c>
    </row>
    <row r="20" customFormat="false" ht="32.8" hidden="false" customHeight="false" outlineLevel="0" collapsed="false">
      <c r="A20" s="13" t="s">
        <v>453</v>
      </c>
      <c r="B20" s="13" t="s">
        <v>15</v>
      </c>
      <c r="C20" s="13" t="s">
        <v>385</v>
      </c>
      <c r="D20" s="13" t="s">
        <v>454</v>
      </c>
      <c r="E20" s="13" t="s">
        <v>455</v>
      </c>
      <c r="F20" s="13" t="s">
        <v>456</v>
      </c>
      <c r="G20" s="13" t="s">
        <v>395</v>
      </c>
      <c r="H20" s="13" t="s">
        <v>128</v>
      </c>
      <c r="I20" s="13" t="s">
        <v>395</v>
      </c>
      <c r="J20" s="13" t="s">
        <v>163</v>
      </c>
      <c r="K20" s="13" t="s">
        <v>457</v>
      </c>
      <c r="L20" s="13" t="s">
        <v>43</v>
      </c>
    </row>
    <row r="21" customFormat="false" ht="22.35" hidden="false" customHeight="false" outlineLevel="0" collapsed="false">
      <c r="A21" s="13" t="s">
        <v>458</v>
      </c>
      <c r="B21" s="13" t="s">
        <v>15</v>
      </c>
      <c r="C21" s="13" t="s">
        <v>385</v>
      </c>
      <c r="D21" s="13" t="s">
        <v>459</v>
      </c>
      <c r="E21" s="13" t="s">
        <v>460</v>
      </c>
      <c r="F21" s="13" t="s">
        <v>456</v>
      </c>
      <c r="G21" s="13" t="s">
        <v>395</v>
      </c>
      <c r="H21" s="13" t="s">
        <v>128</v>
      </c>
      <c r="I21" s="13" t="s">
        <v>395</v>
      </c>
      <c r="J21" s="13" t="s">
        <v>181</v>
      </c>
      <c r="K21" s="13" t="s">
        <v>457</v>
      </c>
      <c r="L21" s="13" t="s">
        <v>43</v>
      </c>
    </row>
    <row r="22" customFormat="false" ht="15" hidden="false" customHeight="false" outlineLevel="0" collapsed="false">
      <c r="A22" s="13" t="s">
        <v>461</v>
      </c>
      <c r="B22" s="13" t="s">
        <v>15</v>
      </c>
      <c r="C22" s="13" t="s">
        <v>385</v>
      </c>
      <c r="D22" s="13" t="s">
        <v>462</v>
      </c>
      <c r="E22" s="13" t="s">
        <v>455</v>
      </c>
      <c r="F22" s="13" t="s">
        <v>456</v>
      </c>
      <c r="G22" s="13" t="s">
        <v>395</v>
      </c>
      <c r="H22" s="13" t="s">
        <v>128</v>
      </c>
      <c r="I22" s="13" t="s">
        <v>395</v>
      </c>
      <c r="J22" s="13" t="s">
        <v>463</v>
      </c>
      <c r="K22" s="13" t="s">
        <v>464</v>
      </c>
      <c r="L22" s="13" t="s">
        <v>43</v>
      </c>
    </row>
    <row r="23" customFormat="false" ht="22.35" hidden="false" customHeight="false" outlineLevel="0" collapsed="false">
      <c r="A23" s="13" t="s">
        <v>465</v>
      </c>
      <c r="B23" s="13" t="s">
        <v>15</v>
      </c>
      <c r="C23" s="13" t="s">
        <v>447</v>
      </c>
      <c r="D23" s="13" t="s">
        <v>462</v>
      </c>
      <c r="E23" s="13" t="s">
        <v>466</v>
      </c>
      <c r="F23" s="13" t="s">
        <v>394</v>
      </c>
      <c r="G23" s="13" t="s">
        <v>395</v>
      </c>
      <c r="H23" s="13" t="s">
        <v>128</v>
      </c>
      <c r="I23" s="13" t="s">
        <v>395</v>
      </c>
      <c r="J23" s="13" t="s">
        <v>463</v>
      </c>
      <c r="K23" s="13" t="s">
        <v>467</v>
      </c>
      <c r="L23" s="13" t="s">
        <v>43</v>
      </c>
    </row>
    <row r="24" customFormat="false" ht="15" hidden="false" customHeight="false" outlineLevel="0" collapsed="false">
      <c r="A24" s="13" t="s">
        <v>468</v>
      </c>
      <c r="B24" s="13" t="s">
        <v>15</v>
      </c>
      <c r="C24" s="13" t="s">
        <v>385</v>
      </c>
      <c r="D24" s="13" t="s">
        <v>469</v>
      </c>
      <c r="E24" s="13" t="s">
        <v>470</v>
      </c>
      <c r="F24" s="13" t="s">
        <v>456</v>
      </c>
      <c r="G24" s="13" t="s">
        <v>395</v>
      </c>
      <c r="H24" s="13" t="s">
        <v>128</v>
      </c>
      <c r="I24" s="13" t="s">
        <v>395</v>
      </c>
      <c r="J24" s="13" t="s">
        <v>471</v>
      </c>
      <c r="K24" s="13" t="s">
        <v>464</v>
      </c>
      <c r="L24" s="13" t="s">
        <v>43</v>
      </c>
    </row>
    <row r="25" customFormat="false" ht="22.35" hidden="false" customHeight="false" outlineLevel="0" collapsed="false">
      <c r="A25" s="13" t="s">
        <v>472</v>
      </c>
      <c r="B25" s="13" t="s">
        <v>15</v>
      </c>
      <c r="C25" s="13" t="s">
        <v>447</v>
      </c>
      <c r="D25" s="13" t="s">
        <v>469</v>
      </c>
      <c r="E25" s="13" t="s">
        <v>466</v>
      </c>
      <c r="F25" s="13" t="s">
        <v>394</v>
      </c>
      <c r="G25" s="13" t="s">
        <v>395</v>
      </c>
      <c r="H25" s="13" t="s">
        <v>128</v>
      </c>
      <c r="I25" s="13" t="s">
        <v>395</v>
      </c>
      <c r="J25" s="13" t="s">
        <v>471</v>
      </c>
      <c r="K25" s="13" t="s">
        <v>467</v>
      </c>
      <c r="L25" s="13" t="s">
        <v>43</v>
      </c>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13"/>
    <col collapsed="false" customWidth="true" hidden="false" outlineLevel="0" max="3" min="3" style="0" width="32"/>
    <col collapsed="false" customWidth="true" hidden="false" outlineLevel="0" max="4" min="4" style="0" width="58"/>
    <col collapsed="false" customWidth="true" hidden="false" outlineLevel="0" max="5" min="5" style="0" width="18"/>
    <col collapsed="false" customWidth="true" hidden="false" outlineLevel="0" max="6" min="6" style="0" width="58"/>
    <col collapsed="false" customWidth="true" hidden="false" outlineLevel="0" max="7" min="7" style="0" width="30"/>
    <col collapsed="false" customWidth="true" hidden="false" outlineLevel="0" max="9" min="8" style="0" width="46"/>
    <col collapsed="false" customWidth="true" hidden="false" outlineLevel="0" max="10" min="10" style="0" width="12"/>
  </cols>
  <sheetData>
    <row r="1" customFormat="false" ht="24" hidden="false" customHeight="true" outlineLevel="0" collapsed="false">
      <c r="A1" s="10" t="s">
        <v>473</v>
      </c>
      <c r="B1" s="10"/>
      <c r="C1" s="10"/>
      <c r="D1" s="10"/>
      <c r="E1" s="10"/>
      <c r="F1" s="10"/>
      <c r="G1" s="10"/>
      <c r="H1" s="10"/>
      <c r="I1" s="10"/>
      <c r="J1" s="10"/>
    </row>
    <row r="2" customFormat="false" ht="25.5" hidden="false" customHeight="true" outlineLevel="0" collapsed="false">
      <c r="A2" s="11" t="s">
        <v>474</v>
      </c>
      <c r="B2" s="11"/>
      <c r="C2" s="11"/>
      <c r="D2" s="11"/>
      <c r="E2" s="11"/>
      <c r="F2" s="11"/>
      <c r="G2" s="11"/>
      <c r="H2" s="11"/>
      <c r="I2" s="11"/>
      <c r="J2" s="11"/>
    </row>
    <row r="3" customFormat="false" ht="33.75" hidden="false" customHeight="true" outlineLevel="0" collapsed="false">
      <c r="A3" s="12" t="s">
        <v>475</v>
      </c>
      <c r="B3" s="12" t="s">
        <v>14</v>
      </c>
      <c r="C3" s="12" t="s">
        <v>476</v>
      </c>
      <c r="D3" s="12" t="s">
        <v>477</v>
      </c>
      <c r="E3" s="12" t="s">
        <v>478</v>
      </c>
      <c r="F3" s="12" t="s">
        <v>479</v>
      </c>
      <c r="G3" s="12" t="s">
        <v>336</v>
      </c>
      <c r="H3" s="12" t="s">
        <v>480</v>
      </c>
      <c r="I3" s="12" t="s">
        <v>481</v>
      </c>
      <c r="J3" s="12" t="s">
        <v>87</v>
      </c>
    </row>
    <row r="4" customFormat="false" ht="22.35" hidden="false" customHeight="false" outlineLevel="0" collapsed="false">
      <c r="A4" s="4" t="s">
        <v>482</v>
      </c>
      <c r="B4" s="4" t="s">
        <v>15</v>
      </c>
      <c r="C4" s="4" t="s">
        <v>90</v>
      </c>
      <c r="D4" s="4" t="s">
        <v>483</v>
      </c>
      <c r="E4" s="4" t="s">
        <v>484</v>
      </c>
      <c r="F4" s="4" t="s">
        <v>485</v>
      </c>
      <c r="G4" s="4" t="s">
        <v>486</v>
      </c>
      <c r="H4" s="4" t="s">
        <v>487</v>
      </c>
      <c r="I4" s="4" t="s">
        <v>488</v>
      </c>
      <c r="J4" s="4" t="s">
        <v>43</v>
      </c>
    </row>
    <row r="5" customFormat="false" ht="22.35" hidden="false" customHeight="false" outlineLevel="0" collapsed="false">
      <c r="A5" s="4" t="s">
        <v>489</v>
      </c>
      <c r="B5" s="4" t="s">
        <v>15</v>
      </c>
      <c r="C5" s="4" t="s">
        <v>107</v>
      </c>
      <c r="D5" s="4" t="s">
        <v>490</v>
      </c>
      <c r="E5" s="4" t="s">
        <v>491</v>
      </c>
      <c r="F5" s="4" t="s">
        <v>492</v>
      </c>
      <c r="G5" s="4" t="s">
        <v>486</v>
      </c>
      <c r="H5" s="4" t="s">
        <v>487</v>
      </c>
      <c r="I5" s="4" t="s">
        <v>488</v>
      </c>
      <c r="J5" s="4" t="s">
        <v>43</v>
      </c>
    </row>
    <row r="6" customFormat="false" ht="22.35" hidden="false" customHeight="false" outlineLevel="0" collapsed="false">
      <c r="A6" s="4" t="s">
        <v>493</v>
      </c>
      <c r="B6" s="4" t="s">
        <v>15</v>
      </c>
      <c r="C6" s="4" t="s">
        <v>252</v>
      </c>
      <c r="D6" s="4" t="s">
        <v>494</v>
      </c>
      <c r="E6" s="4" t="s">
        <v>495</v>
      </c>
      <c r="F6" s="4" t="s">
        <v>496</v>
      </c>
      <c r="G6" s="4" t="s">
        <v>497</v>
      </c>
      <c r="H6" s="4" t="s">
        <v>498</v>
      </c>
      <c r="I6" s="4" t="s">
        <v>499</v>
      </c>
      <c r="J6" s="4" t="s">
        <v>43</v>
      </c>
    </row>
    <row r="7" customFormat="false" ht="15" hidden="false" customHeight="false" outlineLevel="0" collapsed="false">
      <c r="A7" s="4" t="s">
        <v>500</v>
      </c>
      <c r="B7" s="4" t="s">
        <v>15</v>
      </c>
      <c r="C7" s="4" t="s">
        <v>264</v>
      </c>
      <c r="D7" s="4" t="s">
        <v>483</v>
      </c>
      <c r="E7" s="4" t="s">
        <v>495</v>
      </c>
      <c r="F7" s="4" t="s">
        <v>501</v>
      </c>
      <c r="G7" s="4" t="s">
        <v>137</v>
      </c>
      <c r="H7" s="4" t="s">
        <v>498</v>
      </c>
      <c r="I7" s="4" t="s">
        <v>502</v>
      </c>
      <c r="J7" s="4" t="s">
        <v>43</v>
      </c>
    </row>
    <row r="8" customFormat="false" ht="15" hidden="false" customHeight="false" outlineLevel="0" collapsed="false">
      <c r="A8" s="4" t="s">
        <v>503</v>
      </c>
      <c r="B8" s="4" t="s">
        <v>15</v>
      </c>
      <c r="C8" s="4" t="s">
        <v>271</v>
      </c>
      <c r="D8" s="4" t="s">
        <v>483</v>
      </c>
      <c r="E8" s="4" t="s">
        <v>495</v>
      </c>
      <c r="F8" s="4" t="s">
        <v>501</v>
      </c>
      <c r="G8" s="4" t="s">
        <v>137</v>
      </c>
      <c r="H8" s="4" t="s">
        <v>498</v>
      </c>
      <c r="I8" s="4" t="s">
        <v>502</v>
      </c>
      <c r="J8" s="4" t="s">
        <v>43</v>
      </c>
    </row>
    <row r="9" customFormat="false" ht="22.35" hidden="false" customHeight="false" outlineLevel="0" collapsed="false">
      <c r="A9" s="4" t="s">
        <v>504</v>
      </c>
      <c r="B9" s="4" t="s">
        <v>15</v>
      </c>
      <c r="C9" s="4" t="s">
        <v>277</v>
      </c>
      <c r="D9" s="4" t="s">
        <v>505</v>
      </c>
      <c r="E9" s="4" t="s">
        <v>495</v>
      </c>
      <c r="F9" s="4" t="s">
        <v>501</v>
      </c>
      <c r="G9" s="4" t="s">
        <v>137</v>
      </c>
      <c r="H9" s="4" t="s">
        <v>498</v>
      </c>
      <c r="I9" s="4" t="s">
        <v>502</v>
      </c>
      <c r="J9" s="4" t="s">
        <v>43</v>
      </c>
    </row>
    <row r="10" customFormat="false" ht="22.35" hidden="false" customHeight="false" outlineLevel="0" collapsed="false">
      <c r="A10" s="4" t="s">
        <v>506</v>
      </c>
      <c r="B10" s="4" t="s">
        <v>402</v>
      </c>
      <c r="C10" s="4" t="s">
        <v>403</v>
      </c>
      <c r="D10" s="4" t="s">
        <v>490</v>
      </c>
      <c r="E10" s="4" t="s">
        <v>491</v>
      </c>
      <c r="F10" s="4" t="s">
        <v>507</v>
      </c>
      <c r="G10" s="4" t="s">
        <v>486</v>
      </c>
      <c r="H10" s="4" t="s">
        <v>487</v>
      </c>
      <c r="I10" s="4" t="s">
        <v>508</v>
      </c>
      <c r="J10" s="4" t="s">
        <v>43</v>
      </c>
    </row>
    <row r="11" customFormat="false" ht="22.35" hidden="false" customHeight="false" outlineLevel="0" collapsed="false">
      <c r="A11" s="13" t="s">
        <v>509</v>
      </c>
      <c r="B11" s="13" t="s">
        <v>15</v>
      </c>
      <c r="C11" s="13" t="s">
        <v>454</v>
      </c>
      <c r="D11" s="13" t="s">
        <v>510</v>
      </c>
      <c r="E11" s="13" t="s">
        <v>511</v>
      </c>
      <c r="F11" s="13" t="s">
        <v>512</v>
      </c>
      <c r="G11" s="13" t="s">
        <v>137</v>
      </c>
      <c r="H11" s="13" t="s">
        <v>513</v>
      </c>
      <c r="I11" s="13" t="s">
        <v>514</v>
      </c>
      <c r="J11" s="13" t="s">
        <v>43</v>
      </c>
    </row>
    <row r="12" customFormat="false" ht="22.35" hidden="false" customHeight="false" outlineLevel="0" collapsed="false">
      <c r="A12" s="4" t="s">
        <v>515</v>
      </c>
      <c r="B12" s="4" t="s">
        <v>15</v>
      </c>
      <c r="C12" s="4" t="s">
        <v>516</v>
      </c>
      <c r="D12" s="4" t="s">
        <v>517</v>
      </c>
      <c r="E12" s="4" t="s">
        <v>518</v>
      </c>
      <c r="F12" s="4" t="s">
        <v>519</v>
      </c>
      <c r="G12" s="4" t="s">
        <v>137</v>
      </c>
      <c r="H12" s="4" t="s">
        <v>520</v>
      </c>
      <c r="I12" s="4" t="s">
        <v>521</v>
      </c>
      <c r="J12" s="4" t="s">
        <v>43</v>
      </c>
    </row>
    <row r="13" customFormat="false" ht="32.8" hidden="false" customHeight="false" outlineLevel="0" collapsed="false">
      <c r="A13" s="13" t="s">
        <v>522</v>
      </c>
      <c r="B13" s="13" t="s">
        <v>15</v>
      </c>
      <c r="C13" s="13" t="s">
        <v>459</v>
      </c>
      <c r="D13" s="13" t="s">
        <v>523</v>
      </c>
      <c r="E13" s="13" t="s">
        <v>524</v>
      </c>
      <c r="F13" s="13" t="s">
        <v>525</v>
      </c>
      <c r="G13" s="13" t="s">
        <v>137</v>
      </c>
      <c r="H13" s="13" t="s">
        <v>526</v>
      </c>
      <c r="I13" s="13" t="s">
        <v>527</v>
      </c>
      <c r="J13" s="13" t="s">
        <v>43</v>
      </c>
    </row>
    <row r="14" customFormat="false" ht="22.35" hidden="false" customHeight="false" outlineLevel="0" collapsed="false">
      <c r="A14" s="13" t="s">
        <v>528</v>
      </c>
      <c r="B14" s="13" t="s">
        <v>15</v>
      </c>
      <c r="C14" s="13" t="s">
        <v>462</v>
      </c>
      <c r="D14" s="13" t="s">
        <v>529</v>
      </c>
      <c r="E14" s="13" t="s">
        <v>530</v>
      </c>
      <c r="F14" s="13" t="s">
        <v>531</v>
      </c>
      <c r="G14" s="13" t="s">
        <v>137</v>
      </c>
      <c r="H14" s="13" t="s">
        <v>191</v>
      </c>
      <c r="I14" s="13" t="s">
        <v>532</v>
      </c>
      <c r="J14" s="13" t="s">
        <v>43</v>
      </c>
    </row>
    <row r="15" customFormat="false" ht="22.35" hidden="false" customHeight="false" outlineLevel="0" collapsed="false">
      <c r="A15" s="13" t="s">
        <v>533</v>
      </c>
      <c r="B15" s="13" t="s">
        <v>15</v>
      </c>
      <c r="C15" s="13" t="s">
        <v>469</v>
      </c>
      <c r="D15" s="13" t="s">
        <v>534</v>
      </c>
      <c r="E15" s="13" t="s">
        <v>535</v>
      </c>
      <c r="F15" s="13" t="s">
        <v>536</v>
      </c>
      <c r="G15" s="13" t="s">
        <v>137</v>
      </c>
      <c r="H15" s="13" t="s">
        <v>201</v>
      </c>
      <c r="I15" s="13" t="s">
        <v>521</v>
      </c>
      <c r="J15" s="13" t="s">
        <v>43</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20"/>
    <col collapsed="false" customWidth="true" hidden="false" outlineLevel="0" max="4" min="4" style="0" width="32"/>
    <col collapsed="false" customWidth="true" hidden="false" outlineLevel="0" max="5" min="5" style="0" width="24"/>
    <col collapsed="false" customWidth="true" hidden="false" outlineLevel="0" max="6" min="6" style="0" width="16"/>
  </cols>
  <sheetData>
    <row r="1" customFormat="false" ht="24" hidden="false" customHeight="true" outlineLevel="0" collapsed="false">
      <c r="A1" s="10" t="s">
        <v>537</v>
      </c>
      <c r="B1" s="10"/>
      <c r="C1" s="10"/>
      <c r="D1" s="10"/>
      <c r="E1" s="10"/>
      <c r="F1" s="10"/>
    </row>
    <row r="2" customFormat="false" ht="25.5" hidden="false" customHeight="true" outlineLevel="0" collapsed="false">
      <c r="A2" s="11" t="s">
        <v>538</v>
      </c>
      <c r="B2" s="11"/>
      <c r="C2" s="11"/>
      <c r="D2" s="11"/>
      <c r="E2" s="11"/>
      <c r="F2" s="11"/>
    </row>
    <row r="3" customFormat="false" ht="33.75" hidden="false" customHeight="true" outlineLevel="0" collapsed="false">
      <c r="A3" s="12" t="s">
        <v>74</v>
      </c>
      <c r="B3" s="12" t="s">
        <v>54</v>
      </c>
      <c r="C3" s="12" t="s">
        <v>539</v>
      </c>
      <c r="D3" s="12" t="s">
        <v>540</v>
      </c>
      <c r="E3" s="12" t="s">
        <v>541</v>
      </c>
      <c r="F3" s="12" t="s">
        <v>14</v>
      </c>
    </row>
    <row r="4" customFormat="false" ht="15" hidden="false" customHeight="false" outlineLevel="0" collapsed="false">
      <c r="A4" s="4" t="s">
        <v>355</v>
      </c>
      <c r="B4" s="4" t="s">
        <v>128</v>
      </c>
      <c r="C4" s="4" t="s">
        <v>97</v>
      </c>
      <c r="D4" s="4" t="s">
        <v>127</v>
      </c>
      <c r="E4" s="4" t="s">
        <v>542</v>
      </c>
      <c r="F4" s="4" t="s">
        <v>15</v>
      </c>
    </row>
    <row r="5" customFormat="false" ht="15" hidden="false" customHeight="false" outlineLevel="0" collapsed="false">
      <c r="A5" s="4" t="s">
        <v>96</v>
      </c>
      <c r="B5" s="6" t="s">
        <v>100</v>
      </c>
      <c r="C5" s="6" t="s">
        <v>126</v>
      </c>
      <c r="D5" s="6" t="s">
        <v>101</v>
      </c>
      <c r="E5" s="4" t="s">
        <v>543</v>
      </c>
      <c r="F5" s="4" t="s">
        <v>402</v>
      </c>
    </row>
    <row r="6" customFormat="false" ht="15" hidden="false" customHeight="false" outlineLevel="0" collapsed="false">
      <c r="A6" s="4" t="s">
        <v>112</v>
      </c>
      <c r="B6" s="4" t="s">
        <v>448</v>
      </c>
      <c r="C6" s="4" t="s">
        <v>544</v>
      </c>
      <c r="D6" s="6" t="s">
        <v>100</v>
      </c>
      <c r="E6" s="4"/>
      <c r="F6" s="4" t="s">
        <v>545</v>
      </c>
    </row>
    <row r="7" customFormat="false" ht="15" hidden="false" customHeight="false" outlineLevel="0" collapsed="false">
      <c r="A7" s="4" t="s">
        <v>125</v>
      </c>
      <c r="B7" s="4"/>
      <c r="C7" s="4" t="s">
        <v>127</v>
      </c>
      <c r="D7" s="4"/>
      <c r="E7" s="4"/>
      <c r="F7" s="4" t="s">
        <v>546</v>
      </c>
    </row>
    <row r="8" customFormat="false" ht="15" hidden="false" customHeight="false" outlineLevel="0" collapsed="false">
      <c r="A8" s="4" t="s">
        <v>137</v>
      </c>
      <c r="B8" s="4"/>
      <c r="C8" s="6" t="s">
        <v>547</v>
      </c>
      <c r="D8" s="4"/>
      <c r="E8" s="4"/>
      <c r="F8" s="4"/>
    </row>
    <row r="9" customFormat="false" ht="15" hidden="false" customHeight="false" outlineLevel="0" collapsed="false">
      <c r="A9" s="4" t="s">
        <v>548</v>
      </c>
      <c r="B9" s="4"/>
      <c r="C9" s="6" t="s">
        <v>101</v>
      </c>
      <c r="D9" s="4"/>
      <c r="E9" s="4"/>
      <c r="F9" s="4"/>
    </row>
    <row r="12" customFormat="false" ht="15" hidden="false" customHeight="false" outlineLevel="0" collapsed="false">
      <c r="A12" s="7" t="s">
        <v>549</v>
      </c>
    </row>
    <row r="13" customFormat="false" ht="15" hidden="false" customHeight="false" outlineLevel="0" collapsed="false">
      <c r="A13" s="14" t="s">
        <v>550</v>
      </c>
      <c r="B13" s="14" t="s">
        <v>551</v>
      </c>
      <c r="C13" s="14" t="s">
        <v>552</v>
      </c>
      <c r="D13" s="14" t="s">
        <v>553</v>
      </c>
    </row>
    <row r="14" customFormat="false" ht="32.8" hidden="false" customHeight="false" outlineLevel="0" collapsed="false">
      <c r="A14" s="4" t="s">
        <v>554</v>
      </c>
      <c r="B14" s="4" t="s">
        <v>219</v>
      </c>
      <c r="C14" s="4" t="s">
        <v>555</v>
      </c>
      <c r="D14" s="4" t="s">
        <v>556</v>
      </c>
    </row>
    <row r="15" customFormat="false" ht="158.2" hidden="false" customHeight="false" outlineLevel="0" collapsed="false">
      <c r="A15" s="4" t="s">
        <v>460</v>
      </c>
      <c r="B15" s="4" t="s">
        <v>43</v>
      </c>
      <c r="C15" s="4" t="s">
        <v>557</v>
      </c>
      <c r="D15" s="4" t="s">
        <v>558</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2026-07-21T08:34:57Z</dcterms:created>
  <dc:creator>openpyxl</dc:creator>
  <dc:description/>
  <dc:language>en-US</dc:language>
  <cp:lastModifiedBy/>
  <dcterms:modified xsi:type="dcterms:W3CDTF">2026-07-21T08:34:57Z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