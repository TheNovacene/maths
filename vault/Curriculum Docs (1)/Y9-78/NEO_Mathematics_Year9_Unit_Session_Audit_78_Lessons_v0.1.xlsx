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20008cfcd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ar 9 Summary" sheetId="1" r:id="R06ae08d1d89f4253"/>
    <x:sheet xmlns:r="http://schemas.openxmlformats.org/officeDocument/2006/relationships" name="Unit Session Audit" sheetId="2" r:id="R68251dc4465b4465"/>
    <x:sheet xmlns:r="http://schemas.openxmlformats.org/officeDocument/2006/relationships" name="Session Type Guide" sheetId="3" r:id="R44aeef1142ba4823"/>
    <x:sheet xmlns:r="http://schemas.openxmlformats.org/officeDocument/2006/relationships" name="Pythagoras Example" sheetId="4" r:id="R2da5ac6ed6d9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3429"/>
      <x:name val="Carlito"/>
    </x:font>
    <x:font>
      <x:b/>
      <x:sz val="11"/>
      <x:color rgb="FF2F3429"/>
      <x:name val="Carlito"/>
    </x:font>
    <x:font>
      <x:b/>
      <x:sz val="12"/>
      <x:color rgb="FF2F342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4F6B50"/>
      </x:patternFill>
    </x:fill>
    <x:fill>
      <x:patternFill patternType="solid">
        <x:fgColor rgb="FFFFF9EF"/>
      </x:patternFill>
    </x:fill>
    <x:fill>
      <x:patternFill patternType="solid">
        <x:fgColor rgb="FFE6EFE2"/>
      </x:patternFill>
    </x:fill>
    <x:fill>
      <x:patternFill patternType="solid">
        <x:fgColor rgb="FFFFFFFF"/>
      </x:patternFill>
    </x:fill>
    <x:fill>
      <x:patternFill patternType="solid">
        <x:fgColor rgb="FFE4EEF4"/>
      </x:patternFill>
    </x:fill>
    <x:fill>
      <x:patternFill patternType="solid">
        <x:fgColor rgb="FFECE6F3"/>
      </x:patternFill>
    </x:fill>
    <x:fill>
      <x:patternFill patternType="solid">
        <x:fgColor rgb="FFF3E7DC"/>
      </x:patternFill>
    </x:fill>
    <x:fill>
      <x:patternFill patternType="solid">
        <x:fgColor rgb="FFEFE3F0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ont>
        <x:b/>
        <x:color rgb="FF8A4B3A"/>
      </x:font>
      <x:fill>
        <x:patternFill>
          <x:bgColor rgb="FFF3E7DC"/>
        </x:patternFill>
      </x:fill>
    </x:dxf>
    <x:dxf>
      <x:font>
        <x:b/>
        <x:color rgb="FF4F6B50"/>
      </x:font>
      <x:fill>
        <x:patternFill>
          <x:bgColor rgb="FFE6EFE2"/>
        </x:patternFill>
      </x:fill>
    </x:dxf>
    <x:dxf>
      <x:fill>
        <x:patternFill>
          <x:bgColor rgb="FFE6EFE2"/>
        </x:patternFill>
      </x:fill>
    </x:dxf>
    <x:dxf>
      <x:fill>
        <x:patternFill>
          <x:bgColor rgb="FFF3E7DC"/>
        </x:patternFill>
      </x:fill>
    </x:dxf>
    <x:dxf>
      <x:fill>
        <x:patternFill>
          <x:bgColor rgb="FFECE6F3"/>
        </x:patternFill>
      </x:fill>
    </x:dxf>
    <x:dxf>
      <x:fill>
        <x:patternFill patternType="solid">
          <x:bgColor rgb="FFDDEED8"/>
        </x:patternFill>
      </x:fill>
    </x:dxf>
    <x:dxf>
      <x:fill>
        <x:patternFill patternType="solid">
          <x:bgColor rgb="FFFFF1CF"/>
        </x:patternFill>
      </x:fill>
    </x:dxf>
    <x:dxf>
      <x:fill>
        <x:patternFill patternType="solid">
          <x:bgColor rgb="FFE9DF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64c6718364a55" /><Relationship Type="http://schemas.openxmlformats.org/officeDocument/2006/relationships/theme" Target="/xl/theme/theme1.xml" Id="R33ef590dcb174875" /><Relationship Type="http://schemas.openxmlformats.org/officeDocument/2006/relationships/sharedStrings" Target="/xl/sharedStrings.xml" Id="R36a8e7a8c74849b2" /><Relationship Type="http://schemas.openxmlformats.org/officeDocument/2006/relationships/worksheet" Target="/xl/worksheets/sheet1.xml" Id="R06ae08d1d89f4253" /><Relationship Type="http://schemas.openxmlformats.org/officeDocument/2006/relationships/worksheet" Target="/xl/worksheets/sheet2.xml" Id="R68251dc4465b4465" /><Relationship Type="http://schemas.openxmlformats.org/officeDocument/2006/relationships/worksheet" Target="/xl/worksheets/sheet3.xml" Id="R44aeef1142ba4823" /><Relationship Type="http://schemas.openxmlformats.org/officeDocument/2006/relationships/worksheet" Target="/xl/worksheets/sheet4.xml" Id="R2da5ac6ed6d94c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516027878a42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Recommended session mix within named Year 9 units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Inquiry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Practice Studio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Summary'!$C$12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Application / Modelling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Summary'!$D$12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Stepping Stone / Re-entry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Evidence / Portfolio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Flex</c:v>
          </c:tx>
          <c:cat>
            <c:strRef>
              <c:f>'Year 9 Summary'!$A$12</c:f>
              <c:strCache>
                <c:ptCount val="0"/>
              </c:strCache>
            </c:strRef>
          </c:cat>
          <c:val>
            <c:numRef>
              <c:f>'Year 9 Summary'!$G$12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516027878a42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c0c44b4a1d4cd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3" hidden="0" customWidth="1"/>
    <x:col min="9" max="9" width="15" hidden="0" customWidth="1"/>
    <x:col min="10" max="10" width="15" hidden="0" customWidth="1"/>
  </x:cols>
  <x:sheetData>
    <x:row r="1" ht="30" customHeight="1">
      <x:c r="A1" s="5" t="str">
        <x:v>NEO Mathematics Year 9 — 78-session Session Architecture Audit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3" t="str">
        <x:v>Purpose: review Year 9 only. Scenario planning audit; not a final locked curriculum map.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22" customHeight="1">
      <x:c r="A4" s="20" t="str">
        <x:v>Original 152-session map</x:v>
      </x:c>
      <x:c r="B4" s="24" t="n">
        <x:v>152</x:v>
      </x:c>
      <x:c r="D4" s="28" t="str">
        <x:v>Headline finding</x:v>
      </x:c>
      <x:c r="E4" s="28"/>
      <x:c r="F4" s="28"/>
      <x:c r="G4" s="28"/>
      <x:c r="H4" s="28"/>
      <x:c r="I4" s="28"/>
      <x:c r="J4" s="28"/>
    </x:row>
    <x:row r="5" ht="25" customHeight="1">
      <x:c r="A5" s="20" t="str">
        <x:v>Recommended named-unit sessions</x:v>
      </x:c>
      <x:c r="B5" s="24" t="n">
        <x:f>SUM('Unit Session Audit'!E4:E13)</x:f>
        <x:v>72</x:v>
      </x:c>
      <x:c r="D5" s="32" t="str">
        <x:v>A 78-session year requires a deliberately narrower core. The ten named units use 72 sessions, leaving a 6-session Pathway Reserve. The curriculum protects conceptual inquiry, essential practice and one evidence session per unit, while extension and duplicate exposition are deferred.</x:v>
      </x:c>
      <x:c r="E5" s="32"/>
      <x:c r="F5" s="32"/>
      <x:c r="G5" s="32"/>
      <x:c r="H5" s="32"/>
      <x:c r="I5" s="32"/>
      <x:c r="J5" s="32"/>
    </x:row>
    <x:row r="6" ht="25" customHeight="1">
      <x:c r="A6" s="20" t="str">
        <x:v>Proposed Year 9 Pathway Reserve</x:v>
      </x:c>
      <x:c r="B6" s="24" t="n">
        <x:v>6</x:v>
      </x:c>
      <x:c r="D6" s="32"/>
      <x:c r="E6" s="32"/>
      <x:c r="F6" s="32"/>
      <x:c r="G6" s="32"/>
      <x:c r="H6" s="32"/>
      <x:c r="I6" s="32"/>
      <x:c r="J6" s="32"/>
    </x:row>
    <x:row r="7" ht="25" customHeight="1">
      <x:c r="A7" s="20" t="str">
        <x:v>78-session annual session target</x:v>
      </x:c>
      <x:c r="B7" s="24" t="n">
        <x:v>78</x:v>
      </x:c>
      <x:c r="D7" s="32"/>
      <x:c r="E7" s="32"/>
      <x:c r="F7" s="32"/>
      <x:c r="G7" s="32"/>
      <x:c r="H7" s="32"/>
      <x:c r="I7" s="32"/>
      <x:c r="J7" s="32"/>
    </x:row>
    <x:row r="8" ht="25" customHeight="1">
      <x:c r="A8" s="20" t="str">
        <x:v>Difference from scenario target</x:v>
      </x:c>
      <x:c r="B8" s="24" t="n">
        <x:f>B5+B6-B7</x:f>
        <x:v>0</x:v>
      </x:c>
      <x:c r="D8" s="32"/>
      <x:c r="E8" s="32"/>
      <x:c r="F8" s="32"/>
      <x:c r="G8" s="32"/>
      <x:c r="H8" s="32"/>
      <x:c r="I8" s="32"/>
      <x:c r="J8" s="32"/>
    </x:row>
    <x:row r="11">
      <x:c r="A11" s="37" t="str">
        <x:v>Session Type</x:v>
      </x:c>
      <x:c r="B11" s="37" t="str">
        <x:v>Inquiry</x:v>
      </x:c>
      <x:c r="C11" s="37" t="str">
        <x:v>Practice Studio</x:v>
      </x:c>
      <x:c r="D11" s="37" t="str">
        <x:v>Application / Modelling</x:v>
      </x:c>
      <x:c r="E11" s="37" t="str">
        <x:v>Stepping Stone / Re-entry</x:v>
      </x:c>
      <x:c r="F11" s="37" t="str">
        <x:v>Evidence / Portfolio</x:v>
      </x:c>
      <x:c r="G11" s="37" t="str">
        <x:v>Flex</x:v>
      </x:c>
    </x:row>
    <x:row r="12">
      <x:c r="A12" s="41" t="str">
        <x:v>Recommended within named units</x:v>
      </x:c>
      <x:c r="B12" s="41" t="n">
        <x:f>SUM('Unit Session Audit'!G4:G13)</x:f>
        <x:v>25</x:v>
      </x:c>
      <x:c r="C12" s="41" t="n">
        <x:f>SUM('Unit Session Audit'!H4:H13)</x:f>
        <x:v>19</x:v>
      </x:c>
      <x:c r="D12" s="41" t="n">
        <x:f>SUM('Unit Session Audit'!I4:I13)</x:f>
        <x:v>13</x:v>
      </x:c>
      <x:c r="E12" s="41" t="n">
        <x:f>SUM('Unit Session Audit'!J4:J13)</x:f>
        <x:v>5</x:v>
      </x:c>
      <x:c r="F12" s="41" t="n">
        <x:f>SUM('Unit Session Audit'!K4:K13)</x:f>
        <x:v>10</x:v>
      </x:c>
      <x:c r="G12" s="41" t="n">
        <x:f>SUM('Unit Session Audit'!L4:L13)</x:f>
        <x:v>0</x:v>
      </x:c>
    </x:row>
    <x:row r="13">
      <x:c r="A13" s="41" t="str">
        <x:v>Additional Year 9 Pathway Reserve</x:v>
      </x:c>
      <x:c r="B13" s="41" t="n">
        <x:v>0</x:v>
      </x:c>
      <x:c r="C13" s="41" t="n">
        <x:v>2</x:v>
      </x:c>
      <x:c r="D13" s="41" t="n">
        <x:v>0</x:v>
      </x:c>
      <x:c r="E13" s="41" t="n">
        <x:v>3</x:v>
      </x:c>
      <x:c r="F13" s="41" t="n">
        <x:v>0</x:v>
      </x:c>
      <x:c r="G13" s="41" t="n">
        <x:v>1</x:v>
      </x:c>
    </x:row>
    <x:row r="14">
      <x:c r="A14" s="44" t="str">
        <x:v>Year 9 scenario total</x:v>
      </x:c>
      <x:c r="B14" s="44" t="n">
        <x:f>B12+B13</x:f>
        <x:v>25</x:v>
      </x:c>
      <x:c r="C14" s="44" t="n">
        <x:f>C12+C13</x:f>
        <x:v>21</x:v>
      </x:c>
      <x:c r="D14" s="44" t="n">
        <x:f>D12+D13</x:f>
        <x:v>13</x:v>
      </x:c>
      <x:c r="E14" s="44" t="n">
        <x:f>E12+E13</x:f>
        <x:v>8</x:v>
      </x:c>
      <x:c r="F14" s="44" t="n">
        <x:f>F12+F13</x:f>
        <x:v>10</x:v>
      </x:c>
      <x:c r="G14" s="44" t="n">
        <x:f>G12+G13</x:f>
        <x:v>1</x:v>
      </x:c>
    </x:row>
    <x:row r="17">
      <x:c r="A17" s="48" t="str">
        <x:v>What the 6-session Pathway Reserve is for</x:v>
      </x:c>
      <x:c r="B17" s="48"/>
      <x:c r="C17" s="48"/>
      <x:c r="D17" s="48"/>
      <x:c r="E17" s="48"/>
      <x:c r="F17" s="48"/>
      <x:c r="G17" s="48"/>
      <x:c r="H17" s="48"/>
      <x:c r="I17" s="48"/>
      <x:c r="J17" s="48"/>
    </x:row>
    <x:row r="18">
      <x:c r="A18" s="32" t="str">
        <x:v>The 6-session Pathway Reserve is deliberately small and is provisionally modelled as 2 Practice Studios, 3 Stepping Stone / Re-entry Studios and 1 Flex / pathway session. In this scenario, reserve sessions should be used only where learner need is clear.</x:v>
      </x:c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</x:row>
  </x:sheetData>
  <x:mergeCells>
    <x:mergeCell ref="A1:J1"/>
    <x:mergeCell ref="A2:J2"/>
    <x:mergeCell ref="D4:J4"/>
    <x:mergeCell ref="D5:J8"/>
    <x:mergeCell ref="A17:J17"/>
    <x:mergeCell ref="A18:J22"/>
    <x:mergeCell ref="D5:G8"/>
    <x:mergeCell ref="A18:G18"/>
  </x:mergeCells>
  <x:pageMargins left="0.7" right="0.7" top="0.75" bottom="0.75" header="0.3" footer="0.3"/>
  <x:drawing xmlns:r="http://schemas.openxmlformats.org/officeDocument/2006/relationships" r:id="R56c0c44b4a1d4cd1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4" hidden="0" customWidth="1"/>
    <x:col min="3" max="3" width="22" hidden="0" customWidth="1"/>
    <x:col min="4" max="4" width="13" hidden="0" customWidth="1"/>
    <x:col min="5" max="5" width="16" hidden="0" customWidth="1"/>
    <x:col min="6" max="6" width="10" hidden="0" customWidth="1"/>
    <x:col min="7" max="7" width="11" hidden="0" customWidth="1"/>
    <x:col min="8" max="8" width="14" hidden="0" customWidth="1"/>
    <x:col min="9" max="9" width="16" hidden="0" customWidth="1"/>
    <x:col min="10" max="10" width="18" hidden="0" customWidth="1"/>
    <x:col min="11" max="11" width="16" hidden="0" customWidth="1"/>
    <x:col min="12" max="12" width="9" hidden="0" customWidth="1"/>
    <x:col min="13" max="13" width="48" hidden="0" customWidth="1"/>
    <x:col min="14" max="14" width="28" hidden="0" customWidth="1"/>
    <x:col min="15" max="15" width="18" hidden="0" customWidth="1"/>
  </x:cols>
  <x:sheetData>
    <x:row r="1">
      <x:c r="A1" s="52" t="str">
        <x:v>Year 9 Unit Session Audit — 78-session scenario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3" ht="38" customHeight="1">
      <x:c r="A3" s="55" t="str">
        <x:v>Unit ID</x:v>
      </x:c>
      <x:c r="B3" s="55" t="str">
        <x:v>Unit Title</x:v>
      </x:c>
      <x:c r="C3" s="55" t="str">
        <x:v>Strand</x:v>
      </x:c>
      <x:c r="D3" s="55" t="str">
        <x:v>Current Sessions</x:v>
      </x:c>
      <x:c r="E3" s="55" t="str">
        <x:v>Recommended Unit Sessions</x:v>
      </x:c>
      <x:c r="F3" s="55" t="str">
        <x:v>Change</x:v>
      </x:c>
      <x:c r="G3" s="55" t="str">
        <x:v>Inquiry</x:v>
      </x:c>
      <x:c r="H3" s="55" t="str">
        <x:v>Practice Studio</x:v>
      </x:c>
      <x:c r="I3" s="55" t="str">
        <x:v>Application / Modelling</x:v>
      </x:c>
      <x:c r="J3" s="55" t="str">
        <x:v>Stepping Stone / Re-entry</x:v>
      </x:c>
      <x:c r="K3" s="55" t="str">
        <x:v>Evidence / Portfolio</x:v>
      </x:c>
      <x:c r="L3" s="55" t="str">
        <x:v>Flex</x:v>
      </x:c>
      <x:c r="M3" s="55" t="str">
        <x:v>Audit Rationale</x:v>
      </x:c>
      <x:c r="N3" s="55" t="str">
        <x:v>Initial Recommendation</x:v>
      </x:c>
      <x:c r="O3" s="55" t="str">
        <x:v>Gerrard Review</x:v>
      </x:c>
    </x:row>
    <x:row r="4" ht="54" customHeight="1">
      <x:c r="A4" s="58" t="str">
        <x:v>NEO-MATH-Y9-01</x:v>
      </x:c>
      <x:c r="B4" s="58" t="str">
        <x:v>Accuracy, Powers and Scale</x:v>
      </x:c>
      <x:c r="C4" s="58" t="str">
        <x:v>Number Sense</x:v>
      </x:c>
      <x:c r="D4" s="61" t="n">
        <x:v>16</x:v>
      </x:c>
      <x:c r="E4" s="61" t="n">
        <x:v>7</x:v>
      </x:c>
      <x:c r="F4" s="61" t="n">
        <x:f>E4-D4</x:f>
        <x:v>-9</x:v>
      </x:c>
      <x:c r="G4" s="61" t="n">
        <x:v>2</x:v>
      </x:c>
      <x:c r="H4" s="61" t="n">
        <x:v>2</x:v>
      </x:c>
      <x:c r="I4" s="61" t="n">
        <x:v>1</x:v>
      </x:c>
      <x:c r="J4" s="61" t="n">
        <x:v>1</x:v>
      </x:c>
      <x:c r="K4" s="61" t="n">
        <x:v>1</x:v>
      </x:c>
      <x:c r="L4" s="61" t="n">
        <x:v>0</x:v>
      </x:c>
      <x:c r="M4" s="58" t="str">
        <x:v>Minimum viable spine: two inquiry sessions, two Practice Studios, one application and one re-entry route. Non-essential extension moves to the pathway reserve or later study.</x:v>
      </x:c>
      <x:c r="N4" s="58" t="str">
        <x:v>Reduce and rebalance</x:v>
      </x:c>
      <x:c r="O4" s="58" t="str">
        <x:v>Pending review</x:v>
      </x:c>
    </x:row>
    <x:row r="5" ht="54" customHeight="1">
      <x:c r="A5" s="58" t="str">
        <x:v>NEO-MATH-Y9-02</x:v>
      </x:c>
      <x:c r="B5" s="58" t="str">
        <x:v>Solids, Cross-Sections and Space</x:v>
      </x:c>
      <x:c r="C5" s="58" t="str">
        <x:v>Spatial Reasoning</x:v>
      </x:c>
      <x:c r="D5" s="61" t="n">
        <x:v>14</x:v>
      </x:c>
      <x:c r="E5" s="61" t="n">
        <x:v>6</x:v>
      </x:c>
      <x:c r="F5" s="61" t="n">
        <x:f>E5-D5</x:f>
        <x:v>-8</x:v>
      </x:c>
      <x:c r="G5" s="61" t="n">
        <x:v>2</x:v>
      </x:c>
      <x:c r="H5" s="61" t="n">
        <x:v>1</x:v>
      </x:c>
      <x:c r="I5" s="61" t="n">
        <x:v>2</x:v>
      </x:c>
      <x:c r="J5" s="61" t="n">
        <x:v>0</x:v>
      </x:c>
      <x:c r="K5" s="61" t="n">
        <x:v>1</x:v>
      </x:c>
      <x:c r="L5" s="61" t="n">
        <x:v>0</x:v>
      </x:c>
      <x:c r="M5" s="58" t="str">
        <x:v>Combine solids and cross-sections into two visual inquiries, keep one Practice Studio and use two application sessions to make spatial reasoning visible.</x:v>
      </x:c>
      <x:c r="N5" s="58" t="str">
        <x:v>Reduce and rebalance</x:v>
      </x:c>
      <x:c r="O5" s="58" t="str">
        <x:v>Pending review</x:v>
      </x:c>
    </x:row>
    <x:row r="6" ht="54" customHeight="1">
      <x:c r="A6" s="58" t="str">
        <x:v>NEO-MATH-Y9-03</x:v>
      </x:c>
      <x:c r="B6" s="58" t="str">
        <x:v>Quadratics: When Change Itself Changes</x:v>
      </x:c>
      <x:c r="C6" s="58" t="str">
        <x:v>Structure &amp; Generalisation</x:v>
      </x:c>
      <x:c r="D6" s="61" t="n">
        <x:v>16</x:v>
      </x:c>
      <x:c r="E6" s="61" t="n">
        <x:v>8</x:v>
      </x:c>
      <x:c r="F6" s="61" t="n">
        <x:f>E6-D6</x:f>
        <x:v>-8</x:v>
      </x:c>
      <x:c r="G6" s="61" t="n">
        <x:v>3</x:v>
      </x:c>
      <x:c r="H6" s="61" t="n">
        <x:v>3</x:v>
      </x:c>
      <x:c r="I6" s="61" t="n">
        <x:v>0</x:v>
      </x:c>
      <x:c r="J6" s="61" t="n">
        <x:v>1</x:v>
      </x:c>
      <x:c r="K6" s="61" t="n">
        <x:v>1</x:v>
      </x:c>
      <x:c r="L6" s="61" t="n">
        <x:v>0</x:v>
      </x:c>
      <x:c r="M6" s="58" t="str">
        <x:v>Protect the quadratic spine with three inquiry sessions and three Practice Studios. Keep one re-entry route for algebraic structure; defer lower-priority extension.</x:v>
      </x:c>
      <x:c r="N6" s="58" t="str">
        <x:v>Reduce and rebalance</x:v>
      </x:c>
      <x:c r="O6" s="58" t="str">
        <x:v>Pending review</x:v>
      </x:c>
    </x:row>
    <x:row r="7" ht="54" customHeight="1">
      <x:c r="A7" s="58" t="str">
        <x:v>NEO-MATH-Y9-04</x:v>
      </x:c>
      <x:c r="B7" s="58" t="str">
        <x:v>Precision, Loci and Safe Routes</x:v>
      </x:c>
      <x:c r="C7" s="58" t="str">
        <x:v>Spatial Reasoning</x:v>
      </x:c>
      <x:c r="D7" s="61" t="n">
        <x:v>15</x:v>
      </x:c>
      <x:c r="E7" s="61" t="n">
        <x:v>7</x:v>
      </x:c>
      <x:c r="F7" s="61" t="n">
        <x:f>E7-D7</x:f>
        <x:v>-8</x:v>
      </x:c>
      <x:c r="G7" s="61" t="n">
        <x:v>2</x:v>
      </x:c>
      <x:c r="H7" s="61" t="n">
        <x:v>2</x:v>
      </x:c>
      <x:c r="I7" s="61" t="n">
        <x:v>1</x:v>
      </x:c>
      <x:c r="J7" s="61" t="n">
        <x:v>1</x:v>
      </x:c>
      <x:c r="K7" s="61" t="n">
        <x:v>1</x:v>
      </x:c>
      <x:c r="L7" s="61" t="n">
        <x:v>0</x:v>
      </x:c>
      <x:c r="M7" s="58" t="str">
        <x:v>Combine construction, loci and bearings into two visual inquiries and two Practice Studios. One application session tests route/precision decisions.</x:v>
      </x:c>
      <x:c r="N7" s="58" t="str">
        <x:v>Reduce and rebalance</x:v>
      </x:c>
      <x:c r="O7" s="58" t="str">
        <x:v>Pending review</x:v>
      </x:c>
    </x:row>
    <x:row r="8" ht="54" customHeight="1">
      <x:c r="A8" s="58" t="str">
        <x:v>NEO-MATH-Y9-05</x:v>
      </x:c>
      <x:c r="B8" s="58" t="str">
        <x:v>Inequalities: Mathematics with Boundaries</x:v>
      </x:c>
      <x:c r="C8" s="58" t="str">
        <x:v>Structure &amp; Generalisation</x:v>
      </x:c>
      <x:c r="D8" s="61" t="n">
        <x:v>15</x:v>
      </x:c>
      <x:c r="E8" s="61" t="n">
        <x:v>7</x:v>
      </x:c>
      <x:c r="F8" s="61" t="n">
        <x:f>E8-D8</x:f>
        <x:v>-8</x:v>
      </x:c>
      <x:c r="G8" s="61" t="n">
        <x:v>2</x:v>
      </x:c>
      <x:c r="H8" s="61" t="n">
        <x:v>2</x:v>
      </x:c>
      <x:c r="I8" s="61" t="n">
        <x:v>1</x:v>
      </x:c>
      <x:c r="J8" s="61" t="n">
        <x:v>1</x:v>
      </x:c>
      <x:c r="K8" s="61" t="n">
        <x:v>1</x:v>
      </x:c>
      <x:c r="L8" s="61" t="n">
        <x:v>0</x:v>
      </x:c>
      <x:c r="M8" s="58" t="str">
        <x:v>Use two inquiry sessions and two Practice Studios to secure representation, endpoints and forming inequalities; retain one re-entry route and one evidence session.</x:v>
      </x:c>
      <x:c r="N8" s="58" t="str">
        <x:v>Reduce and rebalance</x:v>
      </x:c>
      <x:c r="O8" s="58" t="str">
        <x:v>Pending review</x:v>
      </x:c>
    </x:row>
    <x:row r="9" ht="54" customHeight="1">
      <x:c r="A9" s="58" t="str">
        <x:v>NEO-MATH-Y9-06</x:v>
      </x:c>
      <x:c r="B9" s="58" t="str">
        <x:v>Formulae and Rearranging: Changing the Subject</x:v>
      </x:c>
      <x:c r="C9" s="58" t="str">
        <x:v>Structure &amp; Generalisation</x:v>
      </x:c>
      <x:c r="D9" s="61" t="n">
        <x:v>15</x:v>
      </x:c>
      <x:c r="E9" s="61" t="n">
        <x:v>8</x:v>
      </x:c>
      <x:c r="F9" s="61" t="n">
        <x:f>E9-D9</x:f>
        <x:v>-7</x:v>
      </x:c>
      <x:c r="G9" s="61" t="n">
        <x:v>3</x:v>
      </x:c>
      <x:c r="H9" s="61" t="n">
        <x:v>2</x:v>
      </x:c>
      <x:c r="I9" s="61" t="n">
        <x:v>1</x:v>
      </x:c>
      <x:c r="J9" s="61" t="n">
        <x:v>1</x:v>
      </x:c>
      <x:c r="K9" s="61" t="n">
        <x:v>1</x:v>
      </x:c>
      <x:c r="L9" s="61" t="n">
        <x:v>0</x:v>
      </x:c>
      <x:c r="M9" s="58" t="str">
        <x:v>Protect three inquiry sessions and two Practice Studios. Keep a re-entry studio for inverse operations/substitution and one application session for formula use.</x:v>
      </x:c>
      <x:c r="N9" s="58" t="str">
        <x:v>Reduce and rebalance</x:v>
      </x:c>
      <x:c r="O9" s="58" t="str">
        <x:v>Pending review</x:v>
      </x:c>
    </x:row>
    <x:row r="10" ht="54" customHeight="1">
      <x:c r="A10" s="58" t="str">
        <x:v>NEO-MATH-Y9-07</x:v>
      </x:c>
      <x:c r="B10" s="58" t="str">
        <x:v>Pythagoras and the Hidden Length</x:v>
      </x:c>
      <x:c r="C10" s="58" t="str">
        <x:v>Spatial Reasoning</x:v>
      </x:c>
      <x:c r="D10" s="61" t="n">
        <x:v>15</x:v>
      </x:c>
      <x:c r="E10" s="61" t="n">
        <x:v>8</x:v>
      </x:c>
      <x:c r="F10" s="61" t="n">
        <x:f>E10-D10</x:f>
        <x:v>-7</x:v>
      </x:c>
      <x:c r="G10" s="61" t="n">
        <x:v>3</x:v>
      </x:c>
      <x:c r="H10" s="61" t="n">
        <x:v>2</x:v>
      </x:c>
      <x:c r="I10" s="61" t="n">
        <x:v>2</x:v>
      </x:c>
      <x:c r="J10" s="61" t="n">
        <x:v>0</x:v>
      </x:c>
      <x:c r="K10" s="61" t="n">
        <x:v>1</x:v>
      </x:c>
      <x:c r="L10" s="61" t="n">
        <x:v>0</x:v>
      </x:c>
      <x:c r="M10" s="58" t="str">
        <x:v>Narrow to three conceptual inquiries: theorem meaning, hidden hypotenuse and hidden shorter side. Use two Practice Studios, two applications and one evidence session.</x:v>
      </x:c>
      <x:c r="N10" s="58" t="str">
        <x:v>Reduce and rebalance</x:v>
      </x:c>
      <x:c r="O10" s="58" t="str">
        <x:v>Pending review</x:v>
      </x:c>
    </x:row>
    <x:row r="11" ht="54" customHeight="1">
      <x:c r="A11" s="58" t="str">
        <x:v>NEO-MATH-Y9-08</x:v>
      </x:c>
      <x:c r="B11" s="58" t="str">
        <x:v>Similarity and Scale: Same Shape, New Size</x:v>
      </x:c>
      <x:c r="C11" s="58" t="str">
        <x:v>Proportional Reasoning</x:v>
      </x:c>
      <x:c r="D11" s="61" t="n">
        <x:v>16</x:v>
      </x:c>
      <x:c r="E11" s="61" t="n">
        <x:v>8</x:v>
      </x:c>
      <x:c r="F11" s="61" t="n">
        <x:f>E11-D11</x:f>
        <x:v>-8</x:v>
      </x:c>
      <x:c r="G11" s="61" t="n">
        <x:v>3</x:v>
      </x:c>
      <x:c r="H11" s="61" t="n">
        <x:v>2</x:v>
      </x:c>
      <x:c r="I11" s="61" t="n">
        <x:v>2</x:v>
      </x:c>
      <x:c r="J11" s="61" t="n">
        <x:v>0</x:v>
      </x:c>
      <x:c r="K11" s="61" t="n">
        <x:v>1</x:v>
      </x:c>
      <x:c r="L11" s="61" t="n">
        <x:v>0</x:v>
      </x:c>
      <x:c r="M11" s="58" t="str">
        <x:v>Narrow to three inquiries, two Practice Studios and two applications. Preserve the multiplicative spine; defer deeper extension to later pathways.</x:v>
      </x:c>
      <x:c r="N11" s="58" t="str">
        <x:v>Reduce and rebalance</x:v>
      </x:c>
      <x:c r="O11" s="58" t="str">
        <x:v>Pending review</x:v>
      </x:c>
    </x:row>
    <x:row r="12" ht="54" customHeight="1">
      <x:c r="A12" s="58" t="str">
        <x:v>NEO-MATH-Y9-09</x:v>
      </x:c>
      <x:c r="B12" s="58" t="str">
        <x:v>Sampling, Bias and What We Can Infer</x:v>
      </x:c>
      <x:c r="C12" s="58" t="str">
        <x:v>Data &amp; Uncertainty</x:v>
      </x:c>
      <x:c r="D12" s="61" t="n">
        <x:v>15</x:v>
      </x:c>
      <x:c r="E12" s="61" t="n">
        <x:v>6</x:v>
      </x:c>
      <x:c r="F12" s="61" t="n">
        <x:f>E12-D12</x:f>
        <x:v>-9</x:v>
      </x:c>
      <x:c r="G12" s="61" t="n">
        <x:v>2</x:v>
      </x:c>
      <x:c r="H12" s="61" t="n">
        <x:v>1</x:v>
      </x:c>
      <x:c r="I12" s="61" t="n">
        <x:v>2</x:v>
      </x:c>
      <x:c r="J12" s="61" t="n">
        <x:v>0</x:v>
      </x:c>
      <x:c r="K12" s="61" t="n">
        <x:v>1</x:v>
      </x:c>
      <x:c r="L12" s="61" t="n">
        <x:v>0</x:v>
      </x:c>
      <x:c r="M12" s="58" t="str">
        <x:v>Keep two inquiry sessions and two modelling/application sessions. One Practice Studio stabilises sampling, bias and inference; evidence closes the unit.</x:v>
      </x:c>
      <x:c r="N12" s="58" t="str">
        <x:v>Reduce and rebalance</x:v>
      </x:c>
      <x:c r="O12" s="58" t="str">
        <x:v>Pending review</x:v>
      </x:c>
    </x:row>
    <x:row r="13" ht="54" customHeight="1">
      <x:c r="A13" s="58" t="str">
        <x:v>NEO-MATH-Y9-10</x:v>
      </x:c>
      <x:c r="B13" s="58" t="str">
        <x:v>Probability Trees and Conditional Change</x:v>
      </x:c>
      <x:c r="C13" s="58" t="str">
        <x:v>Data &amp; Uncertainty</x:v>
      </x:c>
      <x:c r="D13" s="61" t="n">
        <x:v>15</x:v>
      </x:c>
      <x:c r="E13" s="61" t="n">
        <x:v>7</x:v>
      </x:c>
      <x:c r="F13" s="61" t="n">
        <x:f>E13-D13</x:f>
        <x:v>-8</x:v>
      </x:c>
      <x:c r="G13" s="61" t="n">
        <x:v>3</x:v>
      </x:c>
      <x:c r="H13" s="61" t="n">
        <x:v>2</x:v>
      </x:c>
      <x:c r="I13" s="61" t="n">
        <x:v>1</x:v>
      </x:c>
      <x:c r="J13" s="61" t="n">
        <x:v>0</x:v>
      </x:c>
      <x:c r="K13" s="61" t="n">
        <x:v>1</x:v>
      </x:c>
      <x:c r="L13" s="61" t="n">
        <x:v>0</x:v>
      </x:c>
      <x:c r="M13" s="58" t="str">
        <x:v>Protect three inquiry sessions and two Practice Studios. One application session and one evidence session maintain the route from tree structure to conditional reasoning.</x:v>
      </x:c>
      <x:c r="N13" s="58" t="str">
        <x:v>Reduce and rebalance</x:v>
      </x:c>
      <x:c r="O13" s="58" t="str">
        <x:v>Pending review</x:v>
      </x:c>
    </x:row>
    <x:row r="14">
      <x:c r="A14" s="63" t="str">
        <x:v>Named-unit totals</x:v>
      </x:c>
      <x:c r="B14" s="63"/>
      <x:c r="C14" s="63"/>
      <x:c r="D14" s="63" t="n">
        <x:f>SUM(D4:D13)</x:f>
        <x:v>152</x:v>
      </x:c>
      <x:c r="E14" s="63" t="n">
        <x:f>SUM(E4:E13)</x:f>
        <x:v>72</x:v>
      </x:c>
      <x:c r="F14" s="63" t="n">
        <x:f>E14-D14</x:f>
        <x:v>-80</x:v>
      </x:c>
      <x:c r="G14" s="63" t="n">
        <x:f>SUM(G4:G13)</x:f>
        <x:v>25</x:v>
      </x:c>
      <x:c r="H14" s="63" t="n">
        <x:f>SUM(H4:H13)</x:f>
        <x:v>19</x:v>
      </x:c>
      <x:c r="I14" s="63" t="n">
        <x:f>SUM(I4:I13)</x:f>
        <x:v>13</x:v>
      </x:c>
      <x:c r="J14" s="63" t="n">
        <x:f>SUM(J4:J13)</x:f>
        <x:v>5</x:v>
      </x:c>
      <x:c r="K14" s="63" t="n">
        <x:f>SUM(K4:K13)</x:f>
        <x:v>10</x:v>
      </x:c>
      <x:c r="L14" s="63" t="n">
        <x:f>SUM(L4:L13)</x:f>
        <x:v>0</x:v>
      </x:c>
      <x:c r="M14" s="63"/>
      <x:c r="N14" s="63"/>
      <x:c r="O14" s="63"/>
    </x:row>
  </x:sheetData>
  <x:mergeCells>
    <x:mergeCell ref="A1:O1"/>
    <x:mergeCell ref="A14:C14"/>
  </x:mergeCells>
  <x:conditionalFormatting sqref="F4:F13">
    <x:cfRule type="cellIs" dxfId="0" priority="1" operator="lessThan">
      <x:formula>0</x:formula>
    </x:cfRule>
    <x:cfRule type="cellIs" dxfId="1" priority="2">
      <x:formula>0</x:formula>
    </x:cfRule>
  </x:conditionalFormatting>
  <x:conditionalFormatting sqref="O4:O13">
    <x:cfRule type="expression" dxfId="5" priority="3">
      <x:formula>O4="Agree"</x:formula>
    </x:cfRule>
    <x:cfRule type="expression" dxfId="6" priority="4">
      <x:formula>O4="Adjust"</x:formula>
    </x:cfRule>
    <x:cfRule type="expression" dxfId="7" priority="5">
      <x:formula>O4="Discuss"</x:formula>
    </x:cfRule>
  </x:conditionalFormatting>
  <x:dataValidations count="1">
    <x:dataValidation type="list" sqref="O4:O13">
      <x:formula1>"Pending review,Agree,Adjust,Discuss"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50" hidden="0" customWidth="1"/>
    <x:col min="5" max="5" width="42" hidden="0" customWidth="1"/>
    <x:col min="6" max="6" width="38" hidden="0" customWidth="1"/>
  </x:cols>
  <x:sheetData>
    <x:row r="1">
      <x:c r="A1" s="52" t="str">
        <x:v>Year 9 Session-Type Guide</x:v>
      </x:c>
      <x:c r="B1" s="52"/>
      <x:c r="C1" s="52"/>
      <x:c r="D1" s="52"/>
      <x:c r="E1" s="52"/>
      <x:c r="F1" s="52"/>
    </x:row>
    <x:row r="3">
      <x:c r="A3" s="37" t="str">
        <x:v>Code</x:v>
      </x:c>
      <x:c r="B3" s="37" t="str">
        <x:v>Session Type</x:v>
      </x:c>
      <x:c r="C3" s="37" t="str">
        <x:v>Main job</x:v>
      </x:c>
      <x:c r="D3" s="37" t="str">
        <x:v>Typical learner experience</x:v>
      </x:c>
      <x:c r="E3" s="37" t="str">
        <x:v>Typical 45-minute shape</x:v>
      </x:c>
      <x:c r="F3" s="37" t="str">
        <x:v>Key caution</x:v>
      </x:c>
    </x:row>
    <x:row r="4" ht="62" customHeight="1">
      <x:c r="A4" s="67" t="str">
        <x:v>I</x:v>
      </x:c>
      <x:c r="B4" s="58" t="str">
        <x:v>Inquiry</x:v>
      </x:c>
      <x:c r="C4" s="58" t="str">
        <x:v>Introduce, reveal or significantly extend a mathematical idea</x:v>
      </x:c>
      <x:c r="D4" s="58" t="str">
        <x:v>Dynamic investigation; prediction; noticing; explicit conceptual bridge</x:v>
      </x:c>
      <x:c r="E4" s="58" t="str">
        <x:v>Connect → investigate → notice → carry forward</x:v>
      </x:c>
      <x:c r="F4" s="58" t="str">
        <x:v>Do not use a rich Inquiry shell for routine rehearsal</x:v>
      </x:c>
    </x:row>
    <x:row r="5" ht="62" customHeight="1">
      <x:c r="A5" s="67" t="str">
        <x:v>P</x:v>
      </x:c>
      <x:c r="B5" s="58" t="str">
        <x:v>Practice Studio</x:v>
      </x:c>
      <x:c r="C5" s="58" t="str">
        <x:v>Stabilise and extend a recently encountered idea</x:v>
      </x:c>
      <x:c r="D5" s="58" t="str">
        <x:v>10–16 progressive questions; Socratic prompt → hint → check → worked solution; Scratchpad</x:v>
      </x:c>
      <x:c r="E5" s="58" t="str">
        <x:v>Retrieve → vary → compare → diagnose → transfer</x:v>
      </x:c>
      <x:c r="F5" s="58" t="str">
        <x:v>Not a worksheet dump; progression must be designed</x:v>
      </x:c>
    </x:row>
    <x:row r="6" ht="62" customHeight="1">
      <x:c r="A6" s="67" t="str">
        <x:v>A</x:v>
      </x:c>
      <x:c r="B6" s="58" t="str">
        <x:v>Application / Modelling</x:v>
      </x:c>
      <x:c r="C6" s="58" t="str">
        <x:v>Use known mathematics in a meaningful or unfamiliar situation</x:v>
      </x:c>
      <x:c r="D6" s="58" t="str">
        <x:v>Model, design, measure, compare assumptions, interpret result</x:v>
      </x:c>
      <x:c r="E6" s="58" t="str">
        <x:v>Context → choose mathematics → model → test → communicate</x:v>
      </x:c>
      <x:c r="F6" s="58" t="str">
        <x:v>Do not introduce several new techniques at once</x:v>
      </x:c>
    </x:row>
    <x:row r="7" ht="62" customHeight="1">
      <x:c r="A7" s="67" t="str">
        <x:v>S</x:v>
      </x:c>
      <x:c r="B7" s="58" t="str">
        <x:v>Stepping Stone / Re-entry</x:v>
      </x:c>
      <x:c r="C7" s="58" t="str">
        <x:v>Make prerequisite mathematics enterable enough to rejoin the current pathway</x:v>
      </x:c>
      <x:c r="D7" s="58" t="str">
        <x:v>Low-load visual route to an earlier concept; learner can exit when ready</x:v>
      </x:c>
      <x:c r="E7" s="58" t="str">
        <x:v>Locate gap → rebuild one connection → short practice → return route</x:v>
      </x:c>
      <x:c r="F7" s="58" t="str">
        <x:v>Not punitive 'catch-up'</x:v>
      </x:c>
    </x:row>
    <x:row r="8" ht="62" customHeight="1">
      <x:c r="A8" s="67" t="str">
        <x:v>E</x:v>
      </x:c>
      <x:c r="B8" s="58" t="str">
        <x:v>Evidence / Portfolio</x:v>
      </x:c>
      <x:c r="C8" s="58" t="str">
        <x:v>Bring ideas together and create assessable evidence</x:v>
      </x:c>
      <x:c r="D8" s="58" t="str">
        <x:v>Curate Scratchpad work; explain; compare strategies; reflect on next Stepping Stone</x:v>
      </x:c>
      <x:c r="E8" s="58" t="str">
        <x:v>Select → connect → create → reflect</x:v>
      </x:c>
      <x:c r="F8" s="58" t="str">
        <x:v>Do not require every learner to produce the same medium</x:v>
      </x:c>
    </x:row>
    <x:row r="9" ht="62" customHeight="1">
      <x:c r="A9" s="67" t="str">
        <x:v>F</x:v>
      </x:c>
      <x:c r="B9" s="58" t="str">
        <x:v>Flex / Pathway</x:v>
      </x:c>
      <x:c r="C9" s="58" t="str">
        <x:v>Protect learner-specific navigation and variable pacing</x:v>
      </x:c>
      <x:c r="D9" s="58" t="str">
        <x:v>Teacher/learner selects practice, re-entry, application or evidence route</x:v>
      </x:c>
      <x:c r="E9" s="58" t="str">
        <x:v>Choose route based on evidence and readiness</x:v>
      </x:c>
      <x:c r="F9" s="58" t="str">
        <x:v>Must have a defined menu of routes; not unplanned free time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40" hidden="0" customWidth="1"/>
    <x:col min="4" max="4" width="24" hidden="0" customWidth="1"/>
    <x:col min="5" max="5" width="46" hidden="0" customWidth="1"/>
    <x:col min="6" max="6" width="30" hidden="0" customWidth="1"/>
    <x:col min="7" max="7" width="30" hidden="0" customWidth="1"/>
    <x:col min="8" max="8" width="28" hidden="0" customWidth="1"/>
  </x:cols>
  <x:sheetData>
    <x:row r="1">
      <x:c r="A1" s="52" t="str">
        <x:v>Worked Example — Pythagoras and the Hidden Length (78-session scenario)</x:v>
      </x:c>
      <x:c r="B1" s="52"/>
      <x:c r="C1" s="52"/>
      <x:c r="D1" s="52"/>
      <x:c r="E1" s="52"/>
      <x:c r="F1" s="52"/>
      <x:c r="G1" s="52"/>
      <x:c r="H1" s="52"/>
    </x:row>
    <x:row r="3">
      <x:c r="A3" s="72" t="str">
        <x:v>Why this example? This shows how the Pythagoras unit might be shaped within the 78-session Year 9 scenario.</x:v>
      </x:c>
      <x:c r="B3" s="72"/>
      <x:c r="C3" s="72"/>
      <x:c r="D3" s="72"/>
      <x:c r="E3" s="72"/>
      <x:c r="F3" s="72"/>
      <x:c r="G3" s="72"/>
      <x:c r="H3" s="72"/>
    </x:row>
    <x:row r="5">
      <x:c r="A5" s="37" t="str">
        <x:v>Session</x:v>
      </x:c>
      <x:c r="B5" s="37" t="str">
        <x:v>Type</x:v>
      </x:c>
      <x:c r="C5" s="37" t="str">
        <x:v>Working title / purpose</x:v>
      </x:c>
      <x:c r="D5" s="37" t="str">
        <x:v>Mathematical dependency</x:v>
      </x:c>
      <x:c r="E5" s="37" t="str">
        <x:v>Practice Studio depth</x:v>
      </x:c>
      <x:c r="F5" s="37" t="str">
        <x:v>Cornerstone emphasis</x:v>
      </x:c>
      <x:c r="G5" s="37" t="str">
        <x:v>Evidence</x:v>
      </x:c>
      <x:c r="H5" s="37" t="str">
        <x:v>Comment</x:v>
      </x:c>
    </x:row>
    <x:row r="6" ht="58" customHeight="1">
      <x:c r="A6" s="58" t="n">
        <x:v>1</x:v>
      </x:c>
      <x:c r="B6" s="77" t="str">
        <x:v>I</x:v>
      </x:c>
      <x:c r="C6" s="58" t="str">
        <x:v>What makes a triangle ready, and what do the squares reveal?</x:v>
      </x:c>
      <x:c r="D6" s="58" t="str">
        <x:v>Right angle / hypotenuse</x:v>
      </x:c>
      <x:c r="E6" s="58" t="str">
        <x:v>—</x:v>
      </x:c>
      <x:c r="F6" s="58" t="str">
        <x:v>Connection, Movement</x:v>
      </x:c>
      <x:c r="G6" s="58" t="str">
        <x:v>Area conjecture + theorem statement</x:v>
      </x:c>
      <x:c r="H6" s="58" t="str">
        <x:v>Combined conceptual entry</x:v>
      </x:c>
    </x:row>
    <x:row r="7" ht="58" customHeight="1">
      <x:c r="A7" s="58" t="n">
        <x:v>2</x:v>
      </x:c>
      <x:c r="B7" s="67" t="str">
        <x:v>P</x:v>
      </x:c>
      <x:c r="C7" s="58" t="str">
        <x:v>Right Triangles to Theorem</x:v>
      </x:c>
      <x:c r="D7" s="58" t="str">
        <x:v>Session 1</x:v>
      </x:c>
      <x:c r="E7" s="58" t="str">
        <x:v>12–15 orientation, notation, area and formula questions</x:v>
      </x:c>
      <x:c r="F7" s="58" t="str">
        <x:v>Reflection, Rest, Nutrition</x:v>
      </x:c>
      <x:c r="G7" s="58" t="str">
        <x:v>Practice evidence</x:v>
      </x:c>
      <x:c r="H7" s="58" t="str">
        <x:v>Stabilise theorem meaning</x:v>
      </x:c>
    </x:row>
    <x:row r="8" ht="58" customHeight="1">
      <x:c r="A8" s="58" t="n">
        <x:v>3</x:v>
      </x:c>
      <x:c r="B8" s="77" t="str">
        <x:v>I</x:v>
      </x:c>
      <x:c r="C8" s="58" t="str">
        <x:v>How can we uncover a hidden hypotenuse?</x:v>
      </x:c>
      <x:c r="D8" s="58" t="str">
        <x:v>Sessions 1–2</x:v>
      </x:c>
      <x:c r="E8" s="58" t="str">
        <x:v>—</x:v>
      </x:c>
      <x:c r="F8" s="58" t="str">
        <x:v>Movement, Connection</x:v>
      </x:c>
      <x:c r="G8" s="58" t="str">
        <x:v>Step-by-step solution</x:v>
      </x:c>
      <x:c r="H8" s="58" t="str">
        <x:v>Dynamic triangle route</x:v>
      </x:c>
    </x:row>
    <x:row r="9" ht="58" customHeight="1">
      <x:c r="A9" s="58" t="n">
        <x:v>4</x:v>
      </x:c>
      <x:c r="B9" s="67" t="str">
        <x:v>P</x:v>
      </x:c>
      <x:c r="C9" s="58" t="str">
        <x:v>Hidden Lengths Studio</x:v>
      </x:c>
      <x:c r="D9" s="58" t="str">
        <x:v>Session 3</x:v>
      </x:c>
      <x:c r="E9" s="58" t="str">
        <x:v>12–16 hypotenuse questions, then bridge to inverse thinking</x:v>
      </x:c>
      <x:c r="F9" s="58" t="str">
        <x:v>Reflection, Rest</x:v>
      </x:c>
      <x:c r="G9" s="58" t="str">
        <x:v>Practice evidence</x:v>
      </x:c>
      <x:c r="H9" s="58" t="str">
        <x:v>Progressive whole-session practice</x:v>
      </x:c>
    </x:row>
    <x:row r="10" ht="58" customHeight="1">
      <x:c r="A10" s="58" t="n">
        <x:v>5</x:v>
      </x:c>
      <x:c r="B10" s="77" t="str">
        <x:v>I</x:v>
      </x:c>
      <x:c r="C10" s="58" t="str">
        <x:v>What changes when the hidden length is a shorter side?</x:v>
      </x:c>
      <x:c r="D10" s="58" t="str">
        <x:v>Sessions 3–4</x:v>
      </x:c>
      <x:c r="E10" s="58" t="str">
        <x:v>—</x:v>
      </x:c>
      <x:c r="F10" s="58" t="str">
        <x:v>Movement, Connection</x:v>
      </x:c>
      <x:c r="G10" s="58" t="str">
        <x:v>Rearranged reasoning chain</x:v>
      </x:c>
      <x:c r="H10" s="58" t="str">
        <x:v>Inverse pathway</x:v>
      </x:c>
    </x:row>
    <x:row r="11" ht="58" customHeight="1">
      <x:c r="A11" s="58" t="n">
        <x:v>6</x:v>
      </x:c>
      <x:c r="B11" s="67" t="str">
        <x:v>A</x:v>
      </x:c>
      <x:c r="C11" s="58" t="str">
        <x:v>Can we measure what we cannot reach?</x:v>
      </x:c>
      <x:c r="D11" s="58" t="str">
        <x:v>Sessions 3–5</x:v>
      </x:c>
      <x:c r="E11" s="58" t="str">
        <x:v>—</x:v>
      </x:c>
      <x:c r="F11" s="58" t="str">
        <x:v>Connection, Creativity</x:v>
      </x:c>
      <x:c r="G11" s="58" t="str">
        <x:v>Indirect-measurement model</x:v>
      </x:c>
      <x:c r="H11" s="58" t="str">
        <x:v>Application</x:v>
      </x:c>
    </x:row>
    <x:row r="12" ht="58" customHeight="1">
      <x:c r="A12" s="58" t="n">
        <x:v>7</x:v>
      </x:c>
      <x:c r="B12" s="77" t="str">
        <x:v>A</x:v>
      </x:c>
      <x:c r="C12" s="58" t="str">
        <x:v>Diagonals, Ramps and Accuracy Decisions</x:v>
      </x:c>
      <x:c r="D12" s="58" t="str">
        <x:v>Sessions 3–6</x:v>
      </x:c>
      <x:c r="E12" s="58" t="str">
        <x:v>Mixed contextual decisions</x:v>
      </x:c>
      <x:c r="F12" s="58" t="str">
        <x:v>Connection, Reflection</x:v>
      </x:c>
      <x:c r="G12" s="58" t="str">
        <x:v>Application evidence</x:v>
      </x:c>
      <x:c r="H12" s="58" t="str">
        <x:v>Combined application/accuracy</x:v>
      </x:c>
    </x:row>
    <x:row r="13" ht="58" customHeight="1">
      <x:c r="A13" s="58" t="n">
        <x:v>8</x:v>
      </x:c>
      <x:c r="B13" s="67" t="str">
        <x:v>E</x:v>
      </x:c>
      <x:c r="C13" s="58" t="str">
        <x:v>What does the theorem really say?</x:v>
      </x:c>
      <x:c r="D13" s="58" t="str">
        <x:v>Whole unit</x:v>
      </x:c>
      <x:c r="E13" s="58" t="str">
        <x:v>Learner-selected retrieval if needed</x:v>
      </x:c>
      <x:c r="F13" s="58" t="str">
        <x:v>Reflection, Nutrition, Creativity</x:v>
      </x:c>
      <x:c r="G13" s="58" t="str">
        <x:v>Portfolio theorem explanation</x:v>
      </x:c>
      <x:c r="H13" s="58" t="str">
        <x:v>Unit evidence studio</x:v>
      </x:c>
    </x:row>
    <x:row r="14" ht="58" customHeight="1">
      <x:c r="A14" s="58"/>
      <x:c r="B14" s="83"/>
      <x:c r="C14" s="58"/>
      <x:c r="D14" s="58"/>
      <x:c r="E14" s="58"/>
      <x:c r="F14" s="58"/>
      <x:c r="G14" s="58"/>
      <x:c r="H14" s="58"/>
    </x:row>
    <x:row r="15" ht="58" customHeight="1">
      <x:c r="A15" s="58" t="str">
        <x:v>This is a worked scenario, not a locked unit sequence. Practice Studio question counts are indicative and should follow the learner-flow and progressive-support rules in the GreenPrint.</x:v>
      </x:c>
      <x:c r="B15" s="67"/>
      <x:c r="C15" s="58"/>
      <x:c r="D15" s="58"/>
      <x:c r="E15" s="58"/>
      <x:c r="F15" s="58"/>
      <x:c r="G15" s="58"/>
      <x:c r="H15" s="58"/>
    </x:row>
    <x:row r="16" ht="58" customHeight="1">
      <x:c r="A16" s="58"/>
      <x:c r="B16" s="77"/>
      <x:c r="C16" s="58"/>
      <x:c r="D16" s="58"/>
      <x:c r="E16" s="58"/>
      <x:c r="F16" s="58"/>
      <x:c r="G16" s="58"/>
      <x:c r="H16" s="58"/>
    </x:row>
    <x:row r="17" ht="58" customHeight="1">
      <x:c r="A17" s="58"/>
      <x:c r="B17" s="67"/>
      <x:c r="C17" s="58"/>
      <x:c r="D17" s="58"/>
      <x:c r="E17" s="58"/>
      <x:c r="F17" s="58"/>
      <x:c r="G17" s="58"/>
      <x:c r="H17" s="58"/>
    </x:row>
    <x:row r="18" ht="58" customHeight="1">
      <x:c r="A18" s="58"/>
      <x:c r="B18" s="77"/>
      <x:c r="C18" s="58"/>
      <x:c r="D18" s="58"/>
      <x:c r="E18" s="58"/>
      <x:c r="F18" s="58"/>
      <x:c r="G18" s="58"/>
      <x:c r="H18" s="58"/>
    </x:row>
    <x:row r="19" ht="58" customHeight="1">
      <x:c r="A19" s="58"/>
      <x:c r="B19" s="89"/>
      <x:c r="C19" s="58"/>
      <x:c r="D19" s="58"/>
      <x:c r="E19" s="58"/>
      <x:c r="F19" s="58"/>
      <x:c r="G19" s="58"/>
      <x:c r="H19" s="58"/>
    </x:row>
  </x:sheetData>
  <x:mergeCells>
    <x:mergeCell ref="A1:H1"/>
    <x:mergeCell ref="A3:H3"/>
    <x:mergeCell ref="A15:H15"/>
  </x:mergeCells>
  <x:pageMargins left="0.7" right="0.7" top="0.75" bottom="0.75" header="0.3" footer="0.3"/>
</x:worksheet>
</file>