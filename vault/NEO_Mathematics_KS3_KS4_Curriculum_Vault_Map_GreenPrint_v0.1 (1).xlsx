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c9c94cc1a4e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fac8f841d5f4e29"/>
    <x:sheet xmlns:r="http://schemas.openxmlformats.org/officeDocument/2006/relationships" name="Curriculum Map" sheetId="2" r:id="R195d165c56bd43cf"/>
    <x:sheet xmlns:r="http://schemas.openxmlformats.org/officeDocument/2006/relationships" name="Stepping Stones" sheetId="3" r:id="Rcac233626c5b40c7"/>
    <x:sheet xmlns:r="http://schemas.openxmlformats.org/officeDocument/2006/relationships" name="Qualification Overlays" sheetId="4" r:id="Rec03618dba394c7d"/>
    <x:sheet xmlns:r="http://schemas.openxmlformats.org/officeDocument/2006/relationships" name="Cornerstone Map" sheetId="5" r:id="R7da6849abc0842c7"/>
    <x:sheet xmlns:r="http://schemas.openxmlformats.org/officeDocument/2006/relationships" name="Interactive Tools" sheetId="6" r:id="R97155fb4cc0f4e44"/>
    <x:sheet xmlns:r="http://schemas.openxmlformats.org/officeDocument/2006/relationships" name="Portfolio &amp; Mastery" sheetId="7" r:id="R903099d490724b5d"/>
    <x:sheet xmlns:r="http://schemas.openxmlformats.org/officeDocument/2006/relationships" name="Build Tracker" sheetId="8" r:id="R1a72fa651fd44e82"/>
    <x:sheet xmlns:r="http://schemas.openxmlformats.org/officeDocument/2006/relationships" name="Sources &amp; Notes" sheetId="9" r:id="R41a430148e2c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F5F45"/>
      <x:name val="Carlito"/>
    </x:font>
    <x:font>
      <x:b/>
      <x:sz val="10"/>
      <x:color rgb="FFFFFFFF"/>
      <x:name val="Carlito"/>
    </x:font>
    <x:font>
      <x:sz val="9"/>
      <x:color rgb="FF2F3429"/>
      <x:name val="Carlito"/>
    </x:font>
    <x:font>
      <x:b/>
      <x:sz val="13"/>
      <x:color rgb="FF3F5F45"/>
      <x:name val="Carlito"/>
    </x:font>
    <x:font>
      <x:b/>
      <x:sz val="9"/>
      <x:color rgb="FF3F5F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F5F45"/>
      </x:patternFill>
    </x:fill>
    <x:fill>
      <x:patternFill patternType="solid">
        <x:fgColor rgb="FFE8F0E3"/>
      </x:patternFill>
    </x:fill>
    <x:fill>
      <x:patternFill patternType="solid">
        <x:fgColor rgb="FF5C6B4F"/>
      </x:patternFill>
    </x:fill>
  </x:fills>
  <x:borders count="18">
    <x:border/>
    <x:border/>
    <x:border>
      <x:left style="thin">
        <x:color rgb="FFD6CCB8"/>
      </x:left>
      <x:top style="thin">
        <x:color rgb="FFD6CCB8"/>
      </x:top>
    </x:border>
    <x:border>
      <x:top style="thin">
        <x:color rgb="FFD6CCB8"/>
      </x:top>
    </x:border>
    <x:border>
      <x:right style="thin">
        <x:color rgb="FFD6CCB8"/>
      </x:right>
      <x:top style="thin">
        <x:color rgb="FFD6CCB8"/>
      </x:top>
    </x:border>
    <x:border>
      <x:left style="thin">
        <x:color rgb="FFD6CCB8"/>
      </x:left>
    </x:border>
    <x:border>
      <x:right style="thin">
        <x:color rgb="FFD6CCB8"/>
      </x:right>
    </x:border>
    <x:border>
      <x:left style="thin">
        <x:color rgb="FFD6CCB8"/>
      </x:left>
      <x:bottom style="thin">
        <x:color rgb="FFD6CCB8"/>
      </x:bottom>
    </x:border>
    <x:border>
      <x:bottom style="thin">
        <x:color rgb="FFD6CCB8"/>
      </x:bottom>
    </x:border>
    <x:border>
      <x:right style="thin">
        <x:color rgb="FFD6CCB8"/>
      </x:right>
      <x:bottom style="thin">
        <x:color rgb="FFD6CCB8"/>
      </x:bottom>
    </x:border>
    <x:border>
      <x:left style="thin">
        <x:color rgb="FFD6CCB8"/>
      </x:left>
      <x:top style="thin">
        <x:color rgb="FFD6CCB8"/>
      </x:top>
    </x:border>
    <x:border>
      <x:top style="thin">
        <x:color rgb="FFD6CCB8"/>
      </x:top>
    </x:border>
    <x:border>
      <x:right style="thin">
        <x:color rgb="FFD6CCB8"/>
      </x:right>
      <x:top style="thin">
        <x:color rgb="FFD6CCB8"/>
      </x:top>
    </x:border>
    <x:border>
      <x:left style="thin">
        <x:color rgb="FFD6CCB8"/>
      </x:left>
    </x:border>
    <x:border>
      <x:right style="thin">
        <x:color rgb="FFD6CCB8"/>
      </x:right>
    </x:border>
    <x:border>
      <x:left style="thin">
        <x:color rgb="FFD6CCB8"/>
      </x:left>
      <x:bottom style="thin">
        <x:color rgb="FFD6CCB8"/>
      </x:bottom>
    </x:border>
    <x:border>
      <x:bottom style="thin">
        <x:color rgb="FFD6CCB8"/>
      </x:bottom>
    </x:border>
    <x:border>
      <x:right style="thin">
        <x:color rgb="FFD6CCB8"/>
      </x:right>
      <x:bottom style="thin">
        <x:color rgb="FFD6CCB8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4" fillId="0" borderId="5" xfId="0" applyNumberFormat="1" applyFont="1" applyFill="1" applyBorder="1"/>
    <x:xf numFmtId="20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20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/>
    <x:xf numFmtId="200" fontId="4" fillId="0" borderId="1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20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20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16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355C33"/>
      </x:font>
      <x:fill>
        <x:patternFill patternType="solid">
          <x:bgColor rgb="FFDCEFD8"/>
        </x:patternFill>
      </x:fill>
    </x:dxf>
    <x:dxf>
      <x:fill>
        <x:patternFill patternType="solid">
          <x:bgColor rgb="FFF7E5D8"/>
        </x:patternFill>
      </x:fill>
    </x:dxf>
    <x:dxf>
      <x:font>
        <x:b/>
        <x:color rgb="FF355C33"/>
      </x:font>
      <x:fill>
        <x:patternFill patternType="solid">
          <x:bgColor rgb="FFDCEFD8"/>
        </x:patternFill>
      </x:fill>
    </x:dxf>
    <x:dxf>
      <x:fill>
        <x:patternFill patternType="solid">
          <x:bgColor rgb="FFE5EEF2"/>
        </x:patternFill>
      </x:fill>
    </x:dxf>
    <x:dxf>
      <x:font>
        <x:b/>
        <x:color rgb="FF355C33"/>
      </x:font>
      <x:fill>
        <x:patternFill patternType="solid">
          <x:bgColor rgb="FFDCEFD8"/>
        </x:patternFill>
      </x:fill>
    </x:dxf>
    <x:dxf>
      <x:fill>
        <x:patternFill patternType="solid">
          <x:bgColor rgb="FFE5EEF2"/>
        </x:patternFill>
      </x:fill>
    </x:dxf>
    <x:dxf>
      <x:font>
        <x:b/>
        <x:color rgb="FF355C33"/>
      </x:font>
      <x:fill>
        <x:patternFill patternType="solid">
          <x:bgColor rgb="FFDCEFD8"/>
        </x:patternFill>
      </x:fill>
    </x:dxf>
    <x:dxf>
      <x:fill>
        <x:patternFill patternType="solid">
          <x:bgColor rgb="FFE5EEF2"/>
        </x:patternFill>
      </x:fill>
    </x:dxf>
    <x:dxf>
      <x:font>
        <x:b/>
        <x:color rgb="FF355C33"/>
      </x:font>
      <x:fill>
        <x:patternFill patternType="solid">
          <x:bgColor rgb="FFDCEFD8"/>
        </x:patternFill>
      </x:fill>
    </x:dxf>
    <x:dxf>
      <x:fill>
        <x:patternFill patternType="solid">
          <x:bgColor rgb="FFE5EEF2"/>
        </x:patternFill>
      </x:fill>
    </x:dxf>
    <x:dxf>
      <x:font>
        <x:b/>
        <x:color rgb="FF355C33"/>
      </x:font>
      <x:fill>
        <x:patternFill patternType="solid">
          <x:bgColor rgb="FFDCEFD8"/>
        </x:patternFill>
      </x:fill>
    </x:dxf>
    <x:dxf>
      <x:fill>
        <x:patternFill patternType="solid">
          <x:bgColor rgb="FFE5EEF2"/>
        </x:patternFill>
      </x:fill>
    </x:dxf>
    <x:dxf>
      <x:font>
        <x:b/>
        <x:color rgb="FF355C33"/>
      </x:font>
      <x:fill>
        <x:patternFill patternType="solid">
          <x:bgColor rgb="FFDCEFD8"/>
        </x:patternFill>
      </x:fill>
    </x:dxf>
    <x:dxf>
      <x:fill>
        <x:patternFill patternType="solid">
          <x:bgColor rgb="FFE5EEF2"/>
        </x:patternFill>
      </x:fill>
    </x:dxf>
    <x:dxf>
      <x:font>
        <x:b/>
        <x:color rgb="FF355C33"/>
      </x:font>
      <x:fill>
        <x:patternFill patternType="solid">
          <x:bgColor rgb="FFDCEFD8"/>
        </x:patternFill>
      </x:fill>
    </x:dxf>
    <x:dxf>
      <x:fill>
        <x:patternFill patternType="solid">
          <x:bgColor rgb="FFE5EEF2"/>
        </x:patternFill>
      </x:fill>
    </x:dxf>
    <x:dxf>
      <x:font>
        <x:b/>
        <x:color rgb="FF355C33"/>
      </x:font>
      <x:fill>
        <x:patternFill patternType="solid">
          <x:bgColor rgb="FFDCEFD8"/>
        </x:patternFill>
      </x:fill>
    </x:dxf>
    <x:dxf>
      <x:fill>
        <x:patternFill patternType="solid">
          <x:bgColor rgb="FFE5EE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072931b0042b4" /><Relationship Type="http://schemas.openxmlformats.org/officeDocument/2006/relationships/theme" Target="/xl/theme/theme1.xml" Id="Re9c142549e474c2c" /><Relationship Type="http://schemas.openxmlformats.org/officeDocument/2006/relationships/sharedStrings" Target="/xl/sharedStrings.xml" Id="R8ed24876a7f9455a" /><Relationship Type="http://schemas.openxmlformats.org/officeDocument/2006/relationships/worksheet" Target="/xl/worksheets/sheet1.xml" Id="R2fac8f841d5f4e29" /><Relationship Type="http://schemas.openxmlformats.org/officeDocument/2006/relationships/worksheet" Target="/xl/worksheets/sheet2.xml" Id="R195d165c56bd43cf" /><Relationship Type="http://schemas.openxmlformats.org/officeDocument/2006/relationships/worksheet" Target="/xl/worksheets/sheet3.xml" Id="Rcac233626c5b40c7" /><Relationship Type="http://schemas.openxmlformats.org/officeDocument/2006/relationships/worksheet" Target="/xl/worksheets/sheet4.xml" Id="Rec03618dba394c7d" /><Relationship Type="http://schemas.openxmlformats.org/officeDocument/2006/relationships/worksheet" Target="/xl/worksheets/sheet5.xml" Id="R7da6849abc0842c7" /><Relationship Type="http://schemas.openxmlformats.org/officeDocument/2006/relationships/worksheet" Target="/xl/worksheets/sheet6.xml" Id="R97155fb4cc0f4e44" /><Relationship Type="http://schemas.openxmlformats.org/officeDocument/2006/relationships/worksheet" Target="/xl/worksheets/sheet7.xml" Id="R903099d490724b5d" /><Relationship Type="http://schemas.openxmlformats.org/officeDocument/2006/relationships/worksheet" Target="/xl/worksheets/sheet8.xml" Id="R1a72fa651fd44e82" /><Relationship Type="http://schemas.openxmlformats.org/officeDocument/2006/relationships/worksheet" Target="/xl/worksheets/sheet9.xml" Id="R41a430148e2c4e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d456ece4b944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Mapped Units by Pathway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Unit Count</c:v>
          </c:tx>
          <c:cat>
            <c:strRef>
              <c:f>'Overview'!$D$5:$D$11</c:f>
              <c:strCache>
                <c:ptCount val="0"/>
              </c:strCache>
            </c:strRef>
          </c:cat>
          <c:val>
            <c:numRef>
              <c:f>'Overview'!$E$5:$E$11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d456ece4b944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rriculumMapTable" displayName="CurriculumMapTable" ref="A4:V72" headerRowCount="1">
  <x:tableColumns count="22">
    <x:tableColumn id="1" name="Unit ID"/>
    <x:tableColumn id="2" name="Pathway"/>
    <x:tableColumn id="3" name="Year / Stage"/>
    <x:tableColumn id="4" name="Sequence"/>
    <x:tableColumn id="5" name="Mathematical Strand"/>
    <x:tableColumn id="6" name="Unit Title"/>
    <x:tableColumn id="7" name="Driving Question"/>
    <x:tableColumn id="8" name="Stepping Stones"/>
    <x:tableColumn id="9" name="Primary Cornerstone"/>
    <x:tableColumn id="10" name="Secondary Cornerstone(s)"/>
    <x:tableColumn id="11" name="Cornerstone Fit"/>
    <x:tableColumn id="12" name="Interactive Inquiry Tool"/>
    <x:tableColumn id="13" name="Scratchpad Template"/>
    <x:tableColumn id="14" name="Portfolio Evidence"/>
    <x:tableColumn id="15" name="Qualification Overlay"/>
    <x:tableColumn id="16" name="Overlay Reference"/>
    <x:tableColumn id="17" name="Suggested Mode(s)"/>
    <x:tableColumn id="18" name="Sensory / Cognitive Load"/>
    <x:tableColumn id="19" name="Prerequisite Connections"/>
    <x:tableColumn id="20" name="Next Connections"/>
    <x:tableColumn id="21" name="Build Status"/>
    <x:tableColumn id="22" name="Curriculum Design Note"/>
  </x:tableColumns>
  <x:tableStyleInfo name="TableStyleMedium2" showRowStripes="1"/>
</x:table>
</file>

<file path=xl/tables/table2.xml><?xml version="1.0" encoding="utf-8"?>
<x:table xmlns:x="http://schemas.openxmlformats.org/spreadsheetml/2006/main" id="2" name="SteppingStonesTable" displayName="SteppingStonesTable" ref="A4:M399" headerRowCount="1">
  <x:tableColumns count="13">
    <x:tableColumn id="1" name="Stepping Stone ID"/>
    <x:tableColumn id="2" name="Unit ID"/>
    <x:tableColumn id="3" name="Pathway"/>
    <x:tableColumn id="4" name="Year / Stage"/>
    <x:tableColumn id="5" name="Strand"/>
    <x:tableColumn id="6" name="Unit Title"/>
    <x:tableColumn id="7" name="Canonical Learning Statement"/>
    <x:tableColumn id="8" name="Primary Cornerstone"/>
    <x:tableColumn id="9" name="Secondary Cornerstones"/>
    <x:tableColumn id="10" name="Mode(s)"/>
    <x:tableColumn id="11" name="Suggested Evidence Types"/>
    <x:tableColumn id="12" name="Prerequisite Connection"/>
    <x:tableColumn id="13" name="Next Connection"/>
  </x:tableColumns>
  <x:tableStyleInfo name="TableStyleMedium2" showRowStripes="1"/>
</x:table>
</file>

<file path=xl/tables/table3.xml><?xml version="1.0" encoding="utf-8"?>
<x:table xmlns:x="http://schemas.openxmlformats.org/spreadsheetml/2006/main" id="3" name="QualificationOverlayTable" displayName="QualificationOverlayTable" ref="A4:J114" headerRowCount="1">
  <x:tableColumns count="10">
    <x:tableColumn id="1" name="Overlay Map ID"/>
    <x:tableColumn id="2" name="Unit ID"/>
    <x:tableColumn id="3" name="Pathway"/>
    <x:tableColumn id="4" name="Unit Title"/>
    <x:tableColumn id="5" name="Overlay"/>
    <x:tableColumn id="6" name="Tier / Level"/>
    <x:tableColumn id="7" name="Specification Reference"/>
    <x:tableColumn id="8" name="Canonical Link Summary"/>
    <x:tableColumn id="9" name="Source URL"/>
    <x:tableColumn id="10" name="Review Note"/>
  </x:tableColumns>
  <x:tableStyleInfo name="TableStyleMedium2" showRowStripes="1"/>
</x:table>
</file>

<file path=xl/tables/table4.xml><?xml version="1.0" encoding="utf-8"?>
<x:table xmlns:x="http://schemas.openxmlformats.org/spreadsheetml/2006/main" id="4" name="CornerstoneMapTable" displayName="CornerstoneMapTable" ref="A14:L82" headerRowCount="1">
  <x:tableColumns count="12">
    <x:tableColumn id="1" name="Unit ID"/>
    <x:tableColumn id="2" name="Pathway"/>
    <x:tableColumn id="3" name="Year / Stage"/>
    <x:tableColumn id="4" name="Strand"/>
    <x:tableColumn id="5" name="Unit Title"/>
    <x:tableColumn id="6" name="Driving Question"/>
    <x:tableColumn id="7" name="Primary Cornerstone"/>
    <x:tableColumn id="8" name="Secondary Cornerstone(s)"/>
    <x:tableColumn id="9" name="Fit"/>
    <x:tableColumn id="10" name="What the Cornerstone Does Mathematically"/>
    <x:tableColumn id="11" name="Scratchpad / Inquiry Link"/>
    <x:tableColumn id="12" name="Sensory / Pacing Note"/>
  </x:tableColumns>
  <x:tableStyleInfo name="TableStyleMedium2" showRowStripes="1"/>
</x:table>
</file>

<file path=xl/tables/table5.xml><?xml version="1.0" encoding="utf-8"?>
<x:table xmlns:x="http://schemas.openxmlformats.org/spreadsheetml/2006/main" id="5" name="InteractiveToolsTable" displayName="InteractiveToolsTable" ref="A4:L72" headerRowCount="1">
  <x:tableColumns count="12">
    <x:tableColumn id="1" name="Tool ID"/>
    <x:tableColumn id="2" name="Unit ID"/>
    <x:tableColumn id="3" name="Pathway"/>
    <x:tableColumn id="4" name="Unit Title"/>
    <x:tableColumn id="5" name="Interactive Inquiry Tool"/>
    <x:tableColumn id="6" name="Inquiry Move"/>
    <x:tableColumn id="7" name="Core Learner Actions"/>
    <x:tableColumn id="8" name="Scratchpad Preset"/>
    <x:tableColumn id="9" name="Suggested Contextual Button"/>
    <x:tableColumn id="10" name="Reusable Tool Family"/>
    <x:tableColumn id="11" name="Tool Status"/>
    <x:tableColumn id="12" name="Build Note"/>
  </x:tableColumns>
  <x:tableStyleInfo name="TableStyleMedium2" showRowStripes="1"/>
</x:table>
</file>

<file path=xl/tables/table6.xml><?xml version="1.0" encoding="utf-8"?>
<x:table xmlns:x="http://schemas.openxmlformats.org/spreadsheetml/2006/main" id="6" name="PortfolioMasteryTable" displayName="PortfolioMasteryTable" ref="A4:N72" headerRowCount="1">
  <x:tableColumns count="14">
    <x:tableColumn id="1" name="Unit ID"/>
    <x:tableColumn id="2" name="Pathway"/>
    <x:tableColumn id="3" name="Year / Stage"/>
    <x:tableColumn id="4" name="Strand"/>
    <x:tableColumn id="5" name="Unit Title"/>
    <x:tableColumn id="6" name="Portfolio / Evidence Product"/>
    <x:tableColumn id="7" name="Alternative Evidence Forms"/>
    <x:tableColumn id="8" name="Emerging"/>
    <x:tableColumn id="9" name="Developing"/>
    <x:tableColumn id="10" name="Secure"/>
    <x:tableColumn id="11" name="Mastering"/>
    <x:tableColumn id="12" name="Submission Pattern"/>
    <x:tableColumn id="13" name="Learner Reflection Prompt"/>
    <x:tableColumn id="14" name="Evidence Ownership Note"/>
  </x:tableColumns>
  <x:tableStyleInfo name="TableStyleMedium2" showRowStripes="1"/>
</x:table>
</file>

<file path=xl/tables/table7.xml><?xml version="1.0" encoding="utf-8"?>
<x:table xmlns:x="http://schemas.openxmlformats.org/spreadsheetml/2006/main" id="7" name="BuildTrackerTable" displayName="BuildTrackerTable" ref="A4:M72" headerRowCount="1">
  <x:tableColumns count="13">
    <x:tableColumn id="1" name="Unit ID"/>
    <x:tableColumn id="2" name="Pathway"/>
    <x:tableColumn id="3" name="Year / Stage"/>
    <x:tableColumn id="4" name="Unit Title"/>
    <x:tableColumn id="5" name="Curriculum Map"/>
    <x:tableColumn id="6" name="Interactive Tool"/>
    <x:tableColumn id="7" name="HTML Lesson"/>
    <x:tableColumn id="8" name="Practice Companion"/>
    <x:tableColumn id="9" name="Learner Guide"/>
    <x:tableColumn id="10" name="Adult Guidance"/>
    <x:tableColumn id="11" name="Review"/>
    <x:tableColumn id="12" name="Lock Status"/>
    <x:tableColumn id="13" name="Priority / Note"/>
  </x:tableColumns>
  <x:tableStyleInfo name="TableStyleMedium2" showRowStripes="1"/>
</x:table>
</file>

<file path=xl/tables/table8.xml><?xml version="1.0" encoding="utf-8"?>
<x:table xmlns:x="http://schemas.openxmlformats.org/spreadsheetml/2006/main" id="8" name="SourcesNotesTable" displayName="SourcesNotesTable" ref="A4:F14" headerRowCount="1">
  <x:tableColumns count="6">
    <x:tableColumn id="1" name="Source / Decision"/>
    <x:tableColumn id="2" name="Purpose in Workbook"/>
    <x:tableColumn id="3" name="Authority / Status"/>
    <x:tableColumn id="4" name="URL or File"/>
    <x:tableColumn id="5" name="Review Date / Trigger"/>
    <x:tableColumn id="6" name="Design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9884b81df444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5d30e6167c41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cf77ec21ca49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3cfbdac79a45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84a67b95ef49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5ce3c7c5f644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3eb60d6e234d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8eed4fbe1347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f120df0b0442e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24" hidden="0" customWidth="1"/>
    <x:col min="5" max="5" width="14" hidden="0" customWidth="1"/>
    <x:col min="6" max="6" width="50" hidden="0" customWidth="1"/>
    <x:col min="7" max="7" width="46" hidden="0" customWidth="1"/>
    <x:col min="8" max="8" width="8" hidden="0" customWidth="1"/>
    <x:col min="9" max="9" width="28" hidden="0" customWidth="1"/>
    <x:col min="10" max="10" width="58" hidden="0" customWidth="1"/>
  </x:cols>
  <x:sheetData>
    <x:row r="1" ht="30" customHeight="1">
      <x:c r="A1" s="5" t="str">
        <x:v>NEO Mathematics Curriculum Vault Map — GreenPrint Workbook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2" customHeight="1">
      <x:c r="A2" s="12" t="str">
        <x:v>A navigable unit-level KS3–KS4 mathematics curriculum organised by pathway, mathematical strand, inquiry, Cornerstones, learner-owned evidence, Mastery and qualification overlays.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32" t="str">
        <x:v>Curriculum KPI</x:v>
      </x:c>
      <x:c r="B4" s="34" t="str">
        <x:v>Value</x:v>
      </x:c>
      <x:c r="D4" s="32" t="str">
        <x:v>Pathway</x:v>
      </x:c>
      <x:c r="E4" s="33" t="str">
        <x:v>Unit Count</x:v>
      </x:c>
      <x:c r="F4" s="33" t="str">
        <x:v>% of Map</x:v>
      </x:c>
      <x:c r="G4" s="34" t="str">
        <x:v>Curriculum Role</x:v>
      </x:c>
      <x:c r="H4" s="32" t="str">
        <x:v>How to Use This Workbook</x:v>
      </x:c>
      <x:c r="I4" s="33"/>
      <x:c r="J4" s="34"/>
      <x:c r="K4" s="20"/>
      <x:c r="L4" s="20"/>
    </x:row>
    <x:row r="5" ht="42" customHeight="1">
      <x:c r="A5" s="35" t="str">
        <x:v>Mapped units</x:v>
      </x:c>
      <x:c r="B5" s="95" t="n">
        <x:f>COUNTA('Curriculum Map'!A5:A72)</x:f>
        <x:v>68</x:v>
      </x:c>
      <x:c r="D5" s="35" t="str">
        <x:v>Discovery / Reconnection</x:v>
      </x:c>
      <x:c r="E5" s="28" t="n">
        <x:f>COUNTIF('Curriculum Map'!$B$5:$B$72,D5)</x:f>
        <x:v>8</x:v>
      </x:c>
      <x:c r="F5" s="77" t="n">
        <x:f>E5/$B$5</x:f>
        <x:v>0.11764705882352941</x:v>
      </x:c>
      <x:c r="G5" s="36" t="str">
        <x:v>Entry, re-engagement and pathway finding</x:v>
      </x:c>
      <x:c r="H5" s="99" t="str">
        <x:v>1</x:v>
      </x:c>
      <x:c r="I5" s="28" t="str">
        <x:v>Curriculum Map</x:v>
      </x:c>
      <x:c r="J5" s="36" t="str">
        <x:v>Filter by Pathway, Strand, Cornerstone or Build Status.</x:v>
      </x:c>
    </x:row>
    <x:row r="6" ht="42" customHeight="1">
      <x:c r="A6" s="35" t="str">
        <x:v>Canonical Stepping Stones</x:v>
      </x:c>
      <x:c r="B6" s="95" t="n">
        <x:f>COUNTA('Stepping Stones'!A5:A399)</x:f>
        <x:v>395</x:v>
      </x:c>
      <x:c r="D6" s="35" t="str">
        <x:v>Year 7 Foundations</x:v>
      </x:c>
      <x:c r="E6" s="28" t="n">
        <x:f>COUNTIF('Curriculum Map'!$B$5:$B$72,D6)</x:f>
        <x:v>10</x:v>
      </x:c>
      <x:c r="F6" s="77" t="n">
        <x:f>E6/$B$5</x:f>
        <x:v>0.14705882352941177</x:v>
      </x:c>
      <x:c r="G6" s="36" t="str">
        <x:v>Number trust, representation and core relationships</x:v>
      </x:c>
      <x:c r="H6" s="99" t="str">
        <x:v>2</x:v>
      </x:c>
      <x:c r="I6" s="28" t="str">
        <x:v>Stepping Stones</x:v>
      </x:c>
      <x:c r="J6" s="36" t="str">
        <x:v>Use the unique IDs as canonical curriculum nodes and evidence tags.</x:v>
      </x:c>
    </x:row>
    <x:row r="7" ht="42" customHeight="1">
      <x:c r="A7" s="35" t="str">
        <x:v>Qualification overlay links</x:v>
      </x:c>
      <x:c r="B7" s="95" t="n">
        <x:f>COUNTA('Qualification Overlays'!A5:A114)</x:f>
        <x:v>110</x:v>
      </x:c>
      <x:c r="D7" s="35" t="str">
        <x:v>Year 8 Connections</x:v>
      </x:c>
      <x:c r="E7" s="28" t="n">
        <x:f>COUNTIF('Curriculum Map'!$B$5:$B$72,D7)</x:f>
        <x:v>10</x:v>
      </x:c>
      <x:c r="F7" s="77" t="n">
        <x:f>E7/$B$5</x:f>
        <x:v>0.14705882352941177</x:v>
      </x:c>
      <x:c r="G7" s="36" t="str">
        <x:v>Connect algebra, graphs, rates, geometry and evidence</x:v>
      </x:c>
      <x:c r="H7" s="99" t="str">
        <x:v>3</x:v>
      </x:c>
      <x:c r="I7" s="28" t="str">
        <x:v>Qualification Overlays</x:v>
      </x:c>
      <x:c r="J7" s="36" t="str">
        <x:v>Audit how NC KS3, 4MA1 and Functional Skills assess canonical learning.</x:v>
      </x:c>
    </x:row>
    <x:row r="8" ht="42" customHeight="1">
      <x:c r="A8" s="37" t="str">
        <x:v>Locked reference prototypes</x:v>
      </x:c>
      <x:c r="B8" s="96" t="n">
        <x:f>COUNTIF('Build Tracker'!L5:L72,"Locked prototype")</x:f>
        <x:v>2</x:v>
      </x:c>
      <x:c r="D8" s="35" t="str">
        <x:v>Year 9 Bridge</x:v>
      </x:c>
      <x:c r="E8" s="28" t="n">
        <x:f>COUNTIF('Curriculum Map'!$B$5:$B$72,D8)</x:f>
        <x:v>10</x:v>
      </x:c>
      <x:c r="F8" s="77" t="n">
        <x:f>E8/$B$5</x:f>
        <x:v>0.14705882352941177</x:v>
      </x:c>
      <x:c r="G8" s="36" t="str">
        <x:v>Strong KS3 emphasis and bridge to qualification</x:v>
      </x:c>
      <x:c r="H8" s="99" t="str">
        <x:v>4</x:v>
      </x:c>
      <x:c r="I8" s="28" t="str">
        <x:v>Cornerstone Map</x:v>
      </x:c>
      <x:c r="J8" s="36" t="str">
        <x:v>Audit design fit and check that Nutrition is not being forced.</x:v>
      </x:c>
    </x:row>
    <x:row r="9" ht="42" customHeight="1">
      <x:c r="D9" s="35" t="str">
        <x:v>iGCSE Year 1</x:v>
      </x:c>
      <x:c r="E9" s="28" t="n">
        <x:f>COUNTIF('Curriculum Map'!$B$5:$B$72,D9)</x:f>
        <x:v>10</x:v>
      </x:c>
      <x:c r="F9" s="77" t="n">
        <x:f>E9/$B$5</x:f>
        <x:v>0.14705882352941177</x:v>
      </x:c>
      <x:c r="G9" s="36" t="str">
        <x:v>Canonical learning mapped closely to 4MA1</x:v>
      </x:c>
      <x:c r="H9" s="99" t="str">
        <x:v>5</x:v>
      </x:c>
      <x:c r="I9" s="28" t="str">
        <x:v>Interactive Tools</x:v>
      </x:c>
      <x:c r="J9" s="36" t="str">
        <x:v>Prioritise reusable tool families before authoring 68 separate apps.</x:v>
      </x:c>
    </x:row>
    <x:row r="10" ht="42" customHeight="1">
      <x:c r="D10" s="35" t="str">
        <x:v>iGCSE Year 2</x:v>
      </x:c>
      <x:c r="E10" s="28" t="n">
        <x:f>COUNTIF('Curriculum Map'!$B$5:$B$72,D10)</x:f>
        <x:v>10</x:v>
      </x:c>
      <x:c r="F10" s="77" t="n">
        <x:f>E10/$B$5</x:f>
        <x:v>0.14705882352941177</x:v>
      </x:c>
      <x:c r="G10" s="36" t="str">
        <x:v>Synthesis, higher reasoning and assessment navigation</x:v>
      </x:c>
      <x:c r="H10" s="99" t="str">
        <x:v>6</x:v>
      </x:c>
      <x:c r="I10" s="28" t="str">
        <x:v>Portfolio &amp; Mastery</x:v>
      </x:c>
      <x:c r="J10" s="36" t="str">
        <x:v>Attach learner-owned evidence and outcome-level Mastery judgements.</x:v>
      </x:c>
    </x:row>
    <x:row r="11" ht="42" customHeight="1">
      <x:c r="A11" s="32" t="str">
        <x:v>Locked Architecture</x:v>
      </x:c>
      <x:c r="B11" s="34"/>
      <x:c r="D11" s="37" t="str">
        <x:v>Functional &amp; Applied Mathematics</x:v>
      </x:c>
      <x:c r="E11" s="38" t="n">
        <x:f>COUNTIF('Curriculum Map'!$B$5:$B$72,D11)</x:f>
        <x:v>10</x:v>
      </x:c>
      <x:c r="F11" s="78" t="n">
        <x:f>E11/$B$5</x:f>
        <x:v>0.14705882352941177</x:v>
      </x:c>
      <x:c r="G11" s="39" t="str">
        <x:v>Practical route alongside or towards iGCSE</x:v>
      </x:c>
      <x:c r="H11" s="99" t="str">
        <x:v>7</x:v>
      </x:c>
      <x:c r="I11" s="28" t="str">
        <x:v>Build Tracker</x:v>
      </x:c>
      <x:c r="J11" s="36" t="str">
        <x:v>Move each unit from map → tool → HTML → guides → review → lock.</x:v>
      </x:c>
    </x:row>
    <x:row r="12" ht="42" customHeight="1">
      <x:c r="A12" s="99" t="str">
        <x:v>Curriculum Spine × Overlay</x:v>
      </x:c>
      <x:c r="B12" s="36" t="str">
        <x:v>Canonical NEO mathematics is taught first; external specifications map onto it.</x:v>
      </x:c>
      <x:c r="H12" s="100" t="str">
        <x:v>8</x:v>
      </x:c>
      <x:c r="I12" s="38" t="str">
        <x:v>Sources &amp; Notes</x:v>
      </x:c>
      <x:c r="J12" s="39" t="str">
        <x:v>Check authority, URLs, assumptions and annual-review triggers.</x:v>
      </x:c>
    </x:row>
    <x:row r="13" ht="44" customHeight="1">
      <x:c r="A13" s="99" t="str">
        <x:v>Stepping Stones</x:v>
      </x:c>
      <x:c r="B13" s="36" t="str">
        <x:v>Learner-facing progression language and canonical outcome nodes.</x:v>
      </x:c>
    </x:row>
    <x:row r="14" ht="44" customHeight="1">
      <x:c r="A14" s="99" t="str">
        <x:v>Cornerstones</x:v>
      </x:c>
      <x:c r="B14" s="36" t="str">
        <x:v>Connection, Movement, Creativity, Reflection, Rest and Nutrition as design lenses.</x:v>
      </x:c>
      <x:c r="D14" s="32" t="str">
        <x:v>Primary Cornerstone</x:v>
      </x:c>
      <x:c r="E14" s="33" t="str">
        <x:v>Mapped Units</x:v>
      </x:c>
      <x:c r="F14" s="34" t="str">
        <x:v>Design Note</x:v>
      </x:c>
    </x:row>
    <x:row r="15" ht="38" customHeight="1">
      <x:c r="A15" s="99" t="str">
        <x:v>Inquiry rhythm</x:v>
      </x:c>
      <x:c r="B15" s="36" t="str">
        <x:v>Predict → Sketch → Test → Notice → Revise.</x:v>
      </x:c>
      <x:c r="D15" s="99" t="str">
        <x:v>Connection</x:v>
      </x:c>
      <x:c r="E15" s="28" t="n">
        <x:f>'Cornerstone Map'!B5</x:f>
        <x:v>22</x:v>
      </x:c>
      <x:c r="F15" s="36" t="str">
        <x:v>Make mathematical relationships and human dialogue visible.</x:v>
      </x:c>
    </x:row>
    <x:row r="16" ht="38" customHeight="1">
      <x:c r="A16" s="99" t="str">
        <x:v>Lesson package</x:v>
      </x:c>
      <x:c r="B16" s="36" t="str">
        <x:v>Interactive Lesson + Practice Companion + Final Portfolio Task + Learner Guide + Supporting Adult Guidance.</x:v>
      </x:c>
      <x:c r="D16" s="99" t="str">
        <x:v>Movement</x:v>
      </x:c>
      <x:c r="E16" s="28" t="n">
        <x:f>'Cornerstone Map'!B6</x:f>
        <x:v>14</x:v>
      </x:c>
      <x:c r="F16" s="36" t="str">
        <x:v>Treat mathematical ideas as dynamic; trace change or movement.</x:v>
      </x:c>
    </x:row>
    <x:row r="17" ht="38" customHeight="1">
      <x:c r="A17" s="99" t="str">
        <x:v>Scratchpad</x:v>
      </x:c>
      <x:c r="B17" s="36" t="str">
        <x:v>Embedded in-page NEO Maths Scratchpad; no external whiteboard URL required.</x:v>
      </x:c>
      <x:c r="D17" s="99" t="str">
        <x:v>Creativity</x:v>
      </x:c>
      <x:c r="E17" s="28" t="n">
        <x:f>'Cornerstone Map'!B7</x:f>
        <x:v>10</x:v>
      </x:c>
      <x:c r="F17" s="36" t="str">
        <x:v>Invite conjecture, multiple routes, making and model-building.</x:v>
      </x:c>
    </x:row>
    <x:row r="18" ht="38" customHeight="1">
      <x:c r="A18" s="100" t="str">
        <x:v>Mastery</x:v>
      </x:c>
      <x:c r="B18" s="39" t="str">
        <x:v>Emerging → Developing → Secure → Mastering, judged per outcome demonstration.</x:v>
      </x:c>
      <x:c r="D18" s="99" t="str">
        <x:v>Reflection</x:v>
      </x:c>
      <x:c r="E18" s="28" t="n">
        <x:f>'Cornerstone Map'!B8</x:f>
        <x:v>19</x:v>
      </x:c>
      <x:c r="F18" s="36" t="str">
        <x:v>Surface reasoning, misconceptions, proof and metacognition.</x:v>
      </x:c>
    </x:row>
    <x:row r="19" ht="38" customHeight="1">
      <x:c r="D19" s="99" t="str">
        <x:v>Rest</x:v>
      </x:c>
      <x:c r="E19" s="28" t="n">
        <x:f>'Cornerstone Map'!B9</x:f>
        <x:v>3</x:v>
      </x:c>
      <x:c r="F19" s="36" t="str">
        <x:v>Chunk, regulate sensory load and protect the right to pause.</x:v>
      </x:c>
    </x:row>
    <x:row r="20" ht="38" customHeight="1">
      <x:c r="D20" s="100" t="str">
        <x:v>Nutrition</x:v>
      </x:c>
      <x:c r="E20" s="38" t="n">
        <x:f>'Cornerstone Map'!B10</x:f>
        <x:v>0</x:v>
      </x:c>
      <x:c r="F20" s="39" t="str">
        <x:v>Use food/body/health/sustainability contexts only where genuine.</x:v>
      </x:c>
    </x:row>
  </x:sheetData>
  <x:mergeCells>
    <x:mergeCell ref="A1:L1"/>
    <x:mergeCell ref="A2:L2"/>
    <x:mergeCell ref="A11:B11"/>
    <x:mergeCell ref="H4:L4"/>
  </x:mergeCells>
  <x:pageMargins left="0.7" right="0.7" top="0.75" bottom="0.75" header="0.3" footer="0.3"/>
  <x:drawing xmlns:r="http://schemas.openxmlformats.org/officeDocument/2006/relationships" r:id="Rb49884b81df4442a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9" hidden="0" customWidth="1"/>
    <x:col min="5" max="5" width="24" hidden="0" customWidth="1"/>
    <x:col min="6" max="6" width="32" hidden="0" customWidth="1"/>
    <x:col min="7" max="7" width="38" hidden="0" customWidth="1"/>
    <x:col min="8" max="8" width="58" hidden="0" customWidth="1"/>
    <x:col min="9" max="9" width="20" hidden="0" customWidth="1"/>
    <x:col min="10" max="10" width="28" hidden="0" customWidth="1"/>
    <x:col min="11" max="11" width="16" hidden="0" customWidth="1"/>
    <x:col min="12" max="12" width="36" hidden="0" customWidth="1"/>
    <x:col min="13" max="13" width="24" hidden="0" customWidth="1"/>
    <x:col min="14" max="14" width="38" hidden="0" customWidth="1"/>
    <x:col min="15" max="15" width="32" hidden="0" customWidth="1"/>
    <x:col min="16" max="16" width="34" hidden="0" customWidth="1"/>
    <x:col min="17" max="17" width="26" hidden="0" customWidth="1"/>
    <x:col min="18" max="18" width="30" hidden="0" customWidth="1"/>
    <x:col min="19" max="19" width="34" hidden="0" customWidth="1"/>
    <x:col min="20" max="20" width="34" hidden="0" customWidth="1"/>
    <x:col min="21" max="21" width="20" hidden="0" customWidth="1"/>
    <x:col min="22" max="22" width="38" hidden="0" customWidth="1"/>
  </x:cols>
  <x:sheetData>
    <x:row r="1" ht="28" customHeight="1">
      <x:c r="A1" s="5" t="str">
        <x:v>NEO Mathematics KS3–KS4 Curriculum Map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6" customHeight="1">
      <x:c r="A2" s="12" t="str">
        <x:v>Canonical Curriculum Spine × Qualification Overlay — unit-level map. Stepping Stones are learner-facing outcomes; Cornerstones describe design and pedagogy, not a second subject curriculum.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</x:row>
    <x:row r="4" ht="42" customHeight="1">
      <x:c r="A4" s="32" t="str">
        <x:v>Unit ID</x:v>
      </x:c>
      <x:c r="B4" s="33" t="str">
        <x:v>Pathway</x:v>
      </x:c>
      <x:c r="C4" s="33" t="str">
        <x:v>Year / Stage</x:v>
      </x:c>
      <x:c r="D4" s="33" t="str">
        <x:v>Sequence</x:v>
      </x:c>
      <x:c r="E4" s="33" t="str">
        <x:v>Mathematical Strand</x:v>
      </x:c>
      <x:c r="F4" s="33" t="str">
        <x:v>Unit Title</x:v>
      </x:c>
      <x:c r="G4" s="33" t="str">
        <x:v>Driving Question</x:v>
      </x:c>
      <x:c r="H4" s="33" t="str">
        <x:v>Stepping Stones</x:v>
      </x:c>
      <x:c r="I4" s="33" t="str">
        <x:v>Primary Cornerstone</x:v>
      </x:c>
      <x:c r="J4" s="33" t="str">
        <x:v>Secondary Cornerstone(s)</x:v>
      </x:c>
      <x:c r="K4" s="33" t="str">
        <x:v>Cornerstone Fit</x:v>
      </x:c>
      <x:c r="L4" s="33" t="str">
        <x:v>Interactive Inquiry Tool</x:v>
      </x:c>
      <x:c r="M4" s="33" t="str">
        <x:v>Scratchpad Template</x:v>
      </x:c>
      <x:c r="N4" s="33" t="str">
        <x:v>Portfolio Evidence</x:v>
      </x:c>
      <x:c r="O4" s="33" t="str">
        <x:v>Qualification Overlay</x:v>
      </x:c>
      <x:c r="P4" s="33" t="str">
        <x:v>Overlay Reference</x:v>
      </x:c>
      <x:c r="Q4" s="33" t="str">
        <x:v>Suggested Mode(s)</x:v>
      </x:c>
      <x:c r="R4" s="33" t="str">
        <x:v>Sensory / Cognitive Load</x:v>
      </x:c>
      <x:c r="S4" s="33" t="str">
        <x:v>Prerequisite Connections</x:v>
      </x:c>
      <x:c r="T4" s="33" t="str">
        <x:v>Next Connections</x:v>
      </x:c>
      <x:c r="U4" s="33" t="str">
        <x:v>Build Status</x:v>
      </x:c>
      <x:c r="V4" s="34" t="str">
        <x:v>Curriculum Design Note</x:v>
      </x:c>
    </x:row>
    <x:row r="5" ht="72" customHeight="1">
      <x:c r="A5" s="35" t="str">
        <x:v>NEO-MATH-DISC-01</x:v>
      </x:c>
      <x:c r="B5" s="28" t="str">
        <x:v>Discovery / Reconnection</x:v>
      </x:c>
      <x:c r="C5" s="28" t="str">
        <x:v>Flexible entry</x:v>
      </x:c>
      <x:c r="D5" s="28" t="n">
        <x:v>1</x:v>
      </x:c>
      <x:c r="E5" s="28" t="str">
        <x:v>Self-Regulated Mathematical Learning</x:v>
      </x:c>
      <x:c r="F5" s="28" t="str">
        <x:v>Finding My Maths Starting Point</x:v>
      </x:c>
      <x:c r="G5" s="28" t="str">
        <x:v>What happens when maths begins with what I already notice?</x:v>
      </x:c>
      <x:c r="H5" s="28" t="str">
        <x:v>notice mathematical strengths; try different representations; use support tools; explain what helps; choose a next Stepping Stone</x:v>
      </x:c>
      <x:c r="I5" s="28" t="str">
        <x:v>Connection</x:v>
      </x:c>
      <x:c r="J5" s="28" t="str">
        <x:v>Reflection, Rest</x:v>
      </x:c>
      <x:c r="K5" s="28" t="str">
        <x:v>Strong</x:v>
      </x:c>
      <x:c r="L5" s="28" t="str">
        <x:v>Maths Route Finder: visual, numerical and contextual mini-challenges</x:v>
      </x:c>
      <x:c r="M5" s="28" t="str">
        <x:v>Blank / Square grid</x:v>
      </x:c>
      <x:c r="N5" s="28" t="str">
        <x:v>My Maths Map: strengths, supports and next steps</x:v>
      </x:c>
      <x:c r="O5" s="28" t="str">
        <x:v>NEO canonical; diagnostic bridge</x:v>
      </x:c>
      <x:c r="P5" s="28" t="str">
        <x:v>Not an awarding-body unit; informs pathway entry</x:v>
      </x:c>
      <x:c r="Q5" s="28" t="str">
        <x:v>Live, Asynchronous, Independent</x:v>
      </x:c>
      <x:c r="R5" s="28" t="str">
        <x:v>Low; choice-rich, no timed score</x:v>
      </x:c>
      <x:c r="S5" s="28" t="str">
        <x:v>None</x:v>
      </x:c>
      <x:c r="T5" s="28" t="str">
        <x:v>Place value; calculation; FDP; applied routes</x:v>
      </x:c>
      <x:c r="U5" s="28" t="str">
        <x:v>Designed</x:v>
      </x:c>
      <x:c r="V5" s="36" t="str">
        <x:v>Canonical unit; lesson sequence to be authored from mapped Stepping Stones.</x:v>
      </x:c>
    </x:row>
    <x:row r="6" ht="72" customHeight="1">
      <x:c r="A6" s="35" t="str">
        <x:v>NEO-MATH-DISC-02</x:v>
      </x:c>
      <x:c r="B6" s="28" t="str">
        <x:v>Discovery / Reconnection</x:v>
      </x:c>
      <x:c r="C6" s="28" t="str">
        <x:v>Flexible entry</x:v>
      </x:c>
      <x:c r="D6" s="28" t="n">
        <x:v>2</x:v>
      </x:c>
      <x:c r="E6" s="28" t="str">
        <x:v>Number Sense</x:v>
      </x:c>
      <x:c r="F6" s="28" t="str">
        <x:v>Numbers I Can Trust</x:v>
      </x:c>
      <x:c r="G6" s="28" t="str">
        <x:v>How can I make a number less crowded?</x:v>
      </x:c>
      <x:c r="H6" s="28" t="str">
        <x:v>read and compare integers and decimals; use place value; locate zero; estimate; check reasonableness</x:v>
      </x:c>
      <x:c r="I6" s="28" t="str">
        <x:v>Rest</x:v>
      </x:c>
      <x:c r="J6" s="28" t="str">
        <x:v>Connection, Reflection</x:v>
      </x:c>
      <x:c r="K6" s="28" t="str">
        <x:v>Strong</x:v>
      </x:c>
      <x:c r="L6" s="28" t="str">
        <x:v>Place-Value Magnifier and Number Line Zoom</x:v>
      </x:c>
      <x:c r="M6" s="28" t="str">
        <x:v>Square grid</x:v>
      </x:c>
      <x:c r="N6" s="28" t="str">
        <x:v>Annotated Number Confidence Card</x:v>
      </x:c>
      <x:c r="O6" s="28" t="str">
        <x:v>NC KS3 Number; FS L1/L2</x:v>
      </x:c>
      <x:c r="P6" s="28" t="str">
        <x:v>NC KS3 Number; FS L1 1-3,10-12; FS L2 1-2,9-10</x:v>
      </x:c>
      <x:c r="Q6" s="28" t="str">
        <x:v>Live, Asynchronous, Independent</x:v>
      </x:c>
      <x:c r="R6" s="28" t="str">
        <x:v>Low-Moderate; one digit/interval at a time</x:v>
      </x:c>
      <x:c r="S6" s="28" t="str">
        <x:v>Maths Route Finder</x:v>
      </x:c>
      <x:c r="T6" s="28" t="str">
        <x:v>Operations and equivalence</x:v>
      </x:c>
      <x:c r="U6" s="28" t="str">
        <x:v>Prototype idea</x:v>
      </x:c>
      <x:c r="V6" s="36" t="str">
        <x:v>Canonical unit; lesson sequence to be authored from mapped Stepping Stones.</x:v>
      </x:c>
    </x:row>
    <x:row r="7" ht="72" customHeight="1">
      <x:c r="A7" s="35" t="str">
        <x:v>NEO-MATH-DISC-03</x:v>
      </x:c>
      <x:c r="B7" s="28" t="str">
        <x:v>Discovery / Reconnection</x:v>
      </x:c>
      <x:c r="C7" s="28" t="str">
        <x:v>Flexible entry</x:v>
      </x:c>
      <x:c r="D7" s="28" t="n">
        <x:v>3</x:v>
      </x:c>
      <x:c r="E7" s="28" t="str">
        <x:v>Number Sense</x:v>
      </x:c>
      <x:c r="F7" s="28" t="str">
        <x:v>Operations as Choices</x:v>
      </x:c>
      <x:c r="G7" s="28" t="str">
        <x:v>Is there more than one sensible way to calculate?</x:v>
      </x:c>
      <x:c r="H7" s="28" t="str">
        <x:v>select a calculation strategy; use inverse operations; follow operation order; estimate first; explain a method choice</x:v>
      </x:c>
      <x:c r="I7" s="28" t="str">
        <x:v>Creativity</x:v>
      </x:c>
      <x:c r="J7" s="28" t="str">
        <x:v>Reflection, Rest</x:v>
      </x:c>
      <x:c r="K7" s="28" t="str">
        <x:v>Strong</x:v>
      </x:c>
      <x:c r="L7" s="28" t="str">
        <x:v>Strategy Switcher: compare mental, written and calculator routes</x:v>
      </x:c>
      <x:c r="M7" s="28" t="str">
        <x:v>Blank</x:v>
      </x:c>
      <x:c r="N7" s="28" t="str">
        <x:v>My Best Method Guide</x:v>
      </x:c>
      <x:c r="O7" s="28" t="str">
        <x:v>NC KS3 Working Mathematically; FS L1/L2</x:v>
      </x:c>
      <x:c r="P7" s="28" t="str">
        <x:v>NC KS3 fluency/problem solving; FS L1 4,7,15; FS L2 2,12</x:v>
      </x:c>
      <x:c r="Q7" s="28" t="str">
        <x:v>Live, Asynchronous, Independent</x:v>
      </x:c>
      <x:c r="R7" s="28" t="str">
        <x:v>Moderate; method menu reduces overload</x:v>
      </x:c>
      <x:c r="S7" s="28" t="str">
        <x:v>Place value</x:v>
      </x:c>
      <x:c r="T7" s="28" t="str">
        <x:v>Fractions, percentages and algebra</x:v>
      </x:c>
      <x:c r="U7" s="28" t="str">
        <x:v>Planned</x:v>
      </x:c>
      <x:c r="V7" s="36" t="str">
        <x:v>Canonical unit; lesson sequence to be authored from mapped Stepping Stones.</x:v>
      </x:c>
    </x:row>
    <x:row r="8" ht="72" customHeight="1">
      <x:c r="A8" s="35" t="str">
        <x:v>NEO-MATH-DISC-04</x:v>
      </x:c>
      <x:c r="B8" s="28" t="str">
        <x:v>Discovery / Reconnection</x:v>
      </x:c>
      <x:c r="C8" s="28" t="str">
        <x:v>Flexible entry</x:v>
      </x:c>
      <x:c r="D8" s="28" t="n">
        <x:v>4</x:v>
      </x:c>
      <x:c r="E8" s="28" t="str">
        <x:v>Proportional Reasoning</x:v>
      </x:c>
      <x:c r="F8" s="28" t="str">
        <x:v>Fractions, Decimals and Percentages as One Family</x:v>
      </x:c>
      <x:c r="G8" s="28" t="str">
        <x:v>Can three different-looking numbers mean the same amount?</x:v>
      </x:c>
      <x:c r="H8" s="28" t="str">
        <x:v>recognise common equivalences; compare FDP; convert representations; find fractions and percentages of quantities; choose a helpful representation</x:v>
      </x:c>
      <x:c r="I8" s="28" t="str">
        <x:v>Connection</x:v>
      </x:c>
      <x:c r="J8" s="28" t="str">
        <x:v>Creativity, Reflection</x:v>
      </x:c>
      <x:c r="K8" s="28" t="str">
        <x:v>Strong</x:v>
      </x:c>
      <x:c r="L8" s="28" t="str">
        <x:v>FDP Representation Carousel</x:v>
      </x:c>
      <x:c r="M8" s="28" t="str">
        <x:v>Double number line</x:v>
      </x:c>
      <x:c r="N8" s="28" t="str">
        <x:v>Equivalence Gallery</x:v>
      </x:c>
      <x:c r="O8" s="28" t="str">
        <x:v>NC KS3 Number/Ratio; FS L1/L2</x:v>
      </x:c>
      <x:c r="P8" s="28" t="str">
        <x:v>NC KS3 Number and Ratio; FS L1 8-17; FS L2 4-10</x:v>
      </x:c>
      <x:c r="Q8" s="28" t="str">
        <x:v>Live, Asynchronous, Independent</x:v>
      </x:c>
      <x:c r="R8" s="28" t="str">
        <x:v>Moderate; representation choice</x:v>
      </x:c>
      <x:c r="S8" s="28" t="str">
        <x:v>Operations</x:v>
      </x:c>
      <x:c r="T8" s="28" t="str">
        <x:v>Ratio and percentage change</x:v>
      </x:c>
      <x:c r="U8" s="28" t="str">
        <x:v>Planned</x:v>
      </x:c>
      <x:c r="V8" s="36" t="str">
        <x:v>Canonical unit; lesson sequence to be authored from mapped Stepping Stones.</x:v>
      </x:c>
    </x:row>
    <x:row r="9" ht="72" customHeight="1">
      <x:c r="A9" s="35" t="str">
        <x:v>NEO-MATH-DISC-05</x:v>
      </x:c>
      <x:c r="B9" s="28" t="str">
        <x:v>Discovery / Reconnection</x:v>
      </x:c>
      <x:c r="C9" s="28" t="str">
        <x:v>Flexible entry</x:v>
      </x:c>
      <x:c r="D9" s="28" t="n">
        <x:v>5</x:v>
      </x:c>
      <x:c r="E9" s="28" t="str">
        <x:v>Structure &amp; Generalisation</x:v>
      </x:c>
      <x:c r="F9" s="28" t="str">
        <x:v>Patterns Before Letters</x:v>
      </x:c>
      <x:c r="G9" s="28" t="str">
        <x:v>Can a pattern explain itself before we use algebra?</x:v>
      </x:c>
      <x:c r="H9" s="28" t="str">
        <x:v>continue sequences; describe a rule; use a variable; substitute values; create and test a conjecture</x:v>
      </x:c>
      <x:c r="I9" s="28" t="str">
        <x:v>Creativity</x:v>
      </x:c>
      <x:c r="J9" s="28" t="str">
        <x:v>Connection, Reflection</x:v>
      </x:c>
      <x:c r="K9" s="28" t="str">
        <x:v>Strong</x:v>
      </x:c>
      <x:c r="L9" s="28" t="str">
        <x:v>Pattern Machine and Rule Builder</x:v>
      </x:c>
      <x:c r="M9" s="28" t="str">
        <x:v>Square grid</x:v>
      </x:c>
      <x:c r="N9" s="28" t="str">
        <x:v>Pattern Rule Card with examples and non-examples</x:v>
      </x:c>
      <x:c r="O9" s="28" t="str">
        <x:v>NC KS3 Algebra; FS L1/L2 bridge</x:v>
      </x:c>
      <x:c r="P9" s="28" t="str">
        <x:v>NC KS3 Algebra; FS L1 5; FS L2 3</x:v>
      </x:c>
      <x:c r="Q9" s="28" t="str">
        <x:v>Live, Asynchronous, Independent</x:v>
      </x:c>
      <x:c r="R9" s="28" t="str">
        <x:v>Low-Moderate; visual-first</x:v>
      </x:c>
      <x:c r="S9" s="28" t="str">
        <x:v>Operations</x:v>
      </x:c>
      <x:c r="T9" s="28" t="str">
        <x:v>Algebraic expressions and equations</x:v>
      </x:c>
      <x:c r="U9" s="28" t="str">
        <x:v>Planned</x:v>
      </x:c>
      <x:c r="V9" s="36" t="str">
        <x:v>Canonical unit; lesson sequence to be authored from mapped Stepping Stones.</x:v>
      </x:c>
    </x:row>
    <x:row r="10" ht="72" customHeight="1">
      <x:c r="A10" s="35" t="str">
        <x:v>NEO-MATH-DISC-06</x:v>
      </x:c>
      <x:c r="B10" s="28" t="str">
        <x:v>Discovery / Reconnection</x:v>
      </x:c>
      <x:c r="C10" s="28" t="str">
        <x:v>Flexible entry</x:v>
      </x:c>
      <x:c r="D10" s="28" t="n">
        <x:v>6</x:v>
      </x:c>
      <x:c r="E10" s="28" t="str">
        <x:v>Spatial Reasoning</x:v>
      </x:c>
      <x:c r="F10" s="28" t="str">
        <x:v>Shape, Space and Measure Around Me</x:v>
      </x:c>
      <x:c r="G10" s="28" t="str">
        <x:v>How much geometry is hiding in an ordinary room?</x:v>
      </x:c>
      <x:c r="H10" s="28" t="str">
        <x:v>recognise angle and shape properties; measure accurately; calculate simple perimeter and area; use units; explain a spatial decision</x:v>
      </x:c>
      <x:c r="I10" s="28" t="str">
        <x:v>Movement</x:v>
      </x:c>
      <x:c r="J10" s="28" t="str">
        <x:v>Connection, Creativity</x:v>
      </x:c>
      <x:c r="K10" s="28" t="str">
        <x:v>Strong</x:v>
      </x:c>
      <x:c r="L10" s="28" t="str">
        <x:v>Room Geometry Explorer</x:v>
      </x:c>
      <x:c r="M10" s="28" t="str">
        <x:v>Square grid</x:v>
      </x:c>
      <x:c r="N10" s="28" t="str">
        <x:v>Annotated Space Audit</x:v>
      </x:c>
      <x:c r="O10" s="28" t="str">
        <x:v>NC KS3 Geometry; FS L1/L2</x:v>
      </x:c>
      <x:c r="P10" s="28" t="str">
        <x:v>NC KS3 Geometry/Measures; FS L1 20-26; FS L2 14-22</x:v>
      </x:c>
      <x:c r="Q10" s="28" t="str">
        <x:v>Live, Asynchronous, Independent</x:v>
      </x:c>
      <x:c r="R10" s="28" t="str">
        <x:v>Moderate; optional off-screen movement</x:v>
      </x:c>
      <x:c r="S10" s="28" t="str">
        <x:v>Number confidence</x:v>
      </x:c>
      <x:c r="T10" s="28" t="str">
        <x:v>Scale, constructions and modelling</x:v>
      </x:c>
      <x:c r="U10" s="28" t="str">
        <x:v>Planned</x:v>
      </x:c>
      <x:c r="V10" s="36" t="str">
        <x:v>Canonical unit; lesson sequence to be authored from mapped Stepping Stones.</x:v>
      </x:c>
    </x:row>
    <x:row r="11" ht="72" customHeight="1">
      <x:c r="A11" s="35" t="str">
        <x:v>NEO-MATH-DISC-07</x:v>
      </x:c>
      <x:c r="B11" s="28" t="str">
        <x:v>Discovery / Reconnection</x:v>
      </x:c>
      <x:c r="C11" s="28" t="str">
        <x:v>Flexible entry</x:v>
      </x:c>
      <x:c r="D11" s="28" t="n">
        <x:v>7</x:v>
      </x:c>
      <x:c r="E11" s="28" t="str">
        <x:v>Data &amp; Uncertainty</x:v>
      </x:c>
      <x:c r="F11" s="28" t="str">
        <x:v>What Can Data Really Tell Me?</x:v>
      </x:c>
      <x:c r="G11" s="28" t="str">
        <x:v>When should I trust a chart, average or probability claim?</x:v>
      </x:c>
      <x:c r="H11" s="28" t="str">
        <x:v>read tables and charts; choose an average; recognise range; use probability language; ask what data cannot show</x:v>
      </x:c>
      <x:c r="I11" s="28" t="str">
        <x:v>Reflection</x:v>
      </x:c>
      <x:c r="J11" s="28" t="str">
        <x:v>Connection, Creativity</x:v>
      </x:c>
      <x:c r="K11" s="28" t="str">
        <x:v>Strong</x:v>
      </x:c>
      <x:c r="L11" s="28" t="str">
        <x:v>Claim–Evidence Data Detective</x:v>
      </x:c>
      <x:c r="M11" s="28" t="str">
        <x:v>Blank</x:v>
      </x:c>
      <x:c r="N11" s="28" t="str">
        <x:v>One-Page Data Claim Review</x:v>
      </x:c>
      <x:c r="O11" s="28" t="str">
        <x:v>NC KS3 Statistics/Probability; FS L1/L2</x:v>
      </x:c>
      <x:c r="P11" s="28" t="str">
        <x:v>NC KS3 Statistics/Probability; FS L1 27-31; FS L2 23-28</x:v>
      </x:c>
      <x:c r="Q11" s="28" t="str">
        <x:v>Live, Asynchronous, Independent</x:v>
      </x:c>
      <x:c r="R11" s="28" t="str">
        <x:v>Moderate; one claim at a time</x:v>
      </x:c>
      <x:c r="S11" s="28" t="str">
        <x:v>Number confidence</x:v>
      </x:c>
      <x:c r="T11" s="28" t="str">
        <x:v>Statistical enquiry and probability models</x:v>
      </x:c>
      <x:c r="U11" s="28" t="str">
        <x:v>Planned</x:v>
      </x:c>
      <x:c r="V11" s="36" t="str">
        <x:v>Canonical unit; lesson sequence to be authored from mapped Stepping Stones.</x:v>
      </x:c>
    </x:row>
    <x:row r="12" ht="72" customHeight="1">
      <x:c r="A12" s="35" t="str">
        <x:v>NEO-MATH-DISC-08</x:v>
      </x:c>
      <x:c r="B12" s="28" t="str">
        <x:v>Discovery / Reconnection</x:v>
      </x:c>
      <x:c r="C12" s="28" t="str">
        <x:v>Flexible entry</x:v>
      </x:c>
      <x:c r="D12" s="28" t="n">
        <x:v>8</x:v>
      </x:c>
      <x:c r="E12" s="28" t="str">
        <x:v>Financial &amp; Applied Reasoning</x:v>
      </x:c>
      <x:c r="F12" s="28" t="str">
        <x:v>Maths for a Real Decision</x:v>
      </x:c>
      <x:c r="G12" s="28" t="str">
        <x:v>Can I use maths to make one decision that matters to me?</x:v>
      </x:c>
      <x:c r="H12" s="28" t="str">
        <x:v>identify needed information; choose operations; estimate; calculate; interpret an answer; explain a decision and limitation</x:v>
      </x:c>
      <x:c r="I12" s="28" t="str">
        <x:v>Connection</x:v>
      </x:c>
      <x:c r="J12" s="28" t="str">
        <x:v>Creativity, Reflection, Nutrition</x:v>
      </x:c>
      <x:c r="K12" s="28" t="str">
        <x:v>Strong</x:v>
      </x:c>
      <x:c r="L12" s="28" t="str">
        <x:v>Decision Model Builder</x:v>
      </x:c>
      <x:c r="M12" s="28" t="str">
        <x:v>Blank</x:v>
      </x:c>
      <x:c r="N12" s="28" t="str">
        <x:v>Personal Applied Maths Decision Card</x:v>
      </x:c>
      <x:c r="O12" s="28" t="str">
        <x:v>FS L1/L2; NEO canonical</x:v>
      </x:c>
      <x:c r="P12" s="28" t="str">
        <x:v>FS problem solving and decision making; pathway bridge</x:v>
      </x:c>
      <x:c r="Q12" s="28" t="str">
        <x:v>Live, Asynchronous, Independent</x:v>
      </x:c>
      <x:c r="R12" s="28" t="str">
        <x:v>Variable; learner chooses context</x:v>
      </x:c>
      <x:c r="S12" s="28" t="str">
        <x:v>Any Discovery unit</x:v>
      </x:c>
      <x:c r="T12" s="28" t="str">
        <x:v>Year-group or Functional pathway</x:v>
      </x:c>
      <x:c r="U12" s="28" t="str">
        <x:v>Planned</x:v>
      </x:c>
      <x:c r="V12" s="36" t="str">
        <x:v>Canonical unit; lesson sequence to be authored from mapped Stepping Stones.</x:v>
      </x:c>
    </x:row>
    <x:row r="13" ht="72" customHeight="1">
      <x:c r="A13" s="35" t="str">
        <x:v>NEO-MATH-Y7-01</x:v>
      </x:c>
      <x:c r="B13" s="28" t="str">
        <x:v>Year 7 Foundations</x:v>
      </x:c>
      <x:c r="C13" s="28" t="str">
        <x:v>Year 7</x:v>
      </x:c>
      <x:c r="D13" s="28" t="n">
        <x:v>1</x:v>
      </x:c>
      <x:c r="E13" s="28" t="str">
        <x:v>Number Sense</x:v>
      </x:c>
      <x:c r="F13" s="28" t="str">
        <x:v>How Much Is a Digit Worth?</x:v>
      </x:c>
      <x:c r="G13" s="28" t="str">
        <x:v>Can the same digit represent completely different amounts?</x:v>
      </x:c>
      <x:c r="H13" s="28" t="str">
        <x:v>use place value with integers and decimals; explain tenfold relationships; use placeholder zero; partition numbers; move between representations</x:v>
      </x:c>
      <x:c r="I13" s="28" t="str">
        <x:v>Connection</x:v>
      </x:c>
      <x:c r="J13" s="28" t="str">
        <x:v>Rest, Reflection</x:v>
      </x:c>
      <x:c r="K13" s="28" t="str">
        <x:v>Strong</x:v>
      </x:c>
      <x:c r="L13" s="28" t="str">
        <x:v>Place-Value Magnifier + Digit Detective</x:v>
      </x:c>
      <x:c r="M13" s="28" t="str">
        <x:v>Square grid</x:v>
      </x:c>
      <x:c r="N13" s="28" t="str">
        <x:v>Place-Value Exhibition</x:v>
      </x:c>
      <x:c r="O13" s="28" t="str">
        <x:v>NC KS3</x:v>
      </x:c>
      <x:c r="P13" s="28" t="str">
        <x:v>KS3 Number / Working Mathematically</x:v>
      </x:c>
      <x:c r="Q13" s="28" t="str">
        <x:v>Live, Asynchronous, Independent</x:v>
      </x:c>
      <x:c r="R13" s="28" t="str">
        <x:v>Low-Moderate; isolate one digit</x:v>
      </x:c>
      <x:c r="S13" s="28" t="str">
        <x:v>Discovery number confidence or KS2 place value</x:v>
      </x:c>
      <x:c r="T13" s="28" t="str">
        <x:v>Estimation, integers and operations</x:v>
      </x:c>
      <x:c r="U13" s="28" t="str">
        <x:v>Reference prototype lineage</x:v>
      </x:c>
      <x:c r="V13" s="36" t="str">
        <x:v>Reference prototype architecture</x:v>
      </x:c>
    </x:row>
    <x:row r="14" ht="72" customHeight="1">
      <x:c r="A14" s="35" t="str">
        <x:v>NEO-MATH-Y7-02</x:v>
      </x:c>
      <x:c r="B14" s="28" t="str">
        <x:v>Year 7 Foundations</x:v>
      </x:c>
      <x:c r="C14" s="28" t="str">
        <x:v>Year 7</x:v>
      </x:c>
      <x:c r="D14" s="28" t="n">
        <x:v>2</x:v>
      </x:c>
      <x:c r="E14" s="28" t="str">
        <x:v>Number Sense</x:v>
      </x:c>
      <x:c r="F14" s="28" t="str">
        <x:v>Calculations That Make Sense</x:v>
      </x:c>
      <x:c r="G14" s="28" t="str">
        <x:v>How can an estimate protect me from a convincing wrong answer?</x:v>
      </x:c>
      <x:c r="H14" s="28" t="str">
        <x:v>use four operations; follow operation order; estimate; use inverse operations; calculate with directed numbers; check reasonableness</x:v>
      </x:c>
      <x:c r="I14" s="28" t="str">
        <x:v>Reflection</x:v>
      </x:c>
      <x:c r="J14" s="28" t="str">
        <x:v>Rest, Creativity</x:v>
      </x:c>
      <x:c r="K14" s="28" t="str">
        <x:v>Strong</x:v>
      </x:c>
      <x:c r="L14" s="28" t="str">
        <x:v>Estimate–Calculate–Check Lab</x:v>
      </x:c>
      <x:c r="M14" s="28" t="str">
        <x:v>Blank</x:v>
      </x:c>
      <x:c r="N14" s="28" t="str">
        <x:v>Error-Proof Calculation Guide</x:v>
      </x:c>
      <x:c r="O14" s="28" t="str">
        <x:v>NC KS3; FS L1/L2</x:v>
      </x:c>
      <x:c r="P14" s="28" t="str">
        <x:v>KS3 Number; FS L1 2-7,15; FS L2 1-2,12</x:v>
      </x:c>
      <x:c r="Q14" s="28" t="str">
        <x:v>Live, Asynchronous, Independent</x:v>
      </x:c>
      <x:c r="R14" s="28" t="str">
        <x:v>Moderate</x:v>
      </x:c>
      <x:c r="S14" s="28" t="str">
        <x:v>Place value</x:v>
      </x:c>
      <x:c r="T14" s="28" t="str">
        <x:v>Factors, multiples and algebra</x:v>
      </x:c>
      <x:c r="U14" s="28" t="str">
        <x:v>Planned</x:v>
      </x:c>
      <x:c r="V14" s="36" t="str">
        <x:v>Canonical unit; lesson sequence to be authored from mapped Stepping Stones.</x:v>
      </x:c>
    </x:row>
    <x:row r="15" ht="72" customHeight="1">
      <x:c r="A15" s="35" t="str">
        <x:v>NEO-MATH-Y7-03</x:v>
      </x:c>
      <x:c r="B15" s="28" t="str">
        <x:v>Year 7 Foundations</x:v>
      </x:c>
      <x:c r="C15" s="28" t="str">
        <x:v>Year 7</x:v>
      </x:c>
      <x:c r="D15" s="28" t="n">
        <x:v>3</x:v>
      </x:c>
      <x:c r="E15" s="28" t="str">
        <x:v>Structure &amp; Generalisation</x:v>
      </x:c>
      <x:c r="F15" s="28" t="str">
        <x:v>Patterns, Factors and Hidden Structure</x:v>
      </x:c>
      <x:c r="G15" s="28" t="str">
        <x:v>What do numbers reveal when we organise them differently?</x:v>
      </x:c>
      <x:c r="H15" s="28" t="str">
        <x:v>identify factors and multiples; recognise primes; find HCF/LCM; use powers; generalise patterns; test conjectures</x:v>
      </x:c>
      <x:c r="I15" s="28" t="str">
        <x:v>Creativity</x:v>
      </x:c>
      <x:c r="J15" s="28" t="str">
        <x:v>Connection, Reflection</x:v>
      </x:c>
      <x:c r="K15" s="28" t="str">
        <x:v>Strong</x:v>
      </x:c>
      <x:c r="L15" s="28" t="str">
        <x:v>Factor Web + Pattern Lock Builder</x:v>
      </x:c>
      <x:c r="M15" s="28" t="str">
        <x:v>Square grid</x:v>
      </x:c>
      <x:c r="N15" s="28" t="str">
        <x:v>Number Structure Museum Card</x:v>
      </x:c>
      <x:c r="O15" s="28" t="str">
        <x:v>NC KS3</x:v>
      </x:c>
      <x:c r="P15" s="28" t="str">
        <x:v>KS3 Number and Algebra</x:v>
      </x:c>
      <x:c r="Q15" s="28" t="str">
        <x:v>Live, Asynchronous, Independent</x:v>
      </x:c>
      <x:c r="R15" s="28" t="str">
        <x:v>Moderate</x:v>
      </x:c>
      <x:c r="S15" s="28" t="str">
        <x:v>Operations</x:v>
      </x:c>
      <x:c r="T15" s="28" t="str">
        <x:v>Algebraic expressions and sequences</x:v>
      </x:c>
      <x:c r="U15" s="28" t="str">
        <x:v>Planned</x:v>
      </x:c>
      <x:c r="V15" s="36" t="str">
        <x:v>Canonical unit; lesson sequence to be authored from mapped Stepping Stones.</x:v>
      </x:c>
    </x:row>
    <x:row r="16" ht="72" customHeight="1">
      <x:c r="A16" s="35" t="str">
        <x:v>NEO-MATH-Y7-04</x:v>
      </x:c>
      <x:c r="B16" s="28" t="str">
        <x:v>Year 7 Foundations</x:v>
      </x:c>
      <x:c r="C16" s="28" t="str">
        <x:v>Year 7</x:v>
      </x:c>
      <x:c r="D16" s="28" t="n">
        <x:v>4</x:v>
      </x:c>
      <x:c r="E16" s="28" t="str">
        <x:v>Proportional Reasoning</x:v>
      </x:c>
      <x:c r="F16" s="28" t="str">
        <x:v>One Amount, Three Languages</x:v>
      </x:c>
      <x:c r="G16" s="28" t="str">
        <x:v>How can fractions, decimals and percentages describe the same share?</x:v>
      </x:c>
      <x:c r="H16" s="28" t="str">
        <x:v>simplify fractions; find equivalent fractions; convert FDP; compare FDP; calculate fractions and percentages of amounts; explain representation choice</x:v>
      </x:c>
      <x:c r="I16" s="28" t="str">
        <x:v>Connection</x:v>
      </x:c>
      <x:c r="J16" s="28" t="str">
        <x:v>Creativity, Reflection</x:v>
      </x:c>
      <x:c r="K16" s="28" t="str">
        <x:v>Strong</x:v>
      </x:c>
      <x:c r="L16" s="28" t="str">
        <x:v>FDP Converter with Bar/Line Toggle</x:v>
      </x:c>
      <x:c r="M16" s="28" t="str">
        <x:v>Double number line</x:v>
      </x:c>
      <x:c r="N16" s="28" t="str">
        <x:v>FDP Translation Guide</x:v>
      </x:c>
      <x:c r="O16" s="28" t="str">
        <x:v>NC KS3; FS L1/L2</x:v>
      </x:c>
      <x:c r="P16" s="28" t="str">
        <x:v>KS3 Number/Ratio; FS L1 8-17; FS L2 4-10</x:v>
      </x:c>
      <x:c r="Q16" s="28" t="str">
        <x:v>Live, Asynchronous, Independent</x:v>
      </x:c>
      <x:c r="R16" s="28" t="str">
        <x:v>Moderate</x:v>
      </x:c>
      <x:c r="S16" s="28" t="str">
        <x:v>Number operations</x:v>
      </x:c>
      <x:c r="T16" s="28" t="str">
        <x:v>Ratio and proportion</x:v>
      </x:c>
      <x:c r="U16" s="28" t="str">
        <x:v>Planned</x:v>
      </x:c>
      <x:c r="V16" s="36" t="str">
        <x:v>Canonical unit; lesson sequence to be authored from mapped Stepping Stones.</x:v>
      </x:c>
    </x:row>
    <x:row r="17" ht="72" customHeight="1">
      <x:c r="A17" s="35" t="str">
        <x:v>NEO-MATH-Y7-05</x:v>
      </x:c>
      <x:c r="B17" s="28" t="str">
        <x:v>Year 7 Foundations</x:v>
      </x:c>
      <x:c r="C17" s="28" t="str">
        <x:v>Year 7</x:v>
      </x:c>
      <x:c r="D17" s="28" t="n">
        <x:v>5</x:v>
      </x:c>
      <x:c r="E17" s="28" t="str">
        <x:v>Spatial Reasoning</x:v>
      </x:c>
      <x:c r="F17" s="28" t="str">
        <x:v>Angles Tell Us Why</x:v>
      </x:c>
      <x:c r="G17" s="28" t="str">
        <x:v>Can a diagram prove more than it first shows?</x:v>
      </x:c>
      <x:c r="H17" s="28" t="str">
        <x:v>use angle facts; identify triangle and quadrilateral properties; justify missing angles; use precise notation; construct because–therefore chains</x:v>
      </x:c>
      <x:c r="I17" s="28" t="str">
        <x:v>Reflection</x:v>
      </x:c>
      <x:c r="J17" s="28" t="str">
        <x:v>Connection, Movement</x:v>
      </x:c>
      <x:c r="K17" s="28" t="str">
        <x:v>Strong</x:v>
      </x:c>
      <x:c r="L17" s="28" t="str">
        <x:v>Angle Constraint Explorer</x:v>
      </x:c>
      <x:c r="M17" s="28" t="str">
        <x:v>Square grid</x:v>
      </x:c>
      <x:c r="N17" s="28" t="str">
        <x:v>Annotated Angle Proof Trail</x:v>
      </x:c>
      <x:c r="O17" s="28" t="str">
        <x:v>NC KS3</x:v>
      </x:c>
      <x:c r="P17" s="28" t="str">
        <x:v>KS3 Geometry and Measures</x:v>
      </x:c>
      <x:c r="Q17" s="28" t="str">
        <x:v>Live, Asynchronous, Independent</x:v>
      </x:c>
      <x:c r="R17" s="28" t="str">
        <x:v>Moderate; diagram declutter option</x:v>
      </x:c>
      <x:c r="S17" s="28" t="str">
        <x:v>Operations</x:v>
      </x:c>
      <x:c r="T17" s="28" t="str">
        <x:v>Polygons, parallel lines and constructions</x:v>
      </x:c>
      <x:c r="U17" s="28" t="str">
        <x:v>Planned</x:v>
      </x:c>
      <x:c r="V17" s="36" t="str">
        <x:v>Canonical unit; lesson sequence to be authored from mapped Stepping Stones.</x:v>
      </x:c>
    </x:row>
    <x:row r="18" ht="72" customHeight="1">
      <x:c r="A18" s="35" t="str">
        <x:v>NEO-MATH-Y7-06</x:v>
      </x:c>
      <x:c r="B18" s="28" t="str">
        <x:v>Year 7 Foundations</x:v>
      </x:c>
      <x:c r="C18" s="28" t="str">
        <x:v>Year 7</x:v>
      </x:c>
      <x:c r="D18" s="28" t="n">
        <x:v>6</x:v>
      </x:c>
      <x:c r="E18" s="28" t="str">
        <x:v>Spatial Reasoning</x:v>
      </x:c>
      <x:c r="F18" s="28" t="str">
        <x:v>Perimeter and Area: Same Shape Story?</x:v>
      </x:c>
      <x:c r="G18" s="28" t="str">
        <x:v>Can two shapes use the same boundary but hold different space?</x:v>
      </x:c>
      <x:c r="H18" s="28" t="str">
        <x:v>distinguish perimeter and area; derive/use area formulae; calculate composite perimeter/area; convert metric units; justify design choices</x:v>
      </x:c>
      <x:c r="I18" s="28" t="str">
        <x:v>Creativity</x:v>
      </x:c>
      <x:c r="J18" s="28" t="str">
        <x:v>Movement, Reflection</x:v>
      </x:c>
      <x:c r="K18" s="28" t="str">
        <x:v>Strong</x:v>
      </x:c>
      <x:c r="L18" s="28" t="str">
        <x:v>Fixed-Perimeter Shape Designer</x:v>
      </x:c>
      <x:c r="M18" s="28" t="str">
        <x:v>Square grid</x:v>
      </x:c>
      <x:c r="N18" s="28" t="str">
        <x:v>Floorplan Redesign</x:v>
      </x:c>
      <x:c r="O18" s="28" t="str">
        <x:v>NC KS3; FS L1/L2</x:v>
      </x:c>
      <x:c r="P18" s="28" t="str">
        <x:v>KS3 Geometry/Measures; FS L1 20,22; FS L2 16</x:v>
      </x:c>
      <x:c r="Q18" s="28" t="str">
        <x:v>Live, Asynchronous, Independent</x:v>
      </x:c>
      <x:c r="R18" s="28" t="str">
        <x:v>Moderate</x:v>
      </x:c>
      <x:c r="S18" s="28" t="str">
        <x:v>Angle and shape properties</x:v>
      </x:c>
      <x:c r="T18" s="28" t="str">
        <x:v>Circles, volume and scale</x:v>
      </x:c>
      <x:c r="U18" s="28" t="str">
        <x:v>Planned</x:v>
      </x:c>
      <x:c r="V18" s="36" t="str">
        <x:v>Canonical unit; lesson sequence to be authored from mapped Stepping Stones.</x:v>
      </x:c>
    </x:row>
    <x:row r="19" ht="72" customHeight="1">
      <x:c r="A19" s="35" t="str">
        <x:v>NEO-MATH-Y7-07</x:v>
      </x:c>
      <x:c r="B19" s="28" t="str">
        <x:v>Year 7 Foundations</x:v>
      </x:c>
      <x:c r="C19" s="28" t="str">
        <x:v>Year 7</x:v>
      </x:c>
      <x:c r="D19" s="28" t="n">
        <x:v>7</x:v>
      </x:c>
      <x:c r="E19" s="28" t="str">
        <x:v>Proportional Reasoning</x:v>
      </x:c>
      <x:c r="F19" s="28" t="str">
        <x:v>Relationships That Scale</x:v>
      </x:c>
      <x:c r="G19" s="28" t="str">
        <x:v>How can relationships stay the same when quantities change?</x:v>
      </x:c>
      <x:c r="H19" s="28" t="str">
        <x:v>use ratio notation; simplify ratios; distinguish part-part and part-whole; use scale factors; share in a ratio; explain multiplicative relationships</x:v>
      </x:c>
      <x:c r="I19" s="28" t="str">
        <x:v>Connection</x:v>
      </x:c>
      <x:c r="J19" s="28" t="str">
        <x:v>Movement, Reflection; Nutrition contextual</x:v>
      </x:c>
      <x:c r="K19" s="28" t="str">
        <x:v>Strong</x:v>
      </x:c>
      <x:c r="L19" s="28" t="str">
        <x:v>Recipe Scaler + Ratio Table Builder</x:v>
      </x:c>
      <x:c r="M19" s="28" t="str">
        <x:v>Ratio table / Double number line</x:v>
      </x:c>
      <x:c r="N19" s="28" t="str">
        <x:v>Smoothie Ratio Portfolio Piece or alternative scaling model</x:v>
      </x:c>
      <x:c r="O19" s="28" t="str">
        <x:v>NC KS3; 4MA1 bridge; FS L1/L2</x:v>
      </x:c>
      <x:c r="P19" s="28" t="str">
        <x:v>KS3 Ratio and Proportion; 4MA1 1.7; FS L1 17; FS L2 11</x:v>
      </x:c>
      <x:c r="Q19" s="28" t="str">
        <x:v>Live, Asynchronous, Independent</x:v>
      </x:c>
      <x:c r="R19" s="28" t="str">
        <x:v>Moderate; multiplier first</x:v>
      </x:c>
      <x:c r="S19" s="28" t="str">
        <x:v>FDP</x:v>
      </x:c>
      <x:c r="T19" s="28" t="str">
        <x:v>Rates, direct proportion and similarity</x:v>
      </x:c>
      <x:c r="U19" s="28" t="str">
        <x:v>Locked reference prototype</x:v>
      </x:c>
      <x:c r="V19" s="36" t="str">
        <x:v>Reference prototype architecture</x:v>
      </x:c>
    </x:row>
    <x:row r="20" ht="72" customHeight="1">
      <x:c r="A20" s="35" t="str">
        <x:v>NEO-MATH-Y7-08</x:v>
      </x:c>
      <x:c r="B20" s="28" t="str">
        <x:v>Year 7 Foundations</x:v>
      </x:c>
      <x:c r="C20" s="28" t="str">
        <x:v>Year 7</x:v>
      </x:c>
      <x:c r="D20" s="28" t="n">
        <x:v>8</x:v>
      </x:c>
      <x:c r="E20" s="28" t="str">
        <x:v>Change &amp; Functions</x:v>
      </x:c>
      <x:c r="F20" s="28" t="str">
        <x:v>Coordinates and Moves</x:v>
      </x:c>
      <x:c r="G20" s="28" t="str">
        <x:v>Can a shape change position without changing who it is?</x:v>
      </x:c>
      <x:c r="H20" s="28" t="str">
        <x:v>plot coordinates; use four quadrants when ready; describe translations; reflect shapes; connect coordinates to transformations; check invariants</x:v>
      </x:c>
      <x:c r="I20" s="28" t="str">
        <x:v>Movement</x:v>
      </x:c>
      <x:c r="J20" s="28" t="str">
        <x:v>Connection, Creativity</x:v>
      </x:c>
      <x:c r="K20" s="28" t="str">
        <x:v>Strong</x:v>
      </x:c>
      <x:c r="L20" s="28" t="str">
        <x:v>Coordinate Move Studio</x:v>
      </x:c>
      <x:c r="M20" s="28" t="str">
        <x:v>Coordinate grid</x:v>
      </x:c>
      <x:c r="N20" s="28" t="str">
        <x:v>Transformation Storyboard</x:v>
      </x:c>
      <x:c r="O20" s="28" t="str">
        <x:v>NC KS3</x:v>
      </x:c>
      <x:c r="P20" s="28" t="str">
        <x:v>KS3 Geometry/Algebra</x:v>
      </x:c>
      <x:c r="Q20" s="28" t="str">
        <x:v>Live, Asynchronous, Independent</x:v>
      </x:c>
      <x:c r="R20" s="28" t="str">
        <x:v>Moderate visual load</x:v>
      </x:c>
      <x:c r="S20" s="28" t="str">
        <x:v>Number line and shapes</x:v>
      </x:c>
      <x:c r="T20" s="28" t="str">
        <x:v>Linear graphs and transformations</x:v>
      </x:c>
      <x:c r="U20" s="28" t="str">
        <x:v>Planned</x:v>
      </x:c>
      <x:c r="V20" s="36" t="str">
        <x:v>Canonical unit; lesson sequence to be authored from mapped Stepping Stones.</x:v>
      </x:c>
    </x:row>
    <x:row r="21" ht="72" customHeight="1">
      <x:c r="A21" s="35" t="str">
        <x:v>NEO-MATH-Y7-09</x:v>
      </x:c>
      <x:c r="B21" s="28" t="str">
        <x:v>Year 7 Foundations</x:v>
      </x:c>
      <x:c r="C21" s="28" t="str">
        <x:v>Year 7</x:v>
      </x:c>
      <x:c r="D21" s="28" t="n">
        <x:v>9</x:v>
      </x:c>
      <x:c r="E21" s="28" t="str">
        <x:v>Data &amp; Uncertainty</x:v>
      </x:c>
      <x:c r="F21" s="28" t="str">
        <x:v>Averages and Fair Shares</x:v>
      </x:c>
      <x:c r="G21" s="28" t="str">
        <x:v>When is the mean fair—and when is another summary better?</x:v>
      </x:c>
      <x:c r="H21" s="28" t="str">
        <x:v>calculate mean/median/mode/range; interpret averages; choose a summary; construct and read charts; recognise outliers</x:v>
      </x:c>
      <x:c r="I21" s="28" t="str">
        <x:v>Connection</x:v>
      </x:c>
      <x:c r="J21" s="28" t="str">
        <x:v>Reflection, Creativity</x:v>
      </x:c>
      <x:c r="K21" s="28" t="str">
        <x:v>Strong</x:v>
      </x:c>
      <x:c r="L21" s="28" t="str">
        <x:v>Average as Fair-Share Simulator</x:v>
      </x:c>
      <x:c r="M21" s="28" t="str">
        <x:v>Blank / Square grid</x:v>
      </x:c>
      <x:c r="N21" s="28" t="str">
        <x:v>Data Summary Recommendation</x:v>
      </x:c>
      <x:c r="O21" s="28" t="str">
        <x:v>NC KS3; FS L1/L2</x:v>
      </x:c>
      <x:c r="P21" s="28" t="str">
        <x:v>KS3 Statistics; FS L1 27-29; FS L2 23-25</x:v>
      </x:c>
      <x:c r="Q21" s="28" t="str">
        <x:v>Live, Asynchronous, Independent</x:v>
      </x:c>
      <x:c r="R21" s="28" t="str">
        <x:v>Moderate</x:v>
      </x:c>
      <x:c r="S21" s="28" t="str">
        <x:v>FDP and operations</x:v>
      </x:c>
      <x:c r="T21" s="28" t="str">
        <x:v>Statistical comparison and correlation</x:v>
      </x:c>
      <x:c r="U21" s="28" t="str">
        <x:v>Planned</x:v>
      </x:c>
      <x:c r="V21" s="36" t="str">
        <x:v>Canonical unit; lesson sequence to be authored from mapped Stepping Stones.</x:v>
      </x:c>
    </x:row>
    <x:row r="22" ht="72" customHeight="1">
      <x:c r="A22" s="35" t="str">
        <x:v>NEO-MATH-Y7-10</x:v>
      </x:c>
      <x:c r="B22" s="28" t="str">
        <x:v>Year 7 Foundations</x:v>
      </x:c>
      <x:c r="C22" s="28" t="str">
        <x:v>Year 7</x:v>
      </x:c>
      <x:c r="D22" s="28" t="n">
        <x:v>10</x:v>
      </x:c>
      <x:c r="E22" s="28" t="str">
        <x:v>Data &amp; Uncertainty</x:v>
      </x:c>
      <x:c r="F22" s="28" t="str">
        <x:v>Chance, Experiments and Fairness</x:v>
      </x:c>
      <x:c r="G22" s="28" t="str">
        <x:v>How fair is a game after only ten trials?</x:v>
      </x:c>
      <x:c r="H22" s="28" t="str">
        <x:v>use probability scale; identify outcomes; calculate simple probabilities; run experiments; compare experimental and theoretical results; discuss sample size</x:v>
      </x:c>
      <x:c r="I22" s="28" t="str">
        <x:v>Reflection</x:v>
      </x:c>
      <x:c r="J22" s="28" t="str">
        <x:v>Creativity, Connection</x:v>
      </x:c>
      <x:c r="K22" s="28" t="str">
        <x:v>Strong</x:v>
      </x:c>
      <x:c r="L22" s="28" t="str">
        <x:v>Probability Experiment Simulator</x:v>
      </x:c>
      <x:c r="M22" s="28" t="str">
        <x:v>Blank</x:v>
      </x:c>
      <x:c r="N22" s="28" t="str">
        <x:v>Fair Game Investigation</x:v>
      </x:c>
      <x:c r="O22" s="28" t="str">
        <x:v>NC KS3; FS L1/L2</x:v>
      </x:c>
      <x:c r="P22" s="28" t="str">
        <x:v>KS3 Probability; FS L1 30-31; FS L2 26-27</x:v>
      </x:c>
      <x:c r="Q22" s="28" t="str">
        <x:v>Live, Asynchronous, Independent</x:v>
      </x:c>
      <x:c r="R22" s="28" t="str">
        <x:v>Moderate; uncertainty explicitly normalised</x:v>
      </x:c>
      <x:c r="S22" s="28" t="str">
        <x:v>Averages</x:v>
      </x:c>
      <x:c r="T22" s="28" t="str">
        <x:v>Sample spaces, Venn and tree diagrams</x:v>
      </x:c>
      <x:c r="U22" s="28" t="str">
        <x:v>Planned</x:v>
      </x:c>
      <x:c r="V22" s="36" t="str">
        <x:v>Canonical unit; lesson sequence to be authored from mapped Stepping Stones.</x:v>
      </x:c>
    </x:row>
    <x:row r="23" ht="72" customHeight="1">
      <x:c r="A23" s="35" t="str">
        <x:v>NEO-MATH-Y8-01</x:v>
      </x:c>
      <x:c r="B23" s="28" t="str">
        <x:v>Year 8 Connections</x:v>
      </x:c>
      <x:c r="C23" s="28" t="str">
        <x:v>Year 8</x:v>
      </x:c>
      <x:c r="D23" s="28" t="n">
        <x:v>1</x:v>
      </x:c>
      <x:c r="E23" s="28" t="str">
        <x:v>Number Sense</x:v>
      </x:c>
      <x:c r="F23" s="28" t="str">
        <x:v>Percent Change and the Story of Growth</x:v>
      </x:c>
      <x:c r="G23" s="28" t="str">
        <x:v>Does 10% off and 10% back on return to the same place?</x:v>
      </x:c>
      <x:c r="H23" s="28" t="str">
        <x:v>calculate percentage increase/decrease; use multipliers informally; find original values in accessible cases; estimate; explain non-reversibility</x:v>
      </x:c>
      <x:c r="I23" s="28" t="str">
        <x:v>Movement</x:v>
      </x:c>
      <x:c r="J23" s="28" t="str">
        <x:v>Reflection, Connection</x:v>
      </x:c>
      <x:c r="K23" s="28" t="str">
        <x:v>Strong</x:v>
      </x:c>
      <x:c r="L23" s="28" t="str">
        <x:v>Percentage Change Journey</x:v>
      </x:c>
      <x:c r="M23" s="28" t="str">
        <x:v>Double number line</x:v>
      </x:c>
      <x:c r="N23" s="28" t="str">
        <x:v>Percentage Myth-Buster</x:v>
      </x:c>
      <x:c r="O23" s="28" t="str">
        <x:v>NC KS3; 4MA1; FS L2</x:v>
      </x:c>
      <x:c r="P23" s="28" t="str">
        <x:v>KS3 Number/Ratio; 4MA1 1.6; FS L2 5-6,13</x:v>
      </x:c>
      <x:c r="Q23" s="28" t="str">
        <x:v>Live, Asynchronous, Independent</x:v>
      </x:c>
      <x:c r="R23" s="28" t="str">
        <x:v>Moderate</x:v>
      </x:c>
      <x:c r="S23" s="28" t="str">
        <x:v>FDP</x:v>
      </x:c>
      <x:c r="T23" s="28" t="str">
        <x:v>Compound percentage and financial models</x:v>
      </x:c>
      <x:c r="U23" s="28" t="str">
        <x:v>Planned</x:v>
      </x:c>
      <x:c r="V23" s="36" t="str">
        <x:v>Canonical unit; lesson sequence to be authored from mapped Stepping Stones.</x:v>
      </x:c>
    </x:row>
    <x:row r="24" ht="72" customHeight="1">
      <x:c r="A24" s="35" t="str">
        <x:v>NEO-MATH-Y8-02</x:v>
      </x:c>
      <x:c r="B24" s="28" t="str">
        <x:v>Year 8 Connections</x:v>
      </x:c>
      <x:c r="C24" s="28" t="str">
        <x:v>Year 8</x:v>
      </x:c>
      <x:c r="D24" s="28" t="n">
        <x:v>2</x:v>
      </x:c>
      <x:c r="E24" s="28" t="str">
        <x:v>Structure &amp; Generalisation</x:v>
      </x:c>
      <x:c r="F24" s="28" t="str">
        <x:v>Algebra as a Language of Structure</x:v>
      </x:c>
      <x:c r="G24" s="28" t="str">
        <x:v>When are two algebraic expressions really saying the same thing?</x:v>
      </x:c>
      <x:c r="H24" s="28" t="str">
        <x:v>collect like terms; substitute; expand brackets; factorise common factors; use equality; justify equivalent forms</x:v>
      </x:c>
      <x:c r="I24" s="28" t="str">
        <x:v>Connection</x:v>
      </x:c>
      <x:c r="J24" s="28" t="str">
        <x:v>Reflection, Creativity</x:v>
      </x:c>
      <x:c r="K24" s="28" t="str">
        <x:v>Strong</x:v>
      </x:c>
      <x:c r="L24" s="28" t="str">
        <x:v>Expression Equivalence Lab</x:v>
      </x:c>
      <x:c r="M24" s="28" t="str">
        <x:v>Blank</x:v>
      </x:c>
      <x:c r="N24" s="28" t="str">
        <x:v>Algebra Translation Dictionary</x:v>
      </x:c>
      <x:c r="O24" s="28" t="str">
        <x:v>NC KS3; 4MA1</x:v>
      </x:c>
      <x:c r="P24" s="28" t="str">
        <x:v>KS3 Algebra; 4MA1 2.1-2.3</x:v>
      </x:c>
      <x:c r="Q24" s="28" t="str">
        <x:v>Live, Asynchronous, Independent</x:v>
      </x:c>
      <x:c r="R24" s="28" t="str">
        <x:v>Moderate</x:v>
      </x:c>
      <x:c r="S24" s="28" t="str">
        <x:v>Patterns and operations</x:v>
      </x:c>
      <x:c r="T24" s="28" t="str">
        <x:v>Equations and rearranging</x:v>
      </x:c>
      <x:c r="U24" s="28" t="str">
        <x:v>Planned</x:v>
      </x:c>
      <x:c r="V24" s="36" t="str">
        <x:v>Canonical unit; lesson sequence to be authored from mapped Stepping Stones.</x:v>
      </x:c>
    </x:row>
    <x:row r="25" ht="72" customHeight="1">
      <x:c r="A25" s="35" t="str">
        <x:v>NEO-MATH-Y8-03</x:v>
      </x:c>
      <x:c r="B25" s="28" t="str">
        <x:v>Year 8 Connections</x:v>
      </x:c>
      <x:c r="C25" s="28" t="str">
        <x:v>Year 8</x:v>
      </x:c>
      <x:c r="D25" s="28" t="n">
        <x:v>3</x:v>
      </x:c>
      <x:c r="E25" s="28" t="str">
        <x:v>Structure &amp; Generalisation</x:v>
      </x:c>
      <x:c r="F25" s="28" t="str">
        <x:v>Equations: Keeping a Relationship in Balance</x:v>
      </x:c>
      <x:c r="G25" s="28" t="str">
        <x:v>What can I change without breaking an equation?</x:v>
      </x:c>
      <x:c r="H25" s="28" t="str">
        <x:v>solve one- and two-step linear equations; use inverse operations; solve with brackets; form equations from contexts; check by substitution</x:v>
      </x:c>
      <x:c r="I25" s="28" t="str">
        <x:v>Reflection</x:v>
      </x:c>
      <x:c r="J25" s="28" t="str">
        <x:v>Connection, Rest</x:v>
      </x:c>
      <x:c r="K25" s="28" t="str">
        <x:v>Strong</x:v>
      </x:c>
      <x:c r="L25" s="28" t="str">
        <x:v>Balance Equation Simulator</x:v>
      </x:c>
      <x:c r="M25" s="28" t="str">
        <x:v>Blank</x:v>
      </x:c>
      <x:c r="N25" s="28" t="str">
        <x:v>Equation Repair Portfolio</x:v>
      </x:c>
      <x:c r="O25" s="28" t="str">
        <x:v>NC KS3; 4MA1; FS L2 bridge</x:v>
      </x:c>
      <x:c r="P25" s="28" t="str">
        <x:v>KS3 Algebra; 4MA1 2.4</x:v>
      </x:c>
      <x:c r="Q25" s="28" t="str">
        <x:v>Live, Asynchronous, Independent</x:v>
      </x:c>
      <x:c r="R25" s="28" t="str">
        <x:v>Moderate; one transformation per step</x:v>
      </x:c>
      <x:c r="S25" s="28" t="str">
        <x:v>Algebraic expressions</x:v>
      </x:c>
      <x:c r="T25" s="28" t="str">
        <x:v>Formulae, inequalities and simultaneous equations</x:v>
      </x:c>
      <x:c r="U25" s="28" t="str">
        <x:v>Planned</x:v>
      </x:c>
      <x:c r="V25" s="36" t="str">
        <x:v>Canonical unit; lesson sequence to be authored from mapped Stepping Stones.</x:v>
      </x:c>
    </x:row>
    <x:row r="26" ht="72" customHeight="1">
      <x:c r="A26" s="35" t="str">
        <x:v>NEO-MATH-Y8-04</x:v>
      </x:c>
      <x:c r="B26" s="28" t="str">
        <x:v>Year 8 Connections</x:v>
      </x:c>
      <x:c r="C26" s="28" t="str">
        <x:v>Year 8</x:v>
      </x:c>
      <x:c r="D26" s="28" t="n">
        <x:v>4</x:v>
      </x:c>
      <x:c r="E26" s="28" t="str">
        <x:v>Change &amp; Functions</x:v>
      </x:c>
      <x:c r="F26" s="28" t="str">
        <x:v>Lines Tell Stories of Change</x:v>
      </x:c>
      <x:c r="G26" s="28" t="str">
        <x:v>How can mathematics show where something starts and how it changes?</x:v>
      </x:c>
      <x:c r="H26" s="28" t="str">
        <x:v>connect equations, tables and graphs; interpret gradient; interpret y-intercept; recognise positive/negative/zero gradients; form linear equations; evaluate linear models</x:v>
      </x:c>
      <x:c r="I26" s="28" t="str">
        <x:v>Movement</x:v>
      </x:c>
      <x:c r="J26" s="28" t="str">
        <x:v>Connection, Reflection; Creativity contextual</x:v>
      </x:c>
      <x:c r="K26" s="28" t="str">
        <x:v>Strong</x:v>
      </x:c>
      <x:c r="L26" s="28" t="str">
        <x:v>Gradient &amp; Intercept Explorer + Representation Matcher + Line Detective</x:v>
      </x:c>
      <x:c r="M26" s="28" t="str">
        <x:v>Coordinate grid</x:v>
      </x:c>
      <x:c r="N26" s="28" t="str">
        <x:v>Human Graph Story / Linear Model Portfolio Piece</x:v>
      </x:c>
      <x:c r="O26" s="28" t="str">
        <x:v>NC KS3; Pearson 4MA1 Foundation/Higher</x:v>
      </x:c>
      <x:c r="P26" s="28" t="str">
        <x:v>KS3 Algebra/Graphs; 4MA1 3.3 H-I and related coordinate graph content</x:v>
      </x:c>
      <x:c r="Q26" s="28" t="str">
        <x:v>Live, Asynchronous, Independent</x:v>
      </x:c>
      <x:c r="R26" s="28" t="str">
        <x:v>Moderate-High visual load; Start–Change–Check</x:v>
      </x:c>
      <x:c r="S26" s="28" t="str">
        <x:v>Equations and coordinates</x:v>
      </x:c>
      <x:c r="T26" s="28" t="str">
        <x:v>Simultaneous equations, motion graphs and functions</x:v>
      </x:c>
      <x:c r="U26" s="28" t="str">
        <x:v>Locked reference prototype</x:v>
      </x:c>
      <x:c r="V26" s="36" t="str">
        <x:v>Reference prototype architecture</x:v>
      </x:c>
    </x:row>
    <x:row r="27" ht="72" customHeight="1">
      <x:c r="A27" s="35" t="str">
        <x:v>NEO-MATH-Y8-05</x:v>
      </x:c>
      <x:c r="B27" s="28" t="str">
        <x:v>Year 8 Connections</x:v>
      </x:c>
      <x:c r="C27" s="28" t="str">
        <x:v>Year 8</x:v>
      </x:c>
      <x:c r="D27" s="28" t="n">
        <x:v>5</x:v>
      </x:c>
      <x:c r="E27" s="28" t="str">
        <x:v>Structure &amp; Generalisation</x:v>
      </x:c>
      <x:c r="F27" s="28" t="str">
        <x:v>Sequences: From Steps to Rules</x:v>
      </x:c>
      <x:c r="G27" s="28" t="str">
        <x:v>Can I predict the 100th step without drawing the first 99?</x:v>
      </x:c>
      <x:c r="H27" s="28" t="str">
        <x:v>generate arithmetic sequences; find term-to-term rules; find nth terms; use position-to-term rules; compare sequence and graph representations</x:v>
      </x:c>
      <x:c r="I27" s="28" t="str">
        <x:v>Creativity</x:v>
      </x:c>
      <x:c r="J27" s="28" t="str">
        <x:v>Connection, Reflection</x:v>
      </x:c>
      <x:c r="K27" s="28" t="str">
        <x:v>Strong</x:v>
      </x:c>
      <x:c r="L27" s="28" t="str">
        <x:v>Sequence Machine + Nth-Term Tester</x:v>
      </x:c>
      <x:c r="M27" s="28" t="str">
        <x:v>Square grid</x:v>
      </x:c>
      <x:c r="N27" s="28" t="str">
        <x:v>Sequence Design Card</x:v>
      </x:c>
      <x:c r="O27" s="28" t="str">
        <x:v>NC KS3; 4MA1</x:v>
      </x:c>
      <x:c r="P27" s="28" t="str">
        <x:v>KS3 Algebra; 4MA1 3.1</x:v>
      </x:c>
      <x:c r="Q27" s="28" t="str">
        <x:v>Live, Asynchronous, Independent</x:v>
      </x:c>
      <x:c r="R27" s="28" t="str">
        <x:v>Moderate</x:v>
      </x:c>
      <x:c r="S27" s="28" t="str">
        <x:v>Patterns and algebra</x:v>
      </x:c>
      <x:c r="T27" s="28" t="str">
        <x:v>Quadratic sequences and functions</x:v>
      </x:c>
      <x:c r="U27" s="28" t="str">
        <x:v>Planned</x:v>
      </x:c>
      <x:c r="V27" s="36" t="str">
        <x:v>Canonical unit; lesson sequence to be authored from mapped Stepping Stones.</x:v>
      </x:c>
    </x:row>
    <x:row r="28" ht="72" customHeight="1">
      <x:c r="A28" s="35" t="str">
        <x:v>NEO-MATH-Y8-06</x:v>
      </x:c>
      <x:c r="B28" s="28" t="str">
        <x:v>Year 8 Connections</x:v>
      </x:c>
      <x:c r="C28" s="28" t="str">
        <x:v>Year 8</x:v>
      </x:c>
      <x:c r="D28" s="28" t="n">
        <x:v>6</x:v>
      </x:c>
      <x:c r="E28" s="28" t="str">
        <x:v>Spatial Reasoning</x:v>
      </x:c>
      <x:c r="F28" s="28" t="str">
        <x:v>Parallel Lines and Polygon Logic</x:v>
      </x:c>
      <x:c r="G28" s="28" t="str">
        <x:v>How can one angle unlock a whole diagram?</x:v>
      </x:c>
      <x:c r="H28" s="28" t="str">
        <x:v>use parallel-line angle facts; derive polygon angle sums; solve multi-step angle problems; justify each step; recognise conditions for rules</x:v>
      </x:c>
      <x:c r="I28" s="28" t="str">
        <x:v>Reflection</x:v>
      </x:c>
      <x:c r="J28" s="28" t="str">
        <x:v>Connection, Movement</x:v>
      </x:c>
      <x:c r="K28" s="28" t="str">
        <x:v>Strong</x:v>
      </x:c>
      <x:c r="L28" s="28" t="str">
        <x:v>Angle Chain Explorer</x:v>
      </x:c>
      <x:c r="M28" s="28" t="str">
        <x:v>Square grid</x:v>
      </x:c>
      <x:c r="N28" s="28" t="str">
        <x:v>Because–Therefore Geometry Proof</x:v>
      </x:c>
      <x:c r="O28" s="28" t="str">
        <x:v>NC KS3; 4MA1</x:v>
      </x:c>
      <x:c r="P28" s="28" t="str">
        <x:v>KS3 Geometry; 4MA1 4.1-4.2,4.7</x:v>
      </x:c>
      <x:c r="Q28" s="28" t="str">
        <x:v>Live, Asynchronous, Independent</x:v>
      </x:c>
      <x:c r="R28" s="28" t="str">
        <x:v>Moderate-High visual; reveal one fact at a time</x:v>
      </x:c>
      <x:c r="S28" s="28" t="str">
        <x:v>Year 7 angle facts</x:v>
      </x:c>
      <x:c r="T28" s="28" t="str">
        <x:v>Circle theorems and proof</x:v>
      </x:c>
      <x:c r="U28" s="28" t="str">
        <x:v>Planned</x:v>
      </x:c>
      <x:c r="V28" s="36" t="str">
        <x:v>Canonical unit; lesson sequence to be authored from mapped Stepping Stones.</x:v>
      </x:c>
    </x:row>
    <x:row r="29" ht="72" customHeight="1">
      <x:c r="A29" s="35" t="str">
        <x:v>NEO-MATH-Y8-07</x:v>
      </x:c>
      <x:c r="B29" s="28" t="str">
        <x:v>Year 8 Connections</x:v>
      </x:c>
      <x:c r="C29" s="28" t="str">
        <x:v>Year 8</x:v>
      </x:c>
      <x:c r="D29" s="28" t="n">
        <x:v>7</x:v>
      </x:c>
      <x:c r="E29" s="28" t="str">
        <x:v>Spatial Reasoning</x:v>
      </x:c>
      <x:c r="F29" s="28" t="str">
        <x:v>Circles, Prisms and Packaging</x:v>
      </x:c>
      <x:c r="G29" s="28" t="str">
        <x:v>How can a formula help us design with less material?</x:v>
      </x:c>
      <x:c r="H29" s="28" t="str">
        <x:v>use circle vocabulary; calculate circumference/area; find prism/cylinder volume; calculate surface area; convert units; optimise within constraints</x:v>
      </x:c>
      <x:c r="I29" s="28" t="str">
        <x:v>Creativity</x:v>
      </x:c>
      <x:c r="J29" s="28" t="str">
        <x:v>Connection, Nutrition contextual</x:v>
      </x:c>
      <x:c r="K29" s="28" t="str">
        <x:v>Strong</x:v>
      </x:c>
      <x:c r="L29" s="28" t="str">
        <x:v>Packaging Constraint Designer</x:v>
      </x:c>
      <x:c r="M29" s="28" t="str">
        <x:v>Square grid</x:v>
      </x:c>
      <x:c r="N29" s="28" t="str">
        <x:v>Low-Waste Package Design</x:v>
      </x:c>
      <x:c r="O29" s="28" t="str">
        <x:v>NC KS3; 4MA1; FS L2</x:v>
      </x:c>
      <x:c r="P29" s="28" t="str">
        <x:v>KS3 Geometry/Measures; 4MA1 4.9-4.10; FS L2 16-17</x:v>
      </x:c>
      <x:c r="Q29" s="28" t="str">
        <x:v>Live, Asynchronous, Independent</x:v>
      </x:c>
      <x:c r="R29" s="28" t="str">
        <x:v>Moderate</x:v>
      </x:c>
      <x:c r="S29" s="28" t="str">
        <x:v>Area and units</x:v>
      </x:c>
      <x:c r="T29" s="28" t="str">
        <x:v>Similarity, 3D measures and optimisation</x:v>
      </x:c>
      <x:c r="U29" s="28" t="str">
        <x:v>Planned</x:v>
      </x:c>
      <x:c r="V29" s="36" t="str">
        <x:v>Canonical unit; lesson sequence to be authored from mapped Stepping Stones.</x:v>
      </x:c>
    </x:row>
    <x:row r="30" ht="72" customHeight="1">
      <x:c r="A30" s="35" t="str">
        <x:v>NEO-MATH-Y8-08</x:v>
      </x:c>
      <x:c r="B30" s="28" t="str">
        <x:v>Year 8 Connections</x:v>
      </x:c>
      <x:c r="C30" s="28" t="str">
        <x:v>Year 8</x:v>
      </x:c>
      <x:c r="D30" s="28" t="n">
        <x:v>8</x:v>
      </x:c>
      <x:c r="E30" s="28" t="str">
        <x:v>Proportional Reasoning</x:v>
      </x:c>
      <x:c r="F30" s="28" t="str">
        <x:v>Rates, Best Value and Direct Proportion</x:v>
      </x:c>
      <x:c r="G30" s="28" t="str">
        <x:v>When does ‘more’ actually mean better value?</x:v>
      </x:c>
      <x:c r="H30" s="28" t="str">
        <x:v>calculate unit rates; use speed/density; solve direct proportion; recognise proportional graphs through origin; compare methods; justify best value</x:v>
      </x:c>
      <x:c r="I30" s="28" t="str">
        <x:v>Connection</x:v>
      </x:c>
      <x:c r="J30" s="28" t="str">
        <x:v>Reflection, Nutrition contextual</x:v>
      </x:c>
      <x:c r="K30" s="28" t="str">
        <x:v>Strong</x:v>
      </x:c>
      <x:c r="L30" s="28" t="str">
        <x:v>Best-Value Comparator + Proportion Graph</x:v>
      </x:c>
      <x:c r="M30" s="28" t="str">
        <x:v>Ratio table / Double number line</x:v>
      </x:c>
      <x:c r="N30" s="28" t="str">
        <x:v>Fair Pricing Recommendation</x:v>
      </x:c>
      <x:c r="O30" s="28" t="str">
        <x:v>NC KS3; 4MA1; FS L1/L2</x:v>
      </x:c>
      <x:c r="P30" s="28" t="str">
        <x:v>KS3 Ratio/Rates; 4MA1 1.7,4.4; FS L1 17; FS L2 11,15</x:v>
      </x:c>
      <x:c r="Q30" s="28" t="str">
        <x:v>Live, Asynchronous, Independent</x:v>
      </x:c>
      <x:c r="R30" s="28" t="str">
        <x:v>Moderate</x:v>
      </x:c>
      <x:c r="S30" s="28" t="str">
        <x:v>Ratio and percentages</x:v>
      </x:c>
      <x:c r="T30" s="28" t="str">
        <x:v>Inverse proportion and compound measures</x:v>
      </x:c>
      <x:c r="U30" s="28" t="str">
        <x:v>Planned</x:v>
      </x:c>
      <x:c r="V30" s="36" t="str">
        <x:v>Canonical unit; lesson sequence to be authored from mapped Stepping Stones.</x:v>
      </x:c>
    </x:row>
    <x:row r="31" ht="72" customHeight="1">
      <x:c r="A31" s="35" t="str">
        <x:v>NEO-MATH-Y8-09</x:v>
      </x:c>
      <x:c r="B31" s="28" t="str">
        <x:v>Year 8 Connections</x:v>
      </x:c>
      <x:c r="C31" s="28" t="str">
        <x:v>Year 8</x:v>
      </x:c>
      <x:c r="D31" s="28" t="n">
        <x:v>9</x:v>
      </x:c>
      <x:c r="E31" s="28" t="str">
        <x:v>Data &amp; Uncertainty</x:v>
      </x:c>
      <x:c r="F31" s="28" t="str">
        <x:v>Comparing Data Without Hiding the Story</x:v>
      </x:c>
      <x:c r="G31" s="28" t="str">
        <x:v>Can one average speak for a whole group?</x:v>
      </x:c>
      <x:c r="H31" s="28" t="str">
        <x:v>compare distributions; choose averages/spread; recognise outliers; interpret scatter graphs; distinguish correlation and causation; critique claims</x:v>
      </x:c>
      <x:c r="I31" s="28" t="str">
        <x:v>Reflection</x:v>
      </x:c>
      <x:c r="J31" s="28" t="str">
        <x:v>Connection, Creativity</x:v>
      </x:c>
      <x:c r="K31" s="28" t="str">
        <x:v>Strong</x:v>
      </x:c>
      <x:c r="L31" s="28" t="str">
        <x:v>Data Claim Comparator</x:v>
      </x:c>
      <x:c r="M31" s="28" t="str">
        <x:v>Blank</x:v>
      </x:c>
      <x:c r="N31" s="28" t="str">
        <x:v>Data Claim Infographic with Caveats</x:v>
      </x:c>
      <x:c r="O31" s="28" t="str">
        <x:v>NC KS3; FS L2</x:v>
      </x:c>
      <x:c r="P31" s="28" t="str">
        <x:v>KS3 Statistics; FS L2 23-25,28</x:v>
      </x:c>
      <x:c r="Q31" s="28" t="str">
        <x:v>Live, Asynchronous, Independent</x:v>
      </x:c>
      <x:c r="R31" s="28" t="str">
        <x:v>Moderate-High; chart focus mode</x:v>
      </x:c>
      <x:c r="S31" s="28" t="str">
        <x:v>Year 7 averages</x:v>
      </x:c>
      <x:c r="T31" s="28" t="str">
        <x:v>Sampling, grouped data and inference</x:v>
      </x:c>
      <x:c r="U31" s="28" t="str">
        <x:v>Planned</x:v>
      </x:c>
      <x:c r="V31" s="36" t="str">
        <x:v>Canonical unit; lesson sequence to be authored from mapped Stepping Stones.</x:v>
      </x:c>
    </x:row>
    <x:row r="32" ht="72" customHeight="1">
      <x:c r="A32" s="35" t="str">
        <x:v>NEO-MATH-Y8-10</x:v>
      </x:c>
      <x:c r="B32" s="28" t="str">
        <x:v>Year 8 Connections</x:v>
      </x:c>
      <x:c r="C32" s="28" t="str">
        <x:v>Year 8</x:v>
      </x:c>
      <x:c r="D32" s="28" t="n">
        <x:v>10</x:v>
      </x:c>
      <x:c r="E32" s="28" t="str">
        <x:v>Data &amp; Uncertainty</x:v>
      </x:c>
      <x:c r="F32" s="28" t="str">
        <x:v>Building Probability Models</x:v>
      </x:c>
      <x:c r="G32" s="28" t="str">
        <x:v>Can a model of chance be more reliable than a short experiment?</x:v>
      </x:c>
      <x:c r="H32" s="28" t="str">
        <x:v>enumerate sample spaces; use two-way tables/Venn when appropriate; calculate probabilities; compare theory and experiment; explain fairness</x:v>
      </x:c>
      <x:c r="I32" s="28" t="str">
        <x:v>Reflection</x:v>
      </x:c>
      <x:c r="J32" s="28" t="str">
        <x:v>Creativity, Connection</x:v>
      </x:c>
      <x:c r="K32" s="28" t="str">
        <x:v>Strong</x:v>
      </x:c>
      <x:c r="L32" s="28" t="str">
        <x:v>Sample-Space Builder + Fairness Tester</x:v>
      </x:c>
      <x:c r="M32" s="28" t="str">
        <x:v>Blank</x:v>
      </x:c>
      <x:c r="N32" s="28" t="str">
        <x:v>Probability Model Review</x:v>
      </x:c>
      <x:c r="O32" s="28" t="str">
        <x:v>NC KS3; 4MA1; FS L2</x:v>
      </x:c>
      <x:c r="P32" s="28" t="str">
        <x:v>KS3 Probability; 4MA1 7.1; FS L2 26-27</x:v>
      </x:c>
      <x:c r="Q32" s="28" t="str">
        <x:v>Live, Asynchronous, Independent</x:v>
      </x:c>
      <x:c r="R32" s="28" t="str">
        <x:v>Moderate</x:v>
      </x:c>
      <x:c r="S32" s="28" t="str">
        <x:v>Simple probability</x:v>
      </x:c>
      <x:c r="T32" s="28" t="str">
        <x:v>Tree diagrams and dependent events</x:v>
      </x:c>
      <x:c r="U32" s="28" t="str">
        <x:v>Planned</x:v>
      </x:c>
      <x:c r="V32" s="36" t="str">
        <x:v>Canonical unit; lesson sequence to be authored from mapped Stepping Stones.</x:v>
      </x:c>
    </x:row>
    <x:row r="33" ht="72" customHeight="1">
      <x:c r="A33" s="35" t="str">
        <x:v>NEO-MATH-Y9-01</x:v>
      </x:c>
      <x:c r="B33" s="28" t="str">
        <x:v>Year 9 Bridge</x:v>
      </x:c>
      <x:c r="C33" s="28" t="str">
        <x:v>Year 9</x:v>
      </x:c>
      <x:c r="D33" s="28" t="n">
        <x:v>1</x:v>
      </x:c>
      <x:c r="E33" s="28" t="str">
        <x:v>Number Sense</x:v>
      </x:c>
      <x:c r="F33" s="28" t="str">
        <x:v>Accuracy, Powers and Scale</x:v>
      </x:c>
      <x:c r="G33" s="28" t="str">
        <x:v>How small or large can a number become before ordinary notation stops helping?</x:v>
      </x:c>
      <x:c r="H33" s="28" t="str">
        <x:v>round to significant figures; estimate; use index laws; write/order standard form; calculate in standard form; choose sensible accuracy</x:v>
      </x:c>
      <x:c r="I33" s="28" t="str">
        <x:v>Movement</x:v>
      </x:c>
      <x:c r="J33" s="28" t="str">
        <x:v>Reflection, Connection</x:v>
      </x:c>
      <x:c r="K33" s="28" t="str">
        <x:v>Strong</x:v>
      </x:c>
      <x:c r="L33" s="28" t="str">
        <x:v>Micro-to-Macro Scale Explorer</x:v>
      </x:c>
      <x:c r="M33" s="28" t="str">
        <x:v>Square grid</x:v>
      </x:c>
      <x:c r="N33" s="28" t="str">
        <x:v>Scale of the World Investigation</x:v>
      </x:c>
      <x:c r="O33" s="28" t="str">
        <x:v>NC KS3; 4MA1 Foundation/Higher</x:v>
      </x:c>
      <x:c r="P33" s="28" t="str">
        <x:v>KS3 Number; 4MA1 1.4,1.8,1.9</x:v>
      </x:c>
      <x:c r="Q33" s="28" t="str">
        <x:v>Live, Asynchronous, Independent</x:v>
      </x:c>
      <x:c r="R33" s="28" t="str">
        <x:v>Moderate</x:v>
      </x:c>
      <x:c r="S33" s="28" t="str">
        <x:v>Powers and place value</x:v>
      </x:c>
      <x:c r="T33" s="28" t="str">
        <x:v>Bounds, surds and advanced indices</x:v>
      </x:c>
      <x:c r="U33" s="28" t="str">
        <x:v>Planned</x:v>
      </x:c>
      <x:c r="V33" s="36" t="str">
        <x:v>Canonical unit; lesson sequence to be authored from mapped Stepping Stones.</x:v>
      </x:c>
    </x:row>
    <x:row r="34" ht="72" customHeight="1">
      <x:c r="A34" s="35" t="str">
        <x:v>NEO-MATH-Y9-02</x:v>
      </x:c>
      <x:c r="B34" s="28" t="str">
        <x:v>Year 9 Bridge</x:v>
      </x:c>
      <x:c r="C34" s="28" t="str">
        <x:v>Year 9</x:v>
      </x:c>
      <x:c r="D34" s="28" t="n">
        <x:v>2</x:v>
      </x:c>
      <x:c r="E34" s="28" t="str">
        <x:v>Spatial Reasoning</x:v>
      </x:c>
      <x:c r="F34" s="28" t="str">
        <x:v>Solids, Cross-Sections and Space</x:v>
      </x:c>
      <x:c r="G34" s="28" t="str">
        <x:v>How can a 2D slice reveal a 3D object?</x:v>
      </x:c>
      <x:c r="H34" s="28" t="str">
        <x:v>analyse 2D/3D properties; calculate surface area/volume; use cross-sections; use polygon angles; convert spatial units; reason from nets</x:v>
      </x:c>
      <x:c r="I34" s="28" t="str">
        <x:v>Movement</x:v>
      </x:c>
      <x:c r="J34" s="28" t="str">
        <x:v>Creativity, Reflection</x:v>
      </x:c>
      <x:c r="K34" s="28" t="str">
        <x:v>Strong</x:v>
      </x:c>
      <x:c r="L34" s="28" t="str">
        <x:v>3D Slice and Net Explorer</x:v>
      </x:c>
      <x:c r="M34" s="28" t="str">
        <x:v>Square grid</x:v>
      </x:c>
      <x:c r="N34" s="28" t="str">
        <x:v>Shape Passport / Packaging Redesign</x:v>
      </x:c>
      <x:c r="O34" s="28" t="str">
        <x:v>NC KS3; 4MA1; FS L2</x:v>
      </x:c>
      <x:c r="P34" s="28" t="str">
        <x:v>KS3 Geometry; 4MA1 4.2,4.10; FS L2 17,20-22</x:v>
      </x:c>
      <x:c r="Q34" s="28" t="str">
        <x:v>Live, Asynchronous, Independent</x:v>
      </x:c>
      <x:c r="R34" s="28" t="str">
        <x:v>Moderate-High spatial load</x:v>
      </x:c>
      <x:c r="S34" s="28" t="str">
        <x:v>Circles, prisms and packaging</x:v>
      </x:c>
      <x:c r="T34" s="28" t="str">
        <x:v>3D trig and similarity</x:v>
      </x:c>
      <x:c r="U34" s="28" t="str">
        <x:v>Planned</x:v>
      </x:c>
      <x:c r="V34" s="36" t="str">
        <x:v>Canonical unit; lesson sequence to be authored from mapped Stepping Stones.</x:v>
      </x:c>
    </x:row>
    <x:row r="35" ht="72" customHeight="1">
      <x:c r="A35" s="35" t="str">
        <x:v>NEO-MATH-Y9-03</x:v>
      </x:c>
      <x:c r="B35" s="28" t="str">
        <x:v>Year 9 Bridge</x:v>
      </x:c>
      <x:c r="C35" s="28" t="str">
        <x:v>Year 9</x:v>
      </x:c>
      <x:c r="D35" s="28" t="n">
        <x:v>3</x:v>
      </x:c>
      <x:c r="E35" s="28" t="str">
        <x:v>Structure &amp; Generalisation</x:v>
      </x:c>
      <x:c r="F35" s="28" t="str">
        <x:v>Quadratics: When Change Itself Changes</x:v>
      </x:c>
      <x:c r="G35" s="28" t="str">
        <x:v>What kind of pattern appears when the rate of change is not constant?</x:v>
      </x:c>
      <x:c r="H35" s="28" t="str">
        <x:v>recognise quadratic patterns; use second differences; expand/factorise simple quadratics; plot quadratic graphs; identify turning points; compare transformations</x:v>
      </x:c>
      <x:c r="I35" s="28" t="str">
        <x:v>Movement</x:v>
      </x:c>
      <x:c r="J35" s="28" t="str">
        <x:v>Connection, Creativity</x:v>
      </x:c>
      <x:c r="K35" s="28" t="str">
        <x:v>Strong</x:v>
      </x:c>
      <x:c r="L35" s="28" t="str">
        <x:v>Quadratic Shape Shifter</x:v>
      </x:c>
      <x:c r="M35" s="28" t="str">
        <x:v>Coordinate grid</x:v>
      </x:c>
      <x:c r="N35" s="28" t="str">
        <x:v>Quadratic Graph Story</x:v>
      </x:c>
      <x:c r="O35" s="28" t="str">
        <x:v>NC KS3; 4MA1 Foundation/Higher</x:v>
      </x:c>
      <x:c r="P35" s="28" t="str">
        <x:v>KS3 Algebra/Graphs; 4MA1 2.2,2.7,3.3; Higher extension</x:v>
      </x:c>
      <x:c r="Q35" s="28" t="str">
        <x:v>Live, Asynchronous, Independent</x:v>
      </x:c>
      <x:c r="R35" s="28" t="str">
        <x:v>High visual/algebra load; representation choice</x:v>
      </x:c>
      <x:c r="S35" s="28" t="str">
        <x:v>Sequences and linear graphs</x:v>
      </x:c>
      <x:c r="T35" s="28" t="str">
        <x:v>Quadratic equations and functions</x:v>
      </x:c>
      <x:c r="U35" s="28" t="str">
        <x:v>Planned</x:v>
      </x:c>
      <x:c r="V35" s="36" t="str">
        <x:v>Canonical unit; lesson sequence to be authored from mapped Stepping Stones.</x:v>
      </x:c>
    </x:row>
    <x:row r="36" ht="72" customHeight="1">
      <x:c r="A36" s="35" t="str">
        <x:v>NEO-MATH-Y9-04</x:v>
      </x:c>
      <x:c r="B36" s="28" t="str">
        <x:v>Year 9 Bridge</x:v>
      </x:c>
      <x:c r="C36" s="28" t="str">
        <x:v>Year 9</x:v>
      </x:c>
      <x:c r="D36" s="28" t="n">
        <x:v>4</x:v>
      </x:c>
      <x:c r="E36" s="28" t="str">
        <x:v>Spatial Reasoning</x:v>
      </x:c>
      <x:c r="F36" s="28" t="str">
        <x:v>Precision, Loci and Safe Routes</x:v>
      </x:c>
      <x:c r="G36" s="28" t="str">
        <x:v>Can a construction guarantee a fair distance or safe boundary?</x:v>
      </x:c>
      <x:c r="H36" s="28" t="str">
        <x:v>use ruler/compass constructions; construct bisectors; describe loci; use bearings; interpret scale drawings; justify precision</x:v>
      </x:c>
      <x:c r="I36" s="28" t="str">
        <x:v>Movement</x:v>
      </x:c>
      <x:c r="J36" s="28" t="str">
        <x:v>Reflection, Connection</x:v>
      </x:c>
      <x:c r="K36" s="28" t="str">
        <x:v>Strong</x:v>
      </x:c>
      <x:c r="L36" s="28" t="str">
        <x:v>Locus and Safe-Route Planner</x:v>
      </x:c>
      <x:c r="M36" s="28" t="str">
        <x:v>Square grid</x:v>
      </x:c>
      <x:c r="N36" s="28" t="str">
        <x:v>Safe Route Map with Construction Notes</x:v>
      </x:c>
      <x:c r="O36" s="28" t="str">
        <x:v>NC KS3; 4MA1; FS L1/L2</x:v>
      </x:c>
      <x:c r="P36" s="28" t="str">
        <x:v>KS3 Geometry; 4MA1 4.4-4.5,4.11; FS L1 21,24-26; FS L2 18-22</x:v>
      </x:c>
      <x:c r="Q36" s="28" t="str">
        <x:v>Live, Asynchronous, Independent</x:v>
      </x:c>
      <x:c r="R36" s="28" t="str">
        <x:v>Moderate; steady-hand alternative digital tool</x:v>
      </x:c>
      <x:c r="S36" s="28" t="str">
        <x:v>Angle reasoning and scale</x:v>
      </x:c>
      <x:c r="T36" s="28" t="str">
        <x:v>Geometric proof and trigonometry</x:v>
      </x:c>
      <x:c r="U36" s="28" t="str">
        <x:v>Planned</x:v>
      </x:c>
      <x:c r="V36" s="36" t="str">
        <x:v>Canonical unit; lesson sequence to be authored from mapped Stepping Stones.</x:v>
      </x:c>
    </x:row>
    <x:row r="37" ht="72" customHeight="1">
      <x:c r="A37" s="35" t="str">
        <x:v>NEO-MATH-Y9-05</x:v>
      </x:c>
      <x:c r="B37" s="28" t="str">
        <x:v>Year 9 Bridge</x:v>
      </x:c>
      <x:c r="C37" s="28" t="str">
        <x:v>Year 9</x:v>
      </x:c>
      <x:c r="D37" s="28" t="n">
        <x:v>5</x:v>
      </x:c>
      <x:c r="E37" s="28" t="str">
        <x:v>Structure &amp; Generalisation</x:v>
      </x:c>
      <x:c r="F37" s="28" t="str">
        <x:v>Inequalities: Mathematics with Boundaries</x:v>
      </x:c>
      <x:c r="G37" s="28" t="str">
        <x:v>How can maths describe what is allowed without choosing one exact answer?</x:v>
      </x:c>
      <x:c r="H37" s="28" t="str">
        <x:v>solve linear inequalities; represent solution sets; use open/closed endpoints; form inequalities; interpret regions; check boundary meaning</x:v>
      </x:c>
      <x:c r="I37" s="28" t="str">
        <x:v>Connection</x:v>
      </x:c>
      <x:c r="J37" s="28" t="str">
        <x:v>Reflection, Creativity</x:v>
      </x:c>
      <x:c r="K37" s="28" t="str">
        <x:v>Strong</x:v>
      </x:c>
      <x:c r="L37" s="28" t="str">
        <x:v>Inequality Region Painter</x:v>
      </x:c>
      <x:c r="M37" s="28" t="str">
        <x:v>Coordinate grid</x:v>
      </x:c>
      <x:c r="N37" s="28" t="str">
        <x:v>Constraints Design Brief</x:v>
      </x:c>
      <x:c r="O37" s="28" t="str">
        <x:v>NC KS3; 4MA1 Foundation/Higher</x:v>
      </x:c>
      <x:c r="P37" s="28" t="str">
        <x:v>KS3 Algebra; 4MA1 2.8</x:v>
      </x:c>
      <x:c r="Q37" s="28" t="str">
        <x:v>Live, Asynchronous, Independent</x:v>
      </x:c>
      <x:c r="R37" s="28" t="str">
        <x:v>Moderate-High; one boundary at a time</x:v>
      </x:c>
      <x:c r="S37" s="28" t="str">
        <x:v>Linear equations</x:v>
      </x:c>
      <x:c r="T37" s="28" t="str">
        <x:v>Optimisation and advanced algebra</x:v>
      </x:c>
      <x:c r="U37" s="28" t="str">
        <x:v>Planned</x:v>
      </x:c>
      <x:c r="V37" s="36" t="str">
        <x:v>Canonical unit; lesson sequence to be authored from mapped Stepping Stones.</x:v>
      </x:c>
    </x:row>
    <x:row r="38" ht="72" customHeight="1">
      <x:c r="A38" s="35" t="str">
        <x:v>NEO-MATH-Y9-06</x:v>
      </x:c>
      <x:c r="B38" s="28" t="str">
        <x:v>Year 9 Bridge</x:v>
      </x:c>
      <x:c r="C38" s="28" t="str">
        <x:v>Year 9</x:v>
      </x:c>
      <x:c r="D38" s="28" t="n">
        <x:v>6</x:v>
      </x:c>
      <x:c r="E38" s="28" t="str">
        <x:v>Structure &amp; Generalisation</x:v>
      </x:c>
      <x:c r="F38" s="28" t="str">
        <x:v>Formulae and Rearranging: Changing the Subject</x:v>
      </x:c>
      <x:c r="G38" s="28" t="str">
        <x:v>Can a formula tell the same relationship from a different point of view?</x:v>
      </x:c>
      <x:c r="H38" s="28" t="str">
        <x:v>substitute; rearrange simple formulae; use inverse operations; make a subject; form formulae from contexts; verify by substitution</x:v>
      </x:c>
      <x:c r="I38" s="28" t="str">
        <x:v>Connection</x:v>
      </x:c>
      <x:c r="J38" s="28" t="str">
        <x:v>Reflection, Rest</x:v>
      </x:c>
      <x:c r="K38" s="28" t="str">
        <x:v>Strong</x:v>
      </x:c>
      <x:c r="L38" s="28" t="str">
        <x:v>Formula Balance and Subject Switcher</x:v>
      </x:c>
      <x:c r="M38" s="28" t="str">
        <x:v>Blank</x:v>
      </x:c>
      <x:c r="N38" s="28" t="str">
        <x:v>Formula Model Card</x:v>
      </x:c>
      <x:c r="O38" s="28" t="str">
        <x:v>NC KS3; 4MA1</x:v>
      </x:c>
      <x:c r="P38" s="28" t="str">
        <x:v>KS3 Algebra; 4MA1 2.3</x:v>
      </x:c>
      <x:c r="Q38" s="28" t="str">
        <x:v>Live, Asynchronous, Independent</x:v>
      </x:c>
      <x:c r="R38" s="28" t="str">
        <x:v>Moderate</x:v>
      </x:c>
      <x:c r="S38" s="28" t="str">
        <x:v>Equations</x:v>
      </x:c>
      <x:c r="T38" s="28" t="str">
        <x:v>Advanced rearranging and modelling</x:v>
      </x:c>
      <x:c r="U38" s="28" t="str">
        <x:v>Planned</x:v>
      </x:c>
      <x:c r="V38" s="36" t="str">
        <x:v>Canonical unit; lesson sequence to be authored from mapped Stepping Stones.</x:v>
      </x:c>
    </x:row>
    <x:row r="39" ht="72" customHeight="1">
      <x:c r="A39" s="35" t="str">
        <x:v>NEO-MATH-Y9-07</x:v>
      </x:c>
      <x:c r="B39" s="28" t="str">
        <x:v>Year 9 Bridge</x:v>
      </x:c>
      <x:c r="C39" s="28" t="str">
        <x:v>Year 9</x:v>
      </x:c>
      <x:c r="D39" s="28" t="n">
        <x:v>7</x:v>
      </x:c>
      <x:c r="E39" s="28" t="str">
        <x:v>Spatial Reasoning</x:v>
      </x:c>
      <x:c r="F39" s="28" t="str">
        <x:v>Pythagoras and the Hidden Length</x:v>
      </x:c>
      <x:c r="G39" s="28" t="str">
        <x:v>Can a right angle reveal a length we cannot measure directly?</x:v>
      </x:c>
      <x:c r="H39" s="28" t="str">
        <x:v>identify right triangles; use Pythagoras; choose unknown side; solve contextual problems; check reasonableness; begin 3D connections</x:v>
      </x:c>
      <x:c r="I39" s="28" t="str">
        <x:v>Connection</x:v>
      </x:c>
      <x:c r="J39" s="28" t="str">
        <x:v>Reflection, Movement</x:v>
      </x:c>
      <x:c r="K39" s="28" t="str">
        <x:v>Strong</x:v>
      </x:c>
      <x:c r="L39" s="28" t="str">
        <x:v>Right-Triangle Length Explorer</x:v>
      </x:c>
      <x:c r="M39" s="28" t="str">
        <x:v>Square grid</x:v>
      </x:c>
      <x:c r="N39" s="28" t="str">
        <x:v>Indirect Measurement Investigation</x:v>
      </x:c>
      <x:c r="O39" s="28" t="str">
        <x:v>NC KS3/KS4 bridge; 4MA1</x:v>
      </x:c>
      <x:c r="P39" s="28" t="str">
        <x:v>KS3 Geometry; 4MA1 4.8</x:v>
      </x:c>
      <x:c r="Q39" s="28" t="str">
        <x:v>Live, Asynchronous, Independent</x:v>
      </x:c>
      <x:c r="R39" s="28" t="str">
        <x:v>Moderate</x:v>
      </x:c>
      <x:c r="S39" s="28" t="str">
        <x:v>Squares, roots and geometry</x:v>
      </x:c>
      <x:c r="T39" s="28" t="str">
        <x:v>Trigonometry and 3D measure</x:v>
      </x:c>
      <x:c r="U39" s="28" t="str">
        <x:v>Planned</x:v>
      </x:c>
      <x:c r="V39" s="36" t="str">
        <x:v>Canonical unit; lesson sequence to be authored from mapped Stepping Stones.</x:v>
      </x:c>
    </x:row>
    <x:row r="40" ht="72" customHeight="1">
      <x:c r="A40" s="35" t="str">
        <x:v>NEO-MATH-Y9-08</x:v>
      </x:c>
      <x:c r="B40" s="28" t="str">
        <x:v>Year 9 Bridge</x:v>
      </x:c>
      <x:c r="C40" s="28" t="str">
        <x:v>Year 9</x:v>
      </x:c>
      <x:c r="D40" s="28" t="n">
        <x:v>8</x:v>
      </x:c>
      <x:c r="E40" s="28" t="str">
        <x:v>Proportional Reasoning</x:v>
      </x:c>
      <x:c r="F40" s="28" t="str">
        <x:v>Similarity and Scale: Same Shape, New Size</x:v>
      </x:c>
      <x:c r="G40" s="28" t="str">
        <x:v>What can change while a shape stays mathematically the same?</x:v>
      </x:c>
      <x:c r="H40" s="28" t="str">
        <x:v>recognise similar figures; use length scale factors; solve missing lengths; interpret maps; connect similarity and proportion; explore area scale factor</x:v>
      </x:c>
      <x:c r="I40" s="28" t="str">
        <x:v>Connection</x:v>
      </x:c>
      <x:c r="J40" s="28" t="str">
        <x:v>Movement, Creativity</x:v>
      </x:c>
      <x:c r="K40" s="28" t="str">
        <x:v>Strong</x:v>
      </x:c>
      <x:c r="L40" s="28" t="str">
        <x:v>Similarity Zoom Lab</x:v>
      </x:c>
      <x:c r="M40" s="28" t="str">
        <x:v>Square grid</x:v>
      </x:c>
      <x:c r="N40" s="28" t="str">
        <x:v>Scale Model Portfolio Piece</x:v>
      </x:c>
      <x:c r="O40" s="28" t="str">
        <x:v>NC KS3; 4MA1; FS L2</x:v>
      </x:c>
      <x:c r="P40" s="28" t="str">
        <x:v>KS3 Ratio/Geometry; 4MA1 4.11; FS L2 18</x:v>
      </x:c>
      <x:c r="Q40" s="28" t="str">
        <x:v>Live, Asynchronous, Independent</x:v>
      </x:c>
      <x:c r="R40" s="28" t="str">
        <x:v>Moderate</x:v>
      </x:c>
      <x:c r="S40" s="28" t="str">
        <x:v>Ratio and geometry</x:v>
      </x:c>
      <x:c r="T40" s="28" t="str">
        <x:v>Trig, area/volume scale factors</x:v>
      </x:c>
      <x:c r="U40" s="28" t="str">
        <x:v>Planned</x:v>
      </x:c>
      <x:c r="V40" s="36" t="str">
        <x:v>Canonical unit; lesson sequence to be authored from mapped Stepping Stones.</x:v>
      </x:c>
    </x:row>
    <x:row r="41" ht="72" customHeight="1">
      <x:c r="A41" s="35" t="str">
        <x:v>NEO-MATH-Y9-09</x:v>
      </x:c>
      <x:c r="B41" s="28" t="str">
        <x:v>Year 9 Bridge</x:v>
      </x:c>
      <x:c r="C41" s="28" t="str">
        <x:v>Year 9</x:v>
      </x:c>
      <x:c r="D41" s="28" t="n">
        <x:v>9</x:v>
      </x:c>
      <x:c r="E41" s="28" t="str">
        <x:v>Data &amp; Uncertainty</x:v>
      </x:c>
      <x:c r="F41" s="28" t="str">
        <x:v>Sampling, Bias and What We Can Infer</x:v>
      </x:c>
      <x:c r="G41" s="28" t="str">
        <x:v>Whose story disappears when a sample is badly chosen?</x:v>
      </x:c>
      <x:c r="H41" s="28" t="str">
        <x:v>plan a statistical enquiry; recognise bias; choose samples; group data; interpret scatter/correlation; distinguish inference and proof; critique conclusions</x:v>
      </x:c>
      <x:c r="I41" s="28" t="str">
        <x:v>Connection</x:v>
      </x:c>
      <x:c r="J41" s="28" t="str">
        <x:v>Reflection, Creativity</x:v>
      </x:c>
      <x:c r="K41" s="28" t="str">
        <x:v>Strong</x:v>
      </x:c>
      <x:c r="L41" s="28" t="str">
        <x:v>Sampling Bias Simulator + Claim Critic</x:v>
      </x:c>
      <x:c r="M41" s="28" t="str">
        <x:v>Blank</x:v>
      </x:c>
      <x:c r="N41" s="28" t="str">
        <x:v>Data Justice Investigation</x:v>
      </x:c>
      <x:c r="O41" s="28" t="str">
        <x:v>NC KS3; 4MA1</x:v>
      </x:c>
      <x:c r="P41" s="28" t="str">
        <x:v>KS3 Statistics; 4MA1 6.1-6.2</x:v>
      </x:c>
      <x:c r="Q41" s="28" t="str">
        <x:v>Live, Asynchronous, Independent</x:v>
      </x:c>
      <x:c r="R41" s="28" t="str">
        <x:v>Moderate-High; claim-by-claim</x:v>
      </x:c>
      <x:c r="S41" s="28" t="str">
        <x:v>Data comparison</x:v>
      </x:c>
      <x:c r="T41" s="28" t="str">
        <x:v>Histograms, cumulative frequency and advanced statistics</x:v>
      </x:c>
      <x:c r="U41" s="28" t="str">
        <x:v>Planned</x:v>
      </x:c>
      <x:c r="V41" s="36" t="str">
        <x:v>Canonical unit; lesson sequence to be authored from mapped Stepping Stones.</x:v>
      </x:c>
    </x:row>
    <x:row r="42" ht="72" customHeight="1">
      <x:c r="A42" s="35" t="str">
        <x:v>NEO-MATH-Y9-10</x:v>
      </x:c>
      <x:c r="B42" s="28" t="str">
        <x:v>Year 9 Bridge</x:v>
      </x:c>
      <x:c r="C42" s="28" t="str">
        <x:v>Year 9</x:v>
      </x:c>
      <x:c r="D42" s="28" t="n">
        <x:v>10</x:v>
      </x:c>
      <x:c r="E42" s="28" t="str">
        <x:v>Data &amp; Uncertainty</x:v>
      </x:c>
      <x:c r="F42" s="28" t="str">
        <x:v>Probability Trees and Conditional Change</x:v>
      </x:c>
      <x:c r="G42" s="28" t="str">
        <x:v>How does one event change the chances of what happens next?</x:v>
      </x:c>
      <x:c r="H42" s="28" t="str">
        <x:v>use Venn diagrams/set language; build tree diagrams; calculate combined probabilities; compare independent/dependent situations; compare experimental/theoretical probability</x:v>
      </x:c>
      <x:c r="I42" s="28" t="str">
        <x:v>Movement</x:v>
      </x:c>
      <x:c r="J42" s="28" t="str">
        <x:v>Reflection, Connection</x:v>
      </x:c>
      <x:c r="K42" s="28" t="str">
        <x:v>Strong</x:v>
      </x:c>
      <x:c r="L42" s="28" t="str">
        <x:v>Dynamic Probability Tree</x:v>
      </x:c>
      <x:c r="M42" s="28" t="str">
        <x:v>Blank</x:v>
      </x:c>
      <x:c r="N42" s="28" t="str">
        <x:v>Chance Model Explanation</x:v>
      </x:c>
      <x:c r="O42" s="28" t="str">
        <x:v>NC KS3; 4MA1 Foundation/Higher</x:v>
      </x:c>
      <x:c r="P42" s="28" t="str">
        <x:v>KS3 Probability; 4MA1 1.5,7.1; Higher conditional/dependent extensions</x:v>
      </x:c>
      <x:c r="Q42" s="28" t="str">
        <x:v>Live, Asynchronous, Independent</x:v>
      </x:c>
      <x:c r="R42" s="28" t="str">
        <x:v>High; branch reveal mode</x:v>
      </x:c>
      <x:c r="S42" s="28" t="str">
        <x:v>Sample spaces and Venn</x:v>
      </x:c>
      <x:c r="T42" s="28" t="str">
        <x:v>Conditional probability and expected frequency</x:v>
      </x:c>
      <x:c r="U42" s="28" t="str">
        <x:v>Planned</x:v>
      </x:c>
      <x:c r="V42" s="36" t="str">
        <x:v>Canonical unit; lesson sequence to be authored from mapped Stepping Stones.</x:v>
      </x:c>
    </x:row>
    <x:row r="43" ht="72" customHeight="1">
      <x:c r="A43" s="35" t="str">
        <x:v>NEO-MATH-Y10-01</x:v>
      </x:c>
      <x:c r="B43" s="28" t="str">
        <x:v>iGCSE Year 1</x:v>
      </x:c>
      <x:c r="C43" s="28" t="str">
        <x:v>Year 10</x:v>
      </x:c>
      <x:c r="D43" s="28" t="n">
        <x:v>1</x:v>
      </x:c>
      <x:c r="E43" s="28" t="str">
        <x:v>Number Sense</x:v>
      </x:c>
      <x:c r="F43" s="28" t="str">
        <x:v>Number Systems and Calculator Judgement</x:v>
      </x:c>
      <x:c r="G43" s="28" t="str">
        <x:v>When should I trust a calculator—and when should I distrust my input?</x:v>
      </x:c>
      <x:c r="H43" s="28" t="str">
        <x:v>calculate with integers/fractions/decimals; use BIDMAS; round accurately; estimate; use scientific calculator; judge reasonableness</x:v>
      </x:c>
      <x:c r="I43" s="28" t="str">
        <x:v>Reflection</x:v>
      </x:c>
      <x:c r="J43" s="28" t="str">
        <x:v>Rest, Connection</x:v>
      </x:c>
      <x:c r="K43" s="28" t="str">
        <x:v>Strong</x:v>
      </x:c>
      <x:c r="L43" s="28" t="str">
        <x:v>Calculator Input Detective</x:v>
      </x:c>
      <x:c r="M43" s="28" t="str">
        <x:v>Blank</x:v>
      </x:c>
      <x:c r="N43" s="28" t="str">
        <x:v>Calculator Error Audit</x:v>
      </x:c>
      <x:c r="O43" s="28" t="str">
        <x:v>Pearson Edexcel 4MA1 Foundation/Higher</x:v>
      </x:c>
      <x:c r="P43" s="28" t="str">
        <x:v>4MA1 1.1-1.3,1.8,1.11</x:v>
      </x:c>
      <x:c r="Q43" s="28" t="str">
        <x:v>Live, Asynchronous, Independent</x:v>
      </x:c>
      <x:c r="R43" s="28" t="str">
        <x:v>Moderate</x:v>
      </x:c>
      <x:c r="S43" s="28" t="str">
        <x:v>Year 9 number fluency</x:v>
      </x:c>
      <x:c r="T43" s="28" t="str">
        <x:v>Standard form and bounds</x:v>
      </x:c>
      <x:c r="U43" s="28" t="str">
        <x:v>Planned</x:v>
      </x:c>
      <x:c r="V43" s="36" t="str">
        <x:v>Canonical unit; lesson sequence to be authored from mapped Stepping Stones.</x:v>
      </x:c>
    </x:row>
    <x:row r="44" ht="72" customHeight="1">
      <x:c r="A44" s="35" t="str">
        <x:v>NEO-MATH-Y10-02</x:v>
      </x:c>
      <x:c r="B44" s="28" t="str">
        <x:v>iGCSE Year 1</x:v>
      </x:c>
      <x:c r="C44" s="28" t="str">
        <x:v>Year 10</x:v>
      </x:c>
      <x:c r="D44" s="28" t="n">
        <x:v>2</x:v>
      </x:c>
      <x:c r="E44" s="28" t="str">
        <x:v>Structure &amp; Generalisation</x:v>
      </x:c>
      <x:c r="F44" s="28" t="str">
        <x:v>Algebraic Expressions and Identities</x:v>
      </x:c>
      <x:c r="G44" s="28" t="str">
        <x:v>How much structure can be hidden inside one expression?</x:v>
      </x:c>
      <x:c r="H44" s="28" t="str">
        <x:v>use symbols; substitute; collect terms; expand; factorise; manipulate algebraic fractions at appropriate tier; distinguish expression/equation/identity</x:v>
      </x:c>
      <x:c r="I44" s="28" t="str">
        <x:v>Connection</x:v>
      </x:c>
      <x:c r="J44" s="28" t="str">
        <x:v>Reflection, Creativity</x:v>
      </x:c>
      <x:c r="K44" s="28" t="str">
        <x:v>Strong</x:v>
      </x:c>
      <x:c r="L44" s="28" t="str">
        <x:v>Algebra Structure Lens</x:v>
      </x:c>
      <x:c r="M44" s="28" t="str">
        <x:v>Blank</x:v>
      </x:c>
      <x:c r="N44" s="28" t="str">
        <x:v>Expression Structure Commentary</x:v>
      </x:c>
      <x:c r="O44" s="28" t="str">
        <x:v>Pearson Edexcel 4MA1 Foundation/Higher</x:v>
      </x:c>
      <x:c r="P44" s="28" t="str">
        <x:v>4MA1 2.1-2.3; Higher 2.2 extensions</x:v>
      </x:c>
      <x:c r="Q44" s="28" t="str">
        <x:v>Live, Asynchronous, Independent</x:v>
      </x:c>
      <x:c r="R44" s="28" t="str">
        <x:v>High; tiered reveal</x:v>
      </x:c>
      <x:c r="S44" s="28" t="str">
        <x:v>KS3 algebra</x:v>
      </x:c>
      <x:c r="T44" s="28" t="str">
        <x:v>Quadratics, equations and proof</x:v>
      </x:c>
      <x:c r="U44" s="28" t="str">
        <x:v>Planned</x:v>
      </x:c>
      <x:c r="V44" s="36" t="str">
        <x:v>Canonical unit; lesson sequence to be authored from mapped Stepping Stones.</x:v>
      </x:c>
    </x:row>
    <x:row r="45" ht="72" customHeight="1">
      <x:c r="A45" s="35" t="str">
        <x:v>NEO-MATH-Y10-03</x:v>
      </x:c>
      <x:c r="B45" s="28" t="str">
        <x:v>iGCSE Year 1</x:v>
      </x:c>
      <x:c r="C45" s="28" t="str">
        <x:v>Year 10</x:v>
      </x:c>
      <x:c r="D45" s="28" t="n">
        <x:v>3</x:v>
      </x:c>
      <x:c r="E45" s="28" t="str">
        <x:v>Change &amp; Functions</x:v>
      </x:c>
      <x:c r="F45" s="28" t="str">
        <x:v>Straight Lines, Sets and Connected Representations</x:v>
      </x:c>
      <x:c r="G45" s="28" t="str">
        <x:v>How can one relationship appear as symbols, points, a line and a story?</x:v>
      </x:c>
      <x:c r="H45" s="28" t="str">
        <x:v>use set notation/Venn diagrams; generate graph points; find gradient/intercept; write linear equations; interpret conversion graphs; connect representations</x:v>
      </x:c>
      <x:c r="I45" s="28" t="str">
        <x:v>Connection</x:v>
      </x:c>
      <x:c r="J45" s="28" t="str">
        <x:v>Movement, Reflection</x:v>
      </x:c>
      <x:c r="K45" s="28" t="str">
        <x:v>Strong</x:v>
      </x:c>
      <x:c r="L45" s="28" t="str">
        <x:v>Gradient Explorer + Venn Set Builder</x:v>
      </x:c>
      <x:c r="M45" s="28" t="str">
        <x:v>Coordinate grid</x:v>
      </x:c>
      <x:c r="N45" s="28" t="str">
        <x:v>Connected Representation Portfolio</x:v>
      </x:c>
      <x:c r="O45" s="28" t="str">
        <x:v>Pearson Edexcel 4MA1 Foundation/Higher</x:v>
      </x:c>
      <x:c r="P45" s="28" t="str">
        <x:v>4MA1 1.5,3.3</x:v>
      </x:c>
      <x:c r="Q45" s="28" t="str">
        <x:v>Live, Asynchronous, Independent</x:v>
      </x:c>
      <x:c r="R45" s="28" t="str">
        <x:v>Moderate-High</x:v>
      </x:c>
      <x:c r="S45" s="28" t="str">
        <x:v>Year 8 straight lines; Year 9 probability</x:v>
      </x:c>
      <x:c r="T45" s="28" t="str">
        <x:v>Simultaneous equations and graphical solutions</x:v>
      </x:c>
      <x:c r="U45" s="28" t="str">
        <x:v>Prototype adaptable</x:v>
      </x:c>
      <x:c r="V45" s="36" t="str">
        <x:v>Canonical unit; lesson sequence to be authored from mapped Stepping Stones.</x:v>
      </x:c>
    </x:row>
    <x:row r="46" ht="72" customHeight="1">
      <x:c r="A46" s="35" t="str">
        <x:v>NEO-MATH-Y10-04</x:v>
      </x:c>
      <x:c r="B46" s="28" t="str">
        <x:v>iGCSE Year 1</x:v>
      </x:c>
      <x:c r="C46" s="28" t="str">
        <x:v>Year 10</x:v>
      </x:c>
      <x:c r="D46" s="28" t="n">
        <x:v>4</x:v>
      </x:c>
      <x:c r="E46" s="28" t="str">
        <x:v>Proportional Reasoning</x:v>
      </x:c>
      <x:c r="F46" s="28" t="str">
        <x:v>Percentages, Ratio and Growth Models</x:v>
      </x:c>
      <x:c r="G46" s="28" t="str">
        <x:v>When does a repeated percentage change become a new kind of pattern?</x:v>
      </x:c>
      <x:c r="H46" s="28" t="str">
        <x:v>solve ratio/proportion; use percentages; calculate repeated change/compound interest at tier; use direct proportion; interpret growth models; reverse percentage changes</x:v>
      </x:c>
      <x:c r="I46" s="28" t="str">
        <x:v>Movement</x:v>
      </x:c>
      <x:c r="J46" s="28" t="str">
        <x:v>Connection, Reflection</x:v>
      </x:c>
      <x:c r="K46" s="28" t="str">
        <x:v>Strong</x:v>
      </x:c>
      <x:c r="L46" s="28" t="str">
        <x:v>Growth Multiplier Lab</x:v>
      </x:c>
      <x:c r="M46" s="28" t="str">
        <x:v>Double number line</x:v>
      </x:c>
      <x:c r="N46" s="28" t="str">
        <x:v>Growth or Decay Model Review</x:v>
      </x:c>
      <x:c r="O46" s="28" t="str">
        <x:v>Pearson Edexcel 4MA1 Foundation/Higher; FS L2</x:v>
      </x:c>
      <x:c r="P46" s="28" t="str">
        <x:v>4MA1 1.6-1.7; Higher repeated change; FS L2 5-6,11,13</x:v>
      </x:c>
      <x:c r="Q46" s="28" t="str">
        <x:v>Live, Asynchronous, Independent</x:v>
      </x:c>
      <x:c r="R46" s="28" t="str">
        <x:v>Moderate</x:v>
      </x:c>
      <x:c r="S46" s="28" t="str">
        <x:v>Percent change and ratio</x:v>
      </x:c>
      <x:c r="T46" s="28" t="str">
        <x:v>Exponential graphs, inverse proportion</x:v>
      </x:c>
      <x:c r="U46" s="28" t="str">
        <x:v>Planned</x:v>
      </x:c>
      <x:c r="V46" s="36" t="str">
        <x:v>Canonical unit; lesson sequence to be authored from mapped Stepping Stones.</x:v>
      </x:c>
    </x:row>
    <x:row r="47" ht="72" customHeight="1">
      <x:c r="A47" s="35" t="str">
        <x:v>NEO-MATH-Y10-05</x:v>
      </x:c>
      <x:c r="B47" s="28" t="str">
        <x:v>iGCSE Year 1</x:v>
      </x:c>
      <x:c r="C47" s="28" t="str">
        <x:v>Year 10</x:v>
      </x:c>
      <x:c r="D47" s="28" t="n">
        <x:v>5</x:v>
      </x:c>
      <x:c r="E47" s="28" t="str">
        <x:v>Structure &amp; Generalisation</x:v>
      </x:c>
      <x:c r="F47" s="28" t="str">
        <x:v>Equations, Inequalities and Simultaneous Relationships</x:v>
      </x:c>
      <x:c r="G47" s="28" t="str">
        <x:v>What happens when two mathematical conditions must be true at once?</x:v>
      </x:c>
      <x:c r="H47" s="28" t="str">
        <x:v>solve linear equations; solve simultaneous equations; solve/represent inequalities; form equations; interpret intersection as common solution; check solutions</x:v>
      </x:c>
      <x:c r="I47" s="28" t="str">
        <x:v>Connection</x:v>
      </x:c>
      <x:c r="J47" s="28" t="str">
        <x:v>Reflection, Creativity</x:v>
      </x:c>
      <x:c r="K47" s="28" t="str">
        <x:v>Strong</x:v>
      </x:c>
      <x:c r="L47" s="28" t="str">
        <x:v>Intersection and Constraint Studio</x:v>
      </x:c>
      <x:c r="M47" s="28" t="str">
        <x:v>Coordinate grid</x:v>
      </x:c>
      <x:c r="N47" s="28" t="str">
        <x:v>Two-Condition Modelling Task</x:v>
      </x:c>
      <x:c r="O47" s="28" t="str">
        <x:v>Pearson Edexcel 4MA1 Foundation/Higher</x:v>
      </x:c>
      <x:c r="P47" s="28" t="str">
        <x:v>4MA1 2.4,2.6,2.8</x:v>
      </x:c>
      <x:c r="Q47" s="28" t="str">
        <x:v>Live, Asynchronous, Independent</x:v>
      </x:c>
      <x:c r="R47" s="28" t="str">
        <x:v>High; conditions separated then combined</x:v>
      </x:c>
      <x:c r="S47" s="28" t="str">
        <x:v>Linear equations/graphs</x:v>
      </x:c>
      <x:c r="T47" s="28" t="str">
        <x:v>Quadratic and non-linear simultaneous systems</x:v>
      </x:c>
      <x:c r="U47" s="28" t="str">
        <x:v>Planned</x:v>
      </x:c>
      <x:c r="V47" s="36" t="str">
        <x:v>Canonical unit; lesson sequence to be authored from mapped Stepping Stones.</x:v>
      </x:c>
    </x:row>
    <x:row r="48" ht="72" customHeight="1">
      <x:c r="A48" s="35" t="str">
        <x:v>NEO-MATH-Y10-06</x:v>
      </x:c>
      <x:c r="B48" s="28" t="str">
        <x:v>iGCSE Year 1</x:v>
      </x:c>
      <x:c r="C48" s="28" t="str">
        <x:v>Year 10</x:v>
      </x:c>
      <x:c r="D48" s="28" t="n">
        <x:v>6</x:v>
      </x:c>
      <x:c r="E48" s="28" t="str">
        <x:v>Spatial Reasoning</x:v>
      </x:c>
      <x:c r="F48" s="28" t="str">
        <x:v>Pythagoras, Trigonometry and Measuring the Unreachable</x:v>
      </x:c>
      <x:c r="G48" s="28" t="str">
        <x:v>How can an angle and one length reveal a distance we cannot reach?</x:v>
      </x:c>
      <x:c r="H48" s="28" t="str">
        <x:v>use Pythagoras; choose sine/cosine/tangent; solve right triangles; interpret bearings/elevation; use units and accuracy; justify method</x:v>
      </x:c>
      <x:c r="I48" s="28" t="str">
        <x:v>Movement</x:v>
      </x:c>
      <x:c r="J48" s="28" t="str">
        <x:v>Connection, Reflection</x:v>
      </x:c>
      <x:c r="K48" s="28" t="str">
        <x:v>Strong</x:v>
      </x:c>
      <x:c r="L48" s="28" t="str">
        <x:v>Triangle Reveal Explorer</x:v>
      </x:c>
      <x:c r="M48" s="28" t="str">
        <x:v>Square grid</x:v>
      </x:c>
      <x:c r="N48" s="28" t="str">
        <x:v>Indirect Measurement Design</x:v>
      </x:c>
      <x:c r="O48" s="28" t="str">
        <x:v>Pearson Edexcel 4MA1 Foundation/Higher</x:v>
      </x:c>
      <x:c r="P48" s="28" t="str">
        <x:v>4MA1 4.4,4.8</x:v>
      </x:c>
      <x:c r="Q48" s="28" t="str">
        <x:v>Live, Asynchronous, Independent</x:v>
      </x:c>
      <x:c r="R48" s="28" t="str">
        <x:v>High spatial load; diagram scaffold</x:v>
      </x:c>
      <x:c r="S48" s="28" t="str">
        <x:v>Pythagoras and similarity</x:v>
      </x:c>
      <x:c r="T48" s="28" t="str">
        <x:v>3D trig, sine/cosine rule Higher</x:v>
      </x:c>
      <x:c r="U48" s="28" t="str">
        <x:v>Planned</x:v>
      </x:c>
      <x:c r="V48" s="36" t="str">
        <x:v>Canonical unit; lesson sequence to be authored from mapped Stepping Stones.</x:v>
      </x:c>
    </x:row>
    <x:row r="49" ht="72" customHeight="1">
      <x:c r="A49" s="35" t="str">
        <x:v>NEO-MATH-Y10-07</x:v>
      </x:c>
      <x:c r="B49" s="28" t="str">
        <x:v>iGCSE Year 1</x:v>
      </x:c>
      <x:c r="C49" s="28" t="str">
        <x:v>Year 10</x:v>
      </x:c>
      <x:c r="D49" s="28" t="n">
        <x:v>7</x:v>
      </x:c>
      <x:c r="E49" s="28" t="str">
        <x:v>Data &amp; Uncertainty</x:v>
      </x:c>
      <x:c r="F49" s="28" t="str">
        <x:v>Frequency, Scatter and the Shape of Data</x:v>
      </x:c>
      <x:c r="G49" s="28" t="str">
        <x:v>What changes when data is grouped, compared or shown differently?</x:v>
      </x:c>
      <x:c r="H49" s="28" t="str">
        <x:v>construct/interpret frequency diagrams; compare distributions; use scatter graphs; interpret correlation; choose averages; critique graphical claims</x:v>
      </x:c>
      <x:c r="I49" s="28" t="str">
        <x:v>Reflection</x:v>
      </x:c>
      <x:c r="J49" s="28" t="str">
        <x:v>Connection, Creativity</x:v>
      </x:c>
      <x:c r="K49" s="28" t="str">
        <x:v>Strong</x:v>
      </x:c>
      <x:c r="L49" s="28" t="str">
        <x:v>Data Display Switcher</x:v>
      </x:c>
      <x:c r="M49" s="28" t="str">
        <x:v>Blank</x:v>
      </x:c>
      <x:c r="N49" s="28" t="str">
        <x:v>Data Communication Brief</x:v>
      </x:c>
      <x:c r="O49" s="28" t="str">
        <x:v>Pearson Edexcel 4MA1 Foundation/Higher</x:v>
      </x:c>
      <x:c r="P49" s="28" t="str">
        <x:v>4MA1 6.1-6.2</x:v>
      </x:c>
      <x:c r="Q49" s="28" t="str">
        <x:v>Live, Asynchronous, Independent</x:v>
      </x:c>
      <x:c r="R49" s="28" t="str">
        <x:v>Moderate-High</x:v>
      </x:c>
      <x:c r="S49" s="28" t="str">
        <x:v>Sampling and data comparison</x:v>
      </x:c>
      <x:c r="T49" s="28" t="str">
        <x:v>Cumulative frequency, histograms and box plots</x:v>
      </x:c>
      <x:c r="U49" s="28" t="str">
        <x:v>Planned</x:v>
      </x:c>
      <x:c r="V49" s="36" t="str">
        <x:v>Canonical unit; lesson sequence to be authored from mapped Stepping Stones.</x:v>
      </x:c>
    </x:row>
    <x:row r="50" ht="72" customHeight="1">
      <x:c r="A50" s="35" t="str">
        <x:v>NEO-MATH-Y10-08</x:v>
      </x:c>
      <x:c r="B50" s="28" t="str">
        <x:v>iGCSE Year 1</x:v>
      </x:c>
      <x:c r="C50" s="28" t="str">
        <x:v>Year 10</x:v>
      </x:c>
      <x:c r="D50" s="28" t="n">
        <x:v>8</x:v>
      </x:c>
      <x:c r="E50" s="28" t="str">
        <x:v>Number Sense</x:v>
      </x:c>
      <x:c r="F50" s="28" t="str">
        <x:v>Bounds and the Mathematics of ‘Nearly’</x:v>
      </x:c>
      <x:c r="G50" s="28" t="str">
        <x:v>How precise is a measurement that has already been rounded?</x:v>
      </x:c>
      <x:c r="H50" s="28" t="str">
        <x:v>identify rounding intervals; find upper/lower bounds; calculate with bounds at tier; use estimation; interpret tolerances; communicate accuracy</x:v>
      </x:c>
      <x:c r="I50" s="28" t="str">
        <x:v>Rest</x:v>
      </x:c>
      <x:c r="J50" s="28" t="str">
        <x:v>Reflection, Connection</x:v>
      </x:c>
      <x:c r="K50" s="28" t="str">
        <x:v>Strong</x:v>
      </x:c>
      <x:c r="L50" s="28" t="str">
        <x:v>Bounds Interval Visualiser</x:v>
      </x:c>
      <x:c r="M50" s="28" t="str">
        <x:v>Double number line</x:v>
      </x:c>
      <x:c r="N50" s="28" t="str">
        <x:v>Tolerance and Safety Case Study</x:v>
      </x:c>
      <x:c r="O50" s="28" t="str">
        <x:v>Pearson Edexcel 4MA1 Foundation/Higher</x:v>
      </x:c>
      <x:c r="P50" s="28" t="str">
        <x:v>4MA1 1.8; Higher bounds problems</x:v>
      </x:c>
      <x:c r="Q50" s="28" t="str">
        <x:v>Live, Asynchronous, Independent</x:v>
      </x:c>
      <x:c r="R50" s="28" t="str">
        <x:v>Moderate; interval visualisation</x:v>
      </x:c>
      <x:c r="S50" s="28" t="str">
        <x:v>Rounding/accuracy</x:v>
      </x:c>
      <x:c r="T50" s="28" t="str">
        <x:v>Error intervals and advanced bounds</x:v>
      </x:c>
      <x:c r="U50" s="28" t="str">
        <x:v>Planned</x:v>
      </x:c>
      <x:c r="V50" s="36" t="str">
        <x:v>Canonical unit; lesson sequence to be authored from mapped Stepping Stones.</x:v>
      </x:c>
    </x:row>
    <x:row r="51" ht="72" customHeight="1">
      <x:c r="A51" s="35" t="str">
        <x:v>NEO-MATH-Y10-09</x:v>
      </x:c>
      <x:c r="B51" s="28" t="str">
        <x:v>iGCSE Year 1</x:v>
      </x:c>
      <x:c r="C51" s="28" t="str">
        <x:v>Year 10</x:v>
      </x:c>
      <x:c r="D51" s="28" t="n">
        <x:v>9</x:v>
      </x:c>
      <x:c r="E51" s="28" t="str">
        <x:v>Structure &amp; Generalisation</x:v>
      </x:c>
      <x:c r="F51" s="28" t="str">
        <x:v>Quadratics: Factors, Roots and Graphs</x:v>
      </x:c>
      <x:c r="G51" s="28" t="str">
        <x:v>How are the shape of a graph and the solutions of an equation connected?</x:v>
      </x:c>
      <x:c r="H51" s="28" t="str">
        <x:v>expand/factorise quadratics; solve by factorisation; connect roots/intercepts; plot/interpret quadratics; form simple quadratic models; compare methods</x:v>
      </x:c>
      <x:c r="I51" s="28" t="str">
        <x:v>Connection</x:v>
      </x:c>
      <x:c r="J51" s="28" t="str">
        <x:v>Movement, Reflection</x:v>
      </x:c>
      <x:c r="K51" s="28" t="str">
        <x:v>Strong</x:v>
      </x:c>
      <x:c r="L51" s="28" t="str">
        <x:v>Root–Graph Connector</x:v>
      </x:c>
      <x:c r="M51" s="28" t="str">
        <x:v>Coordinate grid</x:v>
      </x:c>
      <x:c r="N51" s="28" t="str">
        <x:v>Quadratic Method Comparison</x:v>
      </x:c>
      <x:c r="O51" s="28" t="str">
        <x:v>Pearson Edexcel 4MA1 Foundation/Higher</x:v>
      </x:c>
      <x:c r="P51" s="28" t="str">
        <x:v>4MA1 2.2,2.7,3.3; Higher extensions</x:v>
      </x:c>
      <x:c r="Q51" s="28" t="str">
        <x:v>Live, Asynchronous, Independent</x:v>
      </x:c>
      <x:c r="R51" s="28" t="str">
        <x:v>High</x:v>
      </x:c>
      <x:c r="S51" s="28" t="str">
        <x:v>Year 9 quadratics</x:v>
      </x:c>
      <x:c r="T51" s="28" t="str">
        <x:v>Quadratic formula, completing square and function transforms</x:v>
      </x:c>
      <x:c r="U51" s="28" t="str">
        <x:v>Planned</x:v>
      </x:c>
      <x:c r="V51" s="36" t="str">
        <x:v>Canonical unit; lesson sequence to be authored from mapped Stepping Stones.</x:v>
      </x:c>
    </x:row>
    <x:row r="52" ht="72" customHeight="1">
      <x:c r="A52" s="35" t="str">
        <x:v>NEO-MATH-Y10-10</x:v>
      </x:c>
      <x:c r="B52" s="28" t="str">
        <x:v>iGCSE Year 1</x:v>
      </x:c>
      <x:c r="C52" s="28" t="str">
        <x:v>Year 10</x:v>
      </x:c>
      <x:c r="D52" s="28" t="n">
        <x:v>10</x:v>
      </x:c>
      <x:c r="E52" s="28" t="str">
        <x:v>Proof &amp; Communication</x:v>
      </x:c>
      <x:c r="F52" s="28" t="str">
        <x:v>The Connected Maths Performance Project</x:v>
      </x:c>
      <x:c r="G52" s="28" t="str">
        <x:v>Can I solve a problem that refuses to stay in one topic?</x:v>
      </x:c>
      <x:c r="H52" s="28" t="str">
        <x:v>identify relevant mathematics; connect domains; choose representations; justify a strategy; evaluate assumptions; communicate a multi-step solution</x:v>
      </x:c>
      <x:c r="I52" s="28" t="str">
        <x:v>Creativity</x:v>
      </x:c>
      <x:c r="J52" s="28" t="str">
        <x:v>Connection, Reflection</x:v>
      </x:c>
      <x:c r="K52" s="28" t="str">
        <x:v>Strong</x:v>
      </x:c>
      <x:c r="L52" s="28" t="str">
        <x:v>Multi-Topic Model Builder</x:v>
      </x:c>
      <x:c r="M52" s="28" t="str">
        <x:v>Blank / context preset</x:v>
      </x:c>
      <x:c r="N52" s="28" t="str">
        <x:v>Year 10 Performance Project</x:v>
      </x:c>
      <x:c r="O52" s="28" t="str">
        <x:v>Pearson Edexcel 4MA1 AO reasoning/problem solving</x:v>
      </x:c>
      <x:c r="P52" s="28" t="str">
        <x:v>4MA1 cross-domain problem solving and reasoning aims</x:v>
      </x:c>
      <x:c r="Q52" s="28" t="str">
        <x:v>Live, Asynchronous, Independent</x:v>
      </x:c>
      <x:c r="R52" s="28" t="str">
        <x:v>Variable; learner chooses project route</x:v>
      </x:c>
      <x:c r="S52" s="28" t="str">
        <x:v>Year 10 units 1-9</x:v>
      </x:c>
      <x:c r="T52" s="28" t="str">
        <x:v>iGCSE Year 2 synthesis</x:v>
      </x:c>
      <x:c r="U52" s="28" t="str">
        <x:v>Planned</x:v>
      </x:c>
      <x:c r="V52" s="36" t="str">
        <x:v>Canonical unit; lesson sequence to be authored from mapped Stepping Stones.</x:v>
      </x:c>
    </x:row>
    <x:row r="53" ht="72" customHeight="1">
      <x:c r="A53" s="35" t="str">
        <x:v>NEO-MATH-Y11-01</x:v>
      </x:c>
      <x:c r="B53" s="28" t="str">
        <x:v>iGCSE Year 2</x:v>
      </x:c>
      <x:c r="C53" s="28" t="str">
        <x:v>Year 11</x:v>
      </x:c>
      <x:c r="D53" s="28" t="n">
        <x:v>1</x:v>
      </x:c>
      <x:c r="E53" s="28" t="str">
        <x:v>Structure &amp; Generalisation</x:v>
      </x:c>
      <x:c r="F53" s="28" t="str">
        <x:v>Advanced Algebra: Structure, Strategy and Proof</x:v>
      </x:c>
      <x:c r="G53" s="28" t="str">
        <x:v>When is an algebraic method more than a procedure?</x:v>
      </x:c>
      <x:c r="H53" s="28" t="str">
        <x:v>manipulate complex expressions; solve quadratics by multiple methods; use algebraic fractions; rearrange harder formulae; construct algebraic proof; choose strategy</x:v>
      </x:c>
      <x:c r="I53" s="28" t="str">
        <x:v>Reflection</x:v>
      </x:c>
      <x:c r="J53" s="28" t="str">
        <x:v>Connection, Creativity</x:v>
      </x:c>
      <x:c r="K53" s="28" t="str">
        <x:v>Strong</x:v>
      </x:c>
      <x:c r="L53" s="28" t="str">
        <x:v>Algebra Route Comparator</x:v>
      </x:c>
      <x:c r="M53" s="28" t="str">
        <x:v>Blank</x:v>
      </x:c>
      <x:c r="N53" s="28" t="str">
        <x:v>Algebra Strategy Commentary</x:v>
      </x:c>
      <x:c r="O53" s="28" t="str">
        <x:v>Pearson Edexcel 4MA1 Higher / Foundation consolidation</x:v>
      </x:c>
      <x:c r="P53" s="28" t="str">
        <x:v>4MA1 2.1-2.4; Higher 2.2-2.3,2.7</x:v>
      </x:c>
      <x:c r="Q53" s="28" t="str">
        <x:v>Live, Asynchronous, Independent</x:v>
      </x:c>
      <x:c r="R53" s="28" t="str">
        <x:v>High; route menu and faded examples</x:v>
      </x:c>
      <x:c r="S53" s="28" t="str">
        <x:v>Year 10 algebra/quadratics</x:v>
      </x:c>
      <x:c r="T53" s="28" t="str">
        <x:v>Non-linear simultaneous equations and functions</x:v>
      </x:c>
      <x:c r="U53" s="28" t="str">
        <x:v>Planned</x:v>
      </x:c>
      <x:c r="V53" s="36" t="str">
        <x:v>Canonical unit; lesson sequence to be authored from mapped Stepping Stones.</x:v>
      </x:c>
    </x:row>
    <x:row r="54" ht="72" customHeight="1">
      <x:c r="A54" s="35" t="str">
        <x:v>NEO-MATH-Y11-02</x:v>
      </x:c>
      <x:c r="B54" s="28" t="str">
        <x:v>iGCSE Year 2</x:v>
      </x:c>
      <x:c r="C54" s="28" t="str">
        <x:v>Year 11</x:v>
      </x:c>
      <x:c r="D54" s="28" t="n">
        <x:v>2</x:v>
      </x:c>
      <x:c r="E54" s="28" t="str">
        <x:v>Change &amp; Functions</x:v>
      </x:c>
      <x:c r="F54" s="28" t="str">
        <x:v>Functions, Transformations and Rates of Change</x:v>
      </x:c>
      <x:c r="G54" s="28" t="str">
        <x:v>How can changing an equation move an entire graph?</x:v>
      </x:c>
      <x:c r="H54" s="28" t="str">
        <x:v>interpret functions; sketch linear/quadratic/cubic/reciprocal/exponential graphs at tier; transform graphs; estimate roots/intersections; interpret gradient/rate</x:v>
      </x:c>
      <x:c r="I54" s="28" t="str">
        <x:v>Movement</x:v>
      </x:c>
      <x:c r="J54" s="28" t="str">
        <x:v>Connection, Reflection</x:v>
      </x:c>
      <x:c r="K54" s="28" t="str">
        <x:v>Strong</x:v>
      </x:c>
      <x:c r="L54" s="28" t="str">
        <x:v>Function Transformation Studio</x:v>
      </x:c>
      <x:c r="M54" s="28" t="str">
        <x:v>Coordinate grid</x:v>
      </x:c>
      <x:c r="N54" s="28" t="str">
        <x:v>Graph Transformation Field Guide</x:v>
      </x:c>
      <x:c r="O54" s="28" t="str">
        <x:v>Pearson Edexcel 4MA1 Higher / Foundation graph content</x:v>
      </x:c>
      <x:c r="P54" s="28" t="str">
        <x:v>4MA1 3.2-3.3; Higher function transformation content</x:v>
      </x:c>
      <x:c r="Q54" s="28" t="str">
        <x:v>Live, Asynchronous, Independent</x:v>
      </x:c>
      <x:c r="R54" s="28" t="str">
        <x:v>High visual; one parameter at a time</x:v>
      </x:c>
      <x:c r="S54" s="28" t="str">
        <x:v>Straight lines and quadratics</x:v>
      </x:c>
      <x:c r="T54" s="28" t="str">
        <x:v>Calculus Higher and graphical solutions</x:v>
      </x:c>
      <x:c r="U54" s="28" t="str">
        <x:v>Planned</x:v>
      </x:c>
      <x:c r="V54" s="36" t="str">
        <x:v>Canonical unit; lesson sequence to be authored from mapped Stepping Stones.</x:v>
      </x:c>
    </x:row>
    <x:row r="55" ht="72" customHeight="1">
      <x:c r="A55" s="35" t="str">
        <x:v>NEO-MATH-Y11-03</x:v>
      </x:c>
      <x:c r="B55" s="28" t="str">
        <x:v>iGCSE Year 2</x:v>
      </x:c>
      <x:c r="C55" s="28" t="str">
        <x:v>Year 11</x:v>
      </x:c>
      <x:c r="D55" s="28" t="n">
        <x:v>3</x:v>
      </x:c>
      <x:c r="E55" s="28" t="str">
        <x:v>Change &amp; Functions</x:v>
      </x:c>
      <x:c r="F55" s="28" t="str">
        <x:v>Motion Graphs: Distance, Speed and Area</x:v>
      </x:c>
      <x:c r="G55" s="28" t="str">
        <x:v>Can a graph show both how fast something moves and how far it travels?</x:v>
      </x:c>
      <x:c r="H55" s="28" t="str">
        <x:v>interpret distance-time/speed-time graphs; calculate gradient as rate; calculate area under speed-time graphs where required; compare average/instantaneous ideas; evaluate models</x:v>
      </x:c>
      <x:c r="I55" s="28" t="str">
        <x:v>Movement</x:v>
      </x:c>
      <x:c r="J55" s="28" t="str">
        <x:v>Reflection, Connection</x:v>
      </x:c>
      <x:c r="K55" s="28" t="str">
        <x:v>Strong</x:v>
      </x:c>
      <x:c r="L55" s="28" t="str">
        <x:v>Motion Graph Animator</x:v>
      </x:c>
      <x:c r="M55" s="28" t="str">
        <x:v>Coordinate grid</x:v>
      </x:c>
      <x:c r="N55" s="28" t="str">
        <x:v>Journey Model Analysis</x:v>
      </x:c>
      <x:c r="O55" s="28" t="str">
        <x:v>Pearson Edexcel 4MA1 Foundation/Higher</x:v>
      </x:c>
      <x:c r="P55" s="28" t="str">
        <x:v>4MA1 graph/rate content; 4.4 average speed; Higher graphical rate extensions</x:v>
      </x:c>
      <x:c r="Q55" s="28" t="str">
        <x:v>Live, Asynchronous, Independent</x:v>
      </x:c>
      <x:c r="R55" s="28" t="str">
        <x:v>High; animation can be paused</x:v>
      </x:c>
      <x:c r="S55" s="28" t="str">
        <x:v>Gradient and compound measures</x:v>
      </x:c>
      <x:c r="T55" s="28" t="str">
        <x:v>Calculus/rates Higher; applied modelling</x:v>
      </x:c>
      <x:c r="U55" s="28" t="str">
        <x:v>Planned</x:v>
      </x:c>
      <x:c r="V55" s="36" t="str">
        <x:v>Canonical unit; lesson sequence to be authored from mapped Stepping Stones.</x:v>
      </x:c>
    </x:row>
    <x:row r="56" ht="72" customHeight="1">
      <x:c r="A56" s="35" t="str">
        <x:v>NEO-MATH-Y11-04</x:v>
      </x:c>
      <x:c r="B56" s="28" t="str">
        <x:v>iGCSE Year 2</x:v>
      </x:c>
      <x:c r="C56" s="28" t="str">
        <x:v>Year 11</x:v>
      </x:c>
      <x:c r="D56" s="28" t="n">
        <x:v>4</x:v>
      </x:c>
      <x:c r="E56" s="28" t="str">
        <x:v>Spatial Reasoning</x:v>
      </x:c>
      <x:c r="F56" s="28" t="str">
        <x:v>Circle Geometry and Proof Chains</x:v>
      </x:c>
      <x:c r="G56" s="28" t="str">
        <x:v>How can one hidden circle fact unlock a proof?</x:v>
      </x:c>
      <x:c r="H56" s="28" t="str">
        <x:v>use circle vocabulary/properties; apply circle theorems at tier; construct proof chains; use tangent/chord facts; state reasons precisely</x:v>
      </x:c>
      <x:c r="I56" s="28" t="str">
        <x:v>Reflection</x:v>
      </x:c>
      <x:c r="J56" s="28" t="str">
        <x:v>Connection, Rest</x:v>
      </x:c>
      <x:c r="K56" s="28" t="str">
        <x:v>Strong</x:v>
      </x:c>
      <x:c r="L56" s="28" t="str">
        <x:v>Circle Theorem Constraint Explorer</x:v>
      </x:c>
      <x:c r="M56" s="28" t="str">
        <x:v>Square grid</x:v>
      </x:c>
      <x:c r="N56" s="28" t="str">
        <x:v>Circle Proof Deck</x:v>
      </x:c>
      <x:c r="O56" s="28" t="str">
        <x:v>Pearson Edexcel 4MA1 Foundation/Higher</x:v>
      </x:c>
      <x:c r="P56" s="28" t="str">
        <x:v>4MA1 4.6-4.7; Higher circle theorem content</x:v>
      </x:c>
      <x:c r="Q56" s="28" t="str">
        <x:v>Live, Asynchronous, Independent</x:v>
      </x:c>
      <x:c r="R56" s="28" t="str">
        <x:v>High visual; slow-look routine</x:v>
      </x:c>
      <x:c r="S56" s="28" t="str">
        <x:v>Angle reasoning</x:v>
      </x:c>
      <x:c r="T56" s="28" t="str">
        <x:v>Vector and geometric proof</x:v>
      </x:c>
      <x:c r="U56" s="28" t="str">
        <x:v>Planned</x:v>
      </x:c>
      <x:c r="V56" s="36" t="str">
        <x:v>Canonical unit; lesson sequence to be authored from mapped Stepping Stones.</x:v>
      </x:c>
    </x:row>
    <x:row r="57" ht="72" customHeight="1">
      <x:c r="A57" s="35" t="str">
        <x:v>NEO-MATH-Y11-05</x:v>
      </x:c>
      <x:c r="B57" s="28" t="str">
        <x:v>iGCSE Year 2</x:v>
      </x:c>
      <x:c r="C57" s="28" t="str">
        <x:v>Year 11</x:v>
      </x:c>
      <x:c r="D57" s="28" t="n">
        <x:v>5</x:v>
      </x:c>
      <x:c r="E57" s="28" t="str">
        <x:v>Spatial Reasoning</x:v>
      </x:c>
      <x:c r="F57" s="28" t="str">
        <x:v>Similarity, Vectors and Transformation Geometry</x:v>
      </x:c>
      <x:c r="G57" s="28" t="str">
        <x:v>How can direction and scale describe geometry without measuring every length?</x:v>
      </x:c>
      <x:c r="H57" s="28" t="str">
        <x:v>use similarity including area/volume scale factors; use vectors at Higher; describe transformations fully; combine geometric reasoning; prove relationships where appropriate</x:v>
      </x:c>
      <x:c r="I57" s="28" t="str">
        <x:v>Connection</x:v>
      </x:c>
      <x:c r="J57" s="28" t="str">
        <x:v>Movement, Reflection</x:v>
      </x:c>
      <x:c r="K57" s="28" t="str">
        <x:v>Strong</x:v>
      </x:c>
      <x:c r="L57" s="28" t="str">
        <x:v>Vector and Similarity Move Lab</x:v>
      </x:c>
      <x:c r="M57" s="28" t="str">
        <x:v>Coordinate grid</x:v>
      </x:c>
      <x:c r="N57" s="28" t="str">
        <x:v>Geometric Relationship Proof</x:v>
      </x:c>
      <x:c r="O57" s="28" t="str">
        <x:v>Pearson Edexcel 4MA1 Foundation/Higher</x:v>
      </x:c>
      <x:c r="P57" s="28" t="str">
        <x:v>4MA1 4.11,5.2; Higher 5.1 and scale-factor extensions</x:v>
      </x:c>
      <x:c r="Q57" s="28" t="str">
        <x:v>Live, Asynchronous, Independent</x:v>
      </x:c>
      <x:c r="R57" s="28" t="str">
        <x:v>High spatial</x:v>
      </x:c>
      <x:c r="S57" s="28" t="str">
        <x:v>Similarity and transformations</x:v>
      </x:c>
      <x:c r="T57" s="28" t="str">
        <x:v>Advanced problem solving</x:v>
      </x:c>
      <x:c r="U57" s="28" t="str">
        <x:v>Planned</x:v>
      </x:c>
      <x:c r="V57" s="36" t="str">
        <x:v>Canonical unit; lesson sequence to be authored from mapped Stepping Stones.</x:v>
      </x:c>
    </x:row>
    <x:row r="58" ht="72" customHeight="1">
      <x:c r="A58" s="35" t="str">
        <x:v>NEO-MATH-Y11-06</x:v>
      </x:c>
      <x:c r="B58" s="28" t="str">
        <x:v>iGCSE Year 2</x:v>
      </x:c>
      <x:c r="C58" s="28" t="str">
        <x:v>Year 11</x:v>
      </x:c>
      <x:c r="D58" s="28" t="n">
        <x:v>6</x:v>
      </x:c>
      <x:c r="E58" s="28" t="str">
        <x:v>Spatial Reasoning</x:v>
      </x:c>
      <x:c r="F58" s="28" t="str">
        <x:v>Trigonometry and 3D Measures</x:v>
      </x:c>
      <x:c r="G58" s="28" t="str">
        <x:v>Where is the right triangle hiding inside a 3D problem?</x:v>
      </x:c>
      <x:c r="H58" s="28" t="str">
        <x:v>apply trig/Pythagoras in 2D/3D; choose trig rules at tier; calculate arcs/sectors; solve surface area/volume problems; use bearings; justify precision</x:v>
      </x:c>
      <x:c r="I58" s="28" t="str">
        <x:v>Movement</x:v>
      </x:c>
      <x:c r="J58" s="28" t="str">
        <x:v>Reflection, Creativity</x:v>
      </x:c>
      <x:c r="K58" s="28" t="str">
        <x:v>Strong</x:v>
      </x:c>
      <x:c r="L58" s="28" t="str">
        <x:v>3D Triangle Finder</x:v>
      </x:c>
      <x:c r="M58" s="28" t="str">
        <x:v>Square grid</x:v>
      </x:c>
      <x:c r="N58" s="28" t="str">
        <x:v>Accessible Structure/Ramp Design</x:v>
      </x:c>
      <x:c r="O58" s="28" t="str">
        <x:v>Pearson Edexcel 4MA1 Foundation/Higher</x:v>
      </x:c>
      <x:c r="P58" s="28" t="str">
        <x:v>4MA1 4.4,4.8-4.10; Higher trig extensions</x:v>
      </x:c>
      <x:c r="Q58" s="28" t="str">
        <x:v>Live, Asynchronous, Independent</x:v>
      </x:c>
      <x:c r="R58" s="28" t="str">
        <x:v>High spatial; manipulable sketch</x:v>
      </x:c>
      <x:c r="S58" s="28" t="str">
        <x:v>Year 10 trig and 3D solids</x:v>
      </x:c>
      <x:c r="T58" s="28" t="str">
        <x:v>Capstone synthesis</x:v>
      </x:c>
      <x:c r="U58" s="28" t="str">
        <x:v>Planned</x:v>
      </x:c>
      <x:c r="V58" s="36" t="str">
        <x:v>Canonical unit; lesson sequence to be authored from mapped Stepping Stones.</x:v>
      </x:c>
    </x:row>
    <x:row r="59" ht="72" customHeight="1">
      <x:c r="A59" s="35" t="str">
        <x:v>NEO-MATH-Y11-07</x:v>
      </x:c>
      <x:c r="B59" s="28" t="str">
        <x:v>iGCSE Year 2</x:v>
      </x:c>
      <x:c r="C59" s="28" t="str">
        <x:v>Year 11</x:v>
      </x:c>
      <x:c r="D59" s="28" t="n">
        <x:v>7</x:v>
      </x:c>
      <x:c r="E59" s="28" t="str">
        <x:v>Data &amp; Uncertainty</x:v>
      </x:c>
      <x:c r="F59" s="28" t="str">
        <x:v>Histograms, Cumulative Frequency and Comparing Distributions</x:v>
      </x:c>
      <x:c r="G59" s="28" t="str">
        <x:v>When does the area of a bar matter more than its height?</x:v>
      </x:c>
      <x:c r="H59" s="28" t="str">
        <x:v>interpret/construct histograms at tier; use frequency density; use cumulative frequency/box plots at tier; compare distributions; justify statistical conclusions</x:v>
      </x:c>
      <x:c r="I59" s="28" t="str">
        <x:v>Reflection</x:v>
      </x:c>
      <x:c r="J59" s="28" t="str">
        <x:v>Connection, Creativity</x:v>
      </x:c>
      <x:c r="K59" s="28" t="str">
        <x:v>Strong</x:v>
      </x:c>
      <x:c r="L59" s="28" t="str">
        <x:v>Frequency Density Visualiser</x:v>
      </x:c>
      <x:c r="M59" s="28" t="str">
        <x:v>Blank / Square grid</x:v>
      </x:c>
      <x:c r="N59" s="28" t="str">
        <x:v>Distribution Comparison Report</x:v>
      </x:c>
      <x:c r="O59" s="28" t="str">
        <x:v>Pearson Edexcel 4MA1 Higher / Foundation statistics content</x:v>
      </x:c>
      <x:c r="P59" s="28" t="str">
        <x:v>4MA1 6.1-6.2; Higher histogram/cumulative frequency extensions</x:v>
      </x:c>
      <x:c r="Q59" s="28" t="str">
        <x:v>Live, Asynchronous, Independent</x:v>
      </x:c>
      <x:c r="R59" s="28" t="str">
        <x:v>High; chart isolation mode</x:v>
      </x:c>
      <x:c r="S59" s="28" t="str">
        <x:v>Grouped data</x:v>
      </x:c>
      <x:c r="T59" s="28" t="str">
        <x:v>Statistical decision making</x:v>
      </x:c>
      <x:c r="U59" s="28" t="str">
        <x:v>Planned</x:v>
      </x:c>
      <x:c r="V59" s="36" t="str">
        <x:v>Canonical unit; lesson sequence to be authored from mapped Stepping Stones.</x:v>
      </x:c>
    </x:row>
    <x:row r="60" ht="72" customHeight="1">
      <x:c r="A60" s="35" t="str">
        <x:v>NEO-MATH-Y11-08</x:v>
      </x:c>
      <x:c r="B60" s="28" t="str">
        <x:v>iGCSE Year 2</x:v>
      </x:c>
      <x:c r="C60" s="28" t="str">
        <x:v>Year 11</x:v>
      </x:c>
      <x:c r="D60" s="28" t="n">
        <x:v>8</x:v>
      </x:c>
      <x:c r="E60" s="28" t="str">
        <x:v>Data &amp; Uncertainty</x:v>
      </x:c>
      <x:c r="F60" s="28" t="str">
        <x:v>Conditional Probability and Decision-Making</x:v>
      </x:c>
      <x:c r="G60" s="28" t="str">
        <x:v>How does what we already know change the probability we should use?</x:v>
      </x:c>
      <x:c r="H60" s="28" t="str">
        <x:v>use Venn/tree diagrams; calculate combined events; update dependent probabilities; use expected frequency; interpret conditional information at tier; communicate risk</x:v>
      </x:c>
      <x:c r="I60" s="28" t="str">
        <x:v>Reflection</x:v>
      </x:c>
      <x:c r="J60" s="28" t="str">
        <x:v>Connection, Movement</x:v>
      </x:c>
      <x:c r="K60" s="28" t="str">
        <x:v>Strong</x:v>
      </x:c>
      <x:c r="L60" s="28" t="str">
        <x:v>Conditional Tree Simulator</x:v>
      </x:c>
      <x:c r="M60" s="28" t="str">
        <x:v>Blank</x:v>
      </x:c>
      <x:c r="N60" s="28" t="str">
        <x:v>Risk Communication Brief</x:v>
      </x:c>
      <x:c r="O60" s="28" t="str">
        <x:v>Pearson Edexcel 4MA1 Foundation/Higher</x:v>
      </x:c>
      <x:c r="P60" s="28" t="str">
        <x:v>4MA1 7.1; Higher dependent/conditional content</x:v>
      </x:c>
      <x:c r="Q60" s="28" t="str">
        <x:v>Live, Asynchronous, Independent</x:v>
      </x:c>
      <x:c r="R60" s="28" t="str">
        <x:v>High; branch-by-branch</x:v>
      </x:c>
      <x:c r="S60" s="28" t="str">
        <x:v>Year 9 probability trees</x:v>
      </x:c>
      <x:c r="T60" s="28" t="str">
        <x:v>Capstone and exam problem solving</x:v>
      </x:c>
      <x:c r="U60" s="28" t="str">
        <x:v>Planned</x:v>
      </x:c>
      <x:c r="V60" s="36" t="str">
        <x:v>Canonical unit; lesson sequence to be authored from mapped Stepping Stones.</x:v>
      </x:c>
    </x:row>
    <x:row r="61" ht="72" customHeight="1">
      <x:c r="A61" s="35" t="str">
        <x:v>NEO-MATH-Y11-09</x:v>
      </x:c>
      <x:c r="B61" s="28" t="str">
        <x:v>iGCSE Year 2</x:v>
      </x:c>
      <x:c r="C61" s="28" t="str">
        <x:v>Year 11</x:v>
      </x:c>
      <x:c r="D61" s="28" t="n">
        <x:v>9</x:v>
      </x:c>
      <x:c r="E61" s="28" t="str">
        <x:v>Proof &amp; Communication</x:v>
      </x:c>
      <x:c r="F61" s="28" t="str">
        <x:v>Exam Problems as Translation</x:v>
      </x:c>
      <x:c r="G61" s="28" t="str">
        <x:v>Can I translate an unfamiliar question into mathematics I already know?</x:v>
      </x:c>
      <x:c r="H61" s="28" t="str">
        <x:v>interpret command words; identify hidden topics; select strategy; reason deductively; show enough working; check units/accuracy; recover after a stuck moment</x:v>
      </x:c>
      <x:c r="I61" s="28" t="str">
        <x:v>Reflection</x:v>
      </x:c>
      <x:c r="J61" s="28" t="str">
        <x:v>Rest, Connection</x:v>
      </x:c>
      <x:c r="K61" s="28" t="str">
        <x:v>Strong</x:v>
      </x:c>
      <x:c r="L61" s="28" t="str">
        <x:v>Question Translation Highlighter</x:v>
      </x:c>
      <x:c r="M61" s="28" t="str">
        <x:v>Blank</x:v>
      </x:c>
      <x:c r="N61" s="28" t="str">
        <x:v>Personal Exam Translation Toolkit</x:v>
      </x:c>
      <x:c r="O61" s="28" t="str">
        <x:v>Pearson Edexcel 4MA1 assessment readiness</x:v>
      </x:c>
      <x:c r="P61" s="28" t="str">
        <x:v>4MA1 cross-domain reasoning, communication and problem-solving aims</x:v>
      </x:c>
      <x:c r="Q61" s="28" t="str">
        <x:v>Live, Asynchronous, Independent</x:v>
      </x:c>
      <x:c r="R61" s="28" t="str">
        <x:v>Variable; timed mode optional</x:v>
      </x:c>
      <x:c r="S61" s="28" t="str">
        <x:v>All iGCSE content</x:v>
      </x:c>
      <x:c r="T61" s="28" t="str">
        <x:v>Final capstone and assessment</x:v>
      </x:c>
      <x:c r="U61" s="28" t="str">
        <x:v>Planned</x:v>
      </x:c>
      <x:c r="V61" s="36" t="str">
        <x:v>Canonical unit; lesson sequence to be authored from mapped Stepping Stones.</x:v>
      </x:c>
    </x:row>
    <x:row r="62" ht="72" customHeight="1">
      <x:c r="A62" s="35" t="str">
        <x:v>NEO-MATH-Y11-10</x:v>
      </x:c>
      <x:c r="B62" s="28" t="str">
        <x:v>iGCSE Year 2</x:v>
      </x:c>
      <x:c r="C62" s="28" t="str">
        <x:v>Year 11</x:v>
      </x:c>
      <x:c r="D62" s="28" t="n">
        <x:v>10</x:v>
      </x:c>
      <x:c r="E62" s="28" t="str">
        <x:v>Modelling</x:v>
      </x:c>
      <x:c r="F62" s="28" t="str">
        <x:v>Mathematics Capstone: Solve, Explain, Evaluate</x:v>
      </x:c>
      <x:c r="G62" s="28" t="str">
        <x:v>What makes a mathematical model useful, honest and limited?</x:v>
      </x:c>
      <x:c r="H62" s="28" t="str">
        <x:v>form a model; combine multiple domains; make assumptions; calculate accurately; interpret results; evaluate limitations; communicate and revise</x:v>
      </x:c>
      <x:c r="I62" s="28" t="str">
        <x:v>Creativity</x:v>
      </x:c>
      <x:c r="J62" s="28" t="str">
        <x:v>Connection, Reflection</x:v>
      </x:c>
      <x:c r="K62" s="28" t="str">
        <x:v>Strong</x:v>
      </x:c>
      <x:c r="L62" s="28" t="str">
        <x:v>Capstone Model Canvas</x:v>
      </x:c>
      <x:c r="M62" s="28" t="str">
        <x:v>Blank / context preset</x:v>
      </x:c>
      <x:c r="N62" s="28" t="str">
        <x:v>Learner-Controlled Maths Capstone Portfolio</x:v>
      </x:c>
      <x:c r="O62" s="28" t="str">
        <x:v>Pearson Edexcel 4MA1 cross-domain overlay</x:v>
      </x:c>
      <x:c r="P62" s="28" t="str">
        <x:v>4MA1 AO problem solving/reasoning; relevant content references selected per project</x:v>
      </x:c>
      <x:c r="Q62" s="28" t="str">
        <x:v>Live, Asynchronous, Independent</x:v>
      </x:c>
      <x:c r="R62" s="28" t="str">
        <x:v>Variable; learner-selected scope</x:v>
      </x:c>
      <x:c r="S62" s="28" t="str">
        <x:v>All curriculum strands</x:v>
      </x:c>
      <x:c r="T62" s="28" t="str">
        <x:v>Portable portfolio / post-16 progression</x:v>
      </x:c>
      <x:c r="U62" s="28" t="str">
        <x:v>Planned</x:v>
      </x:c>
      <x:c r="V62" s="36" t="str">
        <x:v>Canonical unit; lesson sequence to be authored from mapped Stepping Stones.</x:v>
      </x:c>
    </x:row>
    <x:row r="63" ht="72" customHeight="1">
      <x:c r="A63" s="35" t="str">
        <x:v>NEO-MATH-FS-01</x:v>
      </x:c>
      <x:c r="B63" s="28" t="str">
        <x:v>Functional &amp; Applied Mathematics</x:v>
      </x:c>
      <x:c r="C63" s="28" t="str">
        <x:v>FS L1/L2 flexible</x:v>
      </x:c>
      <x:c r="D63" s="28" t="n">
        <x:v>1</x:v>
      </x:c>
      <x:c r="E63" s="28" t="str">
        <x:v>Number Sense</x:v>
      </x:c>
      <x:c r="F63" s="28" t="str">
        <x:v>Everyday Number and Estimation</x:v>
      </x:c>
      <x:c r="G63" s="28" t="str">
        <x:v>How can I tell whether a real-life calculation is believable?</x:v>
      </x:c>
      <x:c r="H63" s="28" t="str">
        <x:v>read/order numbers; calculate with whole numbers/decimals; use negatives; estimate; round; check answers; choose calculator or non-calculator routes</x:v>
      </x:c>
      <x:c r="I63" s="28" t="str">
        <x:v>Reflection</x:v>
      </x:c>
      <x:c r="J63" s="28" t="str">
        <x:v>Rest, Connection</x:v>
      </x:c>
      <x:c r="K63" s="28" t="str">
        <x:v>Strong</x:v>
      </x:c>
      <x:c r="L63" s="28" t="str">
        <x:v>Real-Life Estimate Checker</x:v>
      </x:c>
      <x:c r="M63" s="28" t="str">
        <x:v>Blank</x:v>
      </x:c>
      <x:c r="N63" s="28" t="str">
        <x:v>Reasonableness Checklist with worked examples</x:v>
      </x:c>
      <x:c r="O63" s="28" t="str">
        <x:v>Pearson Functional Skills Maths L1/L2</x:v>
      </x:c>
      <x:c r="P63" s="28" t="str">
        <x:v>FS L1 1-7,10-12,15; FS L2 1-3,9-12</x:v>
      </x:c>
      <x:c r="Q63" s="28" t="str">
        <x:v>Live, Asynchronous, Independent</x:v>
      </x:c>
      <x:c r="R63" s="28" t="str">
        <x:v>Low-Moderate</x:v>
      </x:c>
      <x:c r="S63" s="28" t="str">
        <x:v>Discovery number confidence</x:v>
      </x:c>
      <x:c r="T63" s="28" t="str">
        <x:v>Money and percentages</x:v>
      </x:c>
      <x:c r="U63" s="28" t="str">
        <x:v>Planned</x:v>
      </x:c>
      <x:c r="V63" s="36" t="str">
        <x:v>Canonical unit; lesson sequence to be authored from mapped Stepping Stones.</x:v>
      </x:c>
    </x:row>
    <x:row r="64" ht="72" customHeight="1">
      <x:c r="A64" s="35" t="str">
        <x:v>NEO-MATH-FS-02</x:v>
      </x:c>
      <x:c r="B64" s="28" t="str">
        <x:v>Functional &amp; Applied Mathematics</x:v>
      </x:c>
      <x:c r="C64" s="28" t="str">
        <x:v>FS L1/L2 flexible</x:v>
      </x:c>
      <x:c r="D64" s="28" t="n">
        <x:v>2</x:v>
      </x:c>
      <x:c r="E64" s="28" t="str">
        <x:v>Financial &amp; Applied Reasoning</x:v>
      </x:c>
      <x:c r="F64" s="28" t="str">
        <x:v>Money, Discounts and Budget Choices</x:v>
      </x:c>
      <x:c r="G64" s="28" t="str">
        <x:v>When is the cheapest choice not the best decision?</x:v>
      </x:c>
      <x:c r="H64" s="28" t="str">
        <x:v>calculate money; use percentages; discounts; simple/compound interest by level; tax/budgeting; compare options; explain a decision</x:v>
      </x:c>
      <x:c r="I64" s="28" t="str">
        <x:v>Connection</x:v>
      </x:c>
      <x:c r="J64" s="28" t="str">
        <x:v>Reflection, Nutrition contextual</x:v>
      </x:c>
      <x:c r="K64" s="28" t="str">
        <x:v>Strong</x:v>
      </x:c>
      <x:c r="L64" s="28" t="str">
        <x:v>Budget and Discount Comparator</x:v>
      </x:c>
      <x:c r="M64" s="28" t="str">
        <x:v>Blank</x:v>
      </x:c>
      <x:c r="N64" s="28" t="str">
        <x:v>Personal or Community Budget Decision</x:v>
      </x:c>
      <x:c r="O64" s="28" t="str">
        <x:v>Pearson Functional Skills Maths L1/L2</x:v>
      </x:c>
      <x:c r="P64" s="28" t="str">
        <x:v>FS L1 13-19; FS L2 5-6,13</x:v>
      </x:c>
      <x:c r="Q64" s="28" t="str">
        <x:v>Live, Asynchronous, Independent</x:v>
      </x:c>
      <x:c r="R64" s="28" t="str">
        <x:v>Moderate; context choice</x:v>
      </x:c>
      <x:c r="S64" s="28" t="str">
        <x:v>Everyday number</x:v>
      </x:c>
      <x:c r="T64" s="28" t="str">
        <x:v>Rates of pay and best value</x:v>
      </x:c>
      <x:c r="U64" s="28" t="str">
        <x:v>Planned</x:v>
      </x:c>
      <x:c r="V64" s="36" t="str">
        <x:v>Canonical unit; lesson sequence to be authored from mapped Stepping Stones.</x:v>
      </x:c>
    </x:row>
    <x:row r="65" ht="72" customHeight="1">
      <x:c r="A65" s="35" t="str">
        <x:v>NEO-MATH-FS-03</x:v>
      </x:c>
      <x:c r="B65" s="28" t="str">
        <x:v>Functional &amp; Applied Mathematics</x:v>
      </x:c>
      <x:c r="C65" s="28" t="str">
        <x:v>FS L1/L2 flexible</x:v>
      </x:c>
      <x:c r="D65" s="28" t="n">
        <x:v>3</x:v>
      </x:c>
      <x:c r="E65" s="28" t="str">
        <x:v>Proportional Reasoning</x:v>
      </x:c>
      <x:c r="F65" s="28" t="str">
        <x:v>Recipes, Ratio and Direct Proportion</x:v>
      </x:c>
      <x:c r="G65" s="28" t="str">
        <x:v>How can I scale something without changing its relationship?</x:v>
      </x:c>
      <x:c r="H65" s="28" t="str">
        <x:v>use fractions/FDP equivalence; use simple ratio; direct proportion; inverse proportion at Level 2; scale quantities; interpret units</x:v>
      </x:c>
      <x:c r="I65" s="28" t="str">
        <x:v>Connection</x:v>
      </x:c>
      <x:c r="J65" s="28" t="str">
        <x:v>Movement, Nutrition</x:v>
      </x:c>
      <x:c r="K65" s="28" t="str">
        <x:v>Strong</x:v>
      </x:c>
      <x:c r="L65" s="28" t="str">
        <x:v>Recipe Scaler + Ratio Table Builder</x:v>
      </x:c>
      <x:c r="M65" s="28" t="str">
        <x:v>Ratio table / Double number line</x:v>
      </x:c>
      <x:c r="N65" s="28" t="str">
        <x:v>Scaled Recipe or Resource Plan</x:v>
      </x:c>
      <x:c r="O65" s="28" t="str">
        <x:v>Pearson Functional Skills Maths L1/L2</x:v>
      </x:c>
      <x:c r="P65" s="28" t="str">
        <x:v>FS L1 8-17; FS L2 4-11</x:v>
      </x:c>
      <x:c r="Q65" s="28" t="str">
        <x:v>Live, Asynchronous, Independent</x:v>
      </x:c>
      <x:c r="R65" s="28" t="str">
        <x:v>Moderate</x:v>
      </x:c>
      <x:c r="S65" s="28" t="str">
        <x:v>Everyday number</x:v>
      </x:c>
      <x:c r="T65" s="28" t="str">
        <x:v>Measures and rates</x:v>
      </x:c>
      <x:c r="U65" s="28" t="str">
        <x:v>Prototype adaptable</x:v>
      </x:c>
      <x:c r="V65" s="36" t="str">
        <x:v>Canonical unit; lesson sequence to be authored from mapped Stepping Stones.</x:v>
      </x:c>
    </x:row>
    <x:row r="66" ht="72" customHeight="1">
      <x:c r="A66" s="35" t="str">
        <x:v>NEO-MATH-FS-04</x:v>
      </x:c>
      <x:c r="B66" s="28" t="str">
        <x:v>Functional &amp; Applied Mathematics</x:v>
      </x:c>
      <x:c r="C66" s="28" t="str">
        <x:v>FS L1/L2 flexible</x:v>
      </x:c>
      <x:c r="D66" s="28" t="n">
        <x:v>4</x:v>
      </x:c>
      <x:c r="E66" s="28" t="str">
        <x:v>Financial &amp; Applied Reasoning</x:v>
      </x:c>
      <x:c r="F66" s="28" t="str">
        <x:v>Pay, Speed, Density and Real Rates</x:v>
      </x:c>
      <x:c r="G66" s="28" t="str">
        <x:v>What does ‘per’ really mean in a real decision?</x:v>
      </x:c>
      <x:c r="H66" s="28" t="str">
        <x:v>calculate unit rates; rates of pay; speed/density at Level 2; compare offers; convert units; interpret compound measures</x:v>
      </x:c>
      <x:c r="I66" s="28" t="str">
        <x:v>Connection</x:v>
      </x:c>
      <x:c r="J66" s="28" t="str">
        <x:v>Reflection, Movement</x:v>
      </x:c>
      <x:c r="K66" s="28" t="str">
        <x:v>Strong</x:v>
      </x:c>
      <x:c r="L66" s="28" t="str">
        <x:v>Rate Comparator</x:v>
      </x:c>
      <x:c r="M66" s="28" t="str">
        <x:v>Double number line</x:v>
      </x:c>
      <x:c r="N66" s="28" t="str">
        <x:v>Work/Travel Rate Recommendation</x:v>
      </x:c>
      <x:c r="O66" s="28" t="str">
        <x:v>Pearson Functional Skills Maths L1/L2</x:v>
      </x:c>
      <x:c r="P66" s="28" t="str">
        <x:v>FS L1 direct proportion bridge; FS L2 15 and related number content</x:v>
      </x:c>
      <x:c r="Q66" s="28" t="str">
        <x:v>Live, Asynchronous, Independent</x:v>
      </x:c>
      <x:c r="R66" s="28" t="str">
        <x:v>Moderate</x:v>
      </x:c>
      <x:c r="S66" s="28" t="str">
        <x:v>Ratio and money</x:v>
      </x:c>
      <x:c r="T66" s="28" t="str">
        <x:v>Travel and scheduling</x:v>
      </x:c>
      <x:c r="U66" s="28" t="str">
        <x:v>Planned</x:v>
      </x:c>
      <x:c r="V66" s="36" t="str">
        <x:v>Canonical unit; lesson sequence to be authored from mapped Stepping Stones.</x:v>
      </x:c>
    </x:row>
    <x:row r="67" ht="72" customHeight="1">
      <x:c r="A67" s="35" t="str">
        <x:v>NEO-MATH-FS-05</x:v>
      </x:c>
      <x:c r="B67" s="28" t="str">
        <x:v>Functional &amp; Applied Mathematics</x:v>
      </x:c>
      <x:c r="C67" s="28" t="str">
        <x:v>FS L1/L2 flexible</x:v>
      </x:c>
      <x:c r="D67" s="28" t="n">
        <x:v>5</x:v>
      </x:c>
      <x:c r="E67" s="28" t="str">
        <x:v>Spatial Reasoning</x:v>
      </x:c>
      <x:c r="F67" s="28" t="str">
        <x:v>Measure, Scale and Making Things Fit</x:v>
      </x:c>
      <x:c r="G67" s="28" t="str">
        <x:v>How can a drawing help me know whether something will fit in real space?</x:v>
      </x:c>
      <x:c r="H67" s="28" t="str">
        <x:v>convert units; use scales/maps; perimeter/area; volume; plans/elevations/nets; angles/coordinates by level; calculate actual dimensions</x:v>
      </x:c>
      <x:c r="I67" s="28" t="str">
        <x:v>Creativity</x:v>
      </x:c>
      <x:c r="J67" s="28" t="str">
        <x:v>Movement, Reflection</x:v>
      </x:c>
      <x:c r="K67" s="28" t="str">
        <x:v>Strong</x:v>
      </x:c>
      <x:c r="L67" s="28" t="str">
        <x:v>Fit-the-Space Planner</x:v>
      </x:c>
      <x:c r="M67" s="28" t="str">
        <x:v>Square grid</x:v>
      </x:c>
      <x:c r="N67" s="28" t="str">
        <x:v>Room, Storage or Event Layout</x:v>
      </x:c>
      <x:c r="O67" s="28" t="str">
        <x:v>Pearson Functional Skills Maths L1/L2</x:v>
      </x:c>
      <x:c r="P67" s="28" t="str">
        <x:v>FS L1 20-26; FS L2 14,16-22</x:v>
      </x:c>
      <x:c r="Q67" s="28" t="str">
        <x:v>Live, Asynchronous, Independent</x:v>
      </x:c>
      <x:c r="R67" s="28" t="str">
        <x:v>Moderate-High spatial</x:v>
      </x:c>
      <x:c r="S67" s="28" t="str">
        <x:v>Number and ratio</x:v>
      </x:c>
      <x:c r="T67" s="28" t="str">
        <x:v>Applied design project</x:v>
      </x:c>
      <x:c r="U67" s="28" t="str">
        <x:v>Planned</x:v>
      </x:c>
      <x:c r="V67" s="36" t="str">
        <x:v>Canonical unit; lesson sequence to be authored from mapped Stepping Stones.</x:v>
      </x:c>
    </x:row>
    <x:row r="68" ht="72" customHeight="1">
      <x:c r="A68" s="35" t="str">
        <x:v>NEO-MATH-FS-06</x:v>
      </x:c>
      <x:c r="B68" s="28" t="str">
        <x:v>Functional &amp; Applied Mathematics</x:v>
      </x:c>
      <x:c r="C68" s="28" t="str">
        <x:v>FS L1/L2 flexible</x:v>
      </x:c>
      <x:c r="D68" s="28" t="n">
        <x:v>6</x:v>
      </x:c>
      <x:c r="E68" s="28" t="str">
        <x:v>Financial &amp; Applied Reasoning</x:v>
      </x:c>
      <x:c r="F68" s="28" t="str">
        <x:v>Time, Travel and Scheduling</x:v>
      </x:c>
      <x:c r="G68" s="28" t="str">
        <x:v>Can a schedule be mathematically possible but still unrealistic?</x:v>
      </x:c>
      <x:c r="H68" s="28" t="str">
        <x:v>calculate time intervals; read timetables; use speed/distance/time at Level 2; compare routes; use money; build contingency; explain assumptions</x:v>
      </x:c>
      <x:c r="I68" s="28" t="str">
        <x:v>Reflection</x:v>
      </x:c>
      <x:c r="J68" s="28" t="str">
        <x:v>Movement, Connection</x:v>
      </x:c>
      <x:c r="K68" s="28" t="str">
        <x:v>Strong</x:v>
      </x:c>
      <x:c r="L68" s="28" t="str">
        <x:v>Journey Schedule Builder</x:v>
      </x:c>
      <x:c r="M68" s="28" t="str">
        <x:v>Blank</x:v>
      </x:c>
      <x:c r="N68" s="28" t="str">
        <x:v>Travel Plan with Contingency</x:v>
      </x:c>
      <x:c r="O68" s="28" t="str">
        <x:v>Pearson Functional Skills Maths L1/L2</x:v>
      </x:c>
      <x:c r="P68" s="28" t="str">
        <x:v>FS L1 20 and problem solving; FS L2 14-15 and problem solving</x:v>
      </x:c>
      <x:c r="Q68" s="28" t="str">
        <x:v>Live, Asynchronous, Independent</x:v>
      </x:c>
      <x:c r="R68" s="28" t="str">
        <x:v>Moderate</x:v>
      </x:c>
      <x:c r="S68" s="28" t="str">
        <x:v>Rates and measure</x:v>
      </x:c>
      <x:c r="T68" s="28" t="str">
        <x:v>Multi-step decision making</x:v>
      </x:c>
      <x:c r="U68" s="28" t="str">
        <x:v>Planned</x:v>
      </x:c>
      <x:c r="V68" s="36" t="str">
        <x:v>Canonical unit; lesson sequence to be authored from mapped Stepping Stones.</x:v>
      </x:c>
    </x:row>
    <x:row r="69" ht="72" customHeight="1">
      <x:c r="A69" s="35" t="str">
        <x:v>NEO-MATH-FS-07</x:v>
      </x:c>
      <x:c r="B69" s="28" t="str">
        <x:v>Functional &amp; Applied Mathematics</x:v>
      </x:c>
      <x:c r="C69" s="28" t="str">
        <x:v>FS L1/L2 flexible</x:v>
      </x:c>
      <x:c r="D69" s="28" t="n">
        <x:v>7</x:v>
      </x:c>
      <x:c r="E69" s="28" t="str">
        <x:v>Data &amp; Uncertainty</x:v>
      </x:c>
      <x:c r="F69" s="28" t="str">
        <x:v>Charts, Averages and Claims</x:v>
      </x:c>
      <x:c r="G69" s="28" t="str">
        <x:v>Can a chart be accurate and still mislead me?</x:v>
      </x:c>
      <x:c r="H69" s="28" t="str">
        <x:v>read/construct charts; group data; calculate averages/range by level; compare data sets; interpret scatter/correlation at L2; critique a claim</x:v>
      </x:c>
      <x:c r="I69" s="28" t="str">
        <x:v>Reflection</x:v>
      </x:c>
      <x:c r="J69" s="28" t="str">
        <x:v>Connection, Creativity</x:v>
      </x:c>
      <x:c r="K69" s="28" t="str">
        <x:v>Strong</x:v>
      </x:c>
      <x:c r="L69" s="28" t="str">
        <x:v>Misleading Chart Studio</x:v>
      </x:c>
      <x:c r="M69" s="28" t="str">
        <x:v>Blank</x:v>
      </x:c>
      <x:c r="N69" s="28" t="str">
        <x:v>Claim Check Report</x:v>
      </x:c>
      <x:c r="O69" s="28" t="str">
        <x:v>Pearson Functional Skills Maths L1/L2</x:v>
      </x:c>
      <x:c r="P69" s="28" t="str">
        <x:v>FS L1 27-29; FS L2 23-25,28</x:v>
      </x:c>
      <x:c r="Q69" s="28" t="str">
        <x:v>Live, Asynchronous, Independent</x:v>
      </x:c>
      <x:c r="R69" s="28" t="str">
        <x:v>Moderate</x:v>
      </x:c>
      <x:c r="S69" s="28" t="str">
        <x:v>Everyday number</x:v>
      </x:c>
      <x:c r="T69" s="28" t="str">
        <x:v>Probability and combined evidence</x:v>
      </x:c>
      <x:c r="U69" s="28" t="str">
        <x:v>Planned</x:v>
      </x:c>
      <x:c r="V69" s="36" t="str">
        <x:v>Canonical unit; lesson sequence to be authored from mapped Stepping Stones.</x:v>
      </x:c>
    </x:row>
    <x:row r="70" ht="72" customHeight="1">
      <x:c r="A70" s="35" t="str">
        <x:v>NEO-MATH-FS-08</x:v>
      </x:c>
      <x:c r="B70" s="28" t="str">
        <x:v>Functional &amp; Applied Mathematics</x:v>
      </x:c>
      <x:c r="C70" s="28" t="str">
        <x:v>FS L1/L2 flexible</x:v>
      </x:c>
      <x:c r="D70" s="28" t="n">
        <x:v>8</x:v>
      </x:c>
      <x:c r="E70" s="28" t="str">
        <x:v>Data &amp; Uncertainty</x:v>
      </x:c>
      <x:c r="F70" s="28" t="str">
        <x:v>Probability, Risk and Everyday Decisions</x:v>
      </x:c>
      <x:c r="G70" s="28" t="str">
        <x:v>How should I talk about a risk when nothing is guaranteed?</x:v>
      </x:c>
      <x:c r="H70" s="28" t="str">
        <x:v>use probability scale; calculate simple events; express probability in multiple forms at L2; use combined events/tables at L2; interpret likelihood</x:v>
      </x:c>
      <x:c r="I70" s="28" t="str">
        <x:v>Reflection</x:v>
      </x:c>
      <x:c r="J70" s="28" t="str">
        <x:v>Connection, Rest</x:v>
      </x:c>
      <x:c r="K70" s="28" t="str">
        <x:v>Strong</x:v>
      </x:c>
      <x:c r="L70" s="28" t="str">
        <x:v>Risk Language and Probability Simulator</x:v>
      </x:c>
      <x:c r="M70" s="28" t="str">
        <x:v>Blank</x:v>
      </x:c>
      <x:c r="N70" s="28" t="str">
        <x:v>Everyday Risk Communication Card</x:v>
      </x:c>
      <x:c r="O70" s="28" t="str">
        <x:v>Pearson Functional Skills Maths L1/L2</x:v>
      </x:c>
      <x:c r="P70" s="28" t="str">
        <x:v>FS L1 30-31; FS L2 26-27</x:v>
      </x:c>
      <x:c r="Q70" s="28" t="str">
        <x:v>Live, Asynchronous, Independent</x:v>
      </x:c>
      <x:c r="R70" s="28" t="str">
        <x:v>Moderate; uncertainty normalised</x:v>
      </x:c>
      <x:c r="S70" s="28" t="str">
        <x:v>Charts and fractions</x:v>
      </x:c>
      <x:c r="T70" s="28" t="str">
        <x:v>Decision project</x:v>
      </x:c>
      <x:c r="U70" s="28" t="str">
        <x:v>Planned</x:v>
      </x:c>
      <x:c r="V70" s="36" t="str">
        <x:v>Canonical unit; lesson sequence to be authored from mapped Stepping Stones.</x:v>
      </x:c>
    </x:row>
    <x:row r="71" ht="72" customHeight="1">
      <x:c r="A71" s="35" t="str">
        <x:v>NEO-MATH-FS-09</x:v>
      </x:c>
      <x:c r="B71" s="28" t="str">
        <x:v>Functional &amp; Applied Mathematics</x:v>
      </x:c>
      <x:c r="C71" s="28" t="str">
        <x:v>FS L1/L2 flexible</x:v>
      </x:c>
      <x:c r="D71" s="28" t="n">
        <x:v>9</x:v>
      </x:c>
      <x:c r="E71" s="28" t="str">
        <x:v>Modelling</x:v>
      </x:c>
      <x:c r="F71" s="28" t="str">
        <x:v>Applied Decision Project</x:v>
      </x:c>
      <x:c r="G71" s="28" t="str">
        <x:v>Can I turn a messy real situation into a clear mathematical decision?</x:v>
      </x:c>
      <x:c r="H71" s="28" t="str">
        <x:v>identify information; plan multiple steps; combine content areas; calculate to required accuracy; interpret; check reasonableness; present a recommendation</x:v>
      </x:c>
      <x:c r="I71" s="28" t="str">
        <x:v>Creativity</x:v>
      </x:c>
      <x:c r="J71" s="28" t="str">
        <x:v>Connection, Reflection</x:v>
      </x:c>
      <x:c r="K71" s="28" t="str">
        <x:v>Strong</x:v>
      </x:c>
      <x:c r="L71" s="28" t="str">
        <x:v>Applied Decision Canvas</x:v>
      </x:c>
      <x:c r="M71" s="28" t="str">
        <x:v>Blank</x:v>
      </x:c>
      <x:c r="N71" s="28" t="str">
        <x:v>Multi-Step Applied Decision Portfolio</x:v>
      </x:c>
      <x:c r="O71" s="28" t="str">
        <x:v>Pearson Functional Skills Maths L1/L2</x:v>
      </x:c>
      <x:c r="P71" s="28" t="str">
        <x:v>FS L1/L2 problem solving and decision making; 75% assessment emphasis on applied problem solving</x:v>
      </x:c>
      <x:c r="Q71" s="28" t="str">
        <x:v>Live, Asynchronous, Independent</x:v>
      </x:c>
      <x:c r="R71" s="28" t="str">
        <x:v>Variable; context choice</x:v>
      </x:c>
      <x:c r="S71" s="28" t="str">
        <x:v>Functional units 1-8</x:v>
      </x:c>
      <x:c r="T71" s="28" t="str">
        <x:v>Assessment readiness / progression</x:v>
      </x:c>
      <x:c r="U71" s="28" t="str">
        <x:v>Planned</x:v>
      </x:c>
      <x:c r="V71" s="36" t="str">
        <x:v>Canonical unit; lesson sequence to be authored from mapped Stepping Stones.</x:v>
      </x:c>
    </x:row>
    <x:row r="72" ht="72" customHeight="1">
      <x:c r="A72" s="37" t="str">
        <x:v>NEO-MATH-FS-10</x:v>
      </x:c>
      <x:c r="B72" s="38" t="str">
        <x:v>Functional &amp; Applied Mathematics</x:v>
      </x:c>
      <x:c r="C72" s="38" t="str">
        <x:v>FS L1/L2 flexible</x:v>
      </x:c>
      <x:c r="D72" s="38" t="n">
        <x:v>10</x:v>
      </x:c>
      <x:c r="E72" s="38" t="str">
        <x:v>Self-Regulated Mathematical Learning</x:v>
      </x:c>
      <x:c r="F72" s="38" t="str">
        <x:v>Functional Skills Assessment Navigation</x:v>
      </x:c>
      <x:c r="G72" s="38" t="str">
        <x:v>How can I stay oriented when a problem has several steps and lots of words?</x:v>
      </x:c>
      <x:c r="H72" s="38" t="str">
        <x:v>read mathematical information; identify operations; plan steps; use required accuracy; check sense; explain results; use calculator/non-calculator strategies</x:v>
      </x:c>
      <x:c r="I72" s="38" t="str">
        <x:v>Rest</x:v>
      </x:c>
      <x:c r="J72" s="38" t="str">
        <x:v>Reflection, Connection</x:v>
      </x:c>
      <x:c r="K72" s="38" t="str">
        <x:v>Strong</x:v>
      </x:c>
      <x:c r="L72" s="38" t="str">
        <x:v>Problem Step Mapper</x:v>
      </x:c>
      <x:c r="M72" s="38" t="str">
        <x:v>Blank</x:v>
      </x:c>
      <x:c r="N72" s="38" t="str">
        <x:v>Personal Problem-Solving Navigation Card</x:v>
      </x:c>
      <x:c r="O72" s="38" t="str">
        <x:v>Pearson Functional Skills Maths L1/L2</x:v>
      </x:c>
      <x:c r="P72" s="38" t="str">
        <x:v>FS L1/L2 problem solving criteria; Section A non-calculator and Section B calculator structure</x:v>
      </x:c>
      <x:c r="Q72" s="38" t="str">
        <x:v>Live, Asynchronous, Independent</x:v>
      </x:c>
      <x:c r="R72" s="38" t="str">
        <x:v>Moderate; chunked text and step reveal</x:v>
      </x:c>
      <x:c r="S72" s="38" t="str">
        <x:v>Applied decision project</x:v>
      </x:c>
      <x:c r="T72" s="38" t="str">
        <x:v>On-demand assessment / next pathway</x:v>
      </x:c>
      <x:c r="U72" s="38" t="str">
        <x:v>Planned</x:v>
      </x:c>
      <x:c r="V72" s="39" t="str">
        <x:v>Canonical unit; lesson sequence to be authored from mapped Stepping Stones.</x:v>
      </x:c>
    </x:row>
  </x:sheetData>
  <x:mergeCells>
    <x:mergeCell ref="A1:V1"/>
    <x:mergeCell ref="A2:V2"/>
  </x:mergeCells>
  <x:conditionalFormatting sqref="U5:U72">
    <x:cfRule type="expression" dxfId="0" priority="1">
      <x:formula>ISNUMBER(SEARCH("Locked",U5))</x:formula>
    </x:cfRule>
  </x:conditionalFormatting>
  <x:conditionalFormatting sqref="R5:R72">
    <x:cfRule type="expression" dxfId="1" priority="2">
      <x:formula>ISNUMBER(SEARCH("High",R5))</x:formula>
    </x:cfRule>
  </x:conditionalFormatting>
  <x:dataValidations count="2">
    <x:dataValidation type="list" sqref="K5:K72">
      <x:formula1>"Strong,Partial,Contextual"</x:formula1>
    </x:dataValidation>
    <x:dataValidation type="list" sqref="U5:U72">
      <x:formula1>"Planned,Prototype idea,Prototype adaptable,Designed,Reference prototype lineage,Prototype adaptable,Locked reference prototype,Planned"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5d30e6167c41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6" hidden="0" customWidth="1"/>
    <x:col min="4" max="4" width="18" hidden="0" customWidth="1"/>
    <x:col min="5" max="5" width="24" hidden="0" customWidth="1"/>
    <x:col min="6" max="6" width="32" hidden="0" customWidth="1"/>
    <x:col min="7" max="7" width="58" hidden="0" customWidth="1"/>
    <x:col min="8" max="8" width="20" hidden="0" customWidth="1"/>
    <x:col min="9" max="9" width="28" hidden="0" customWidth="1"/>
    <x:col min="10" max="10" width="28" hidden="0" customWidth="1"/>
    <x:col min="11" max="11" width="42" hidden="0" customWidth="1"/>
    <x:col min="12" max="12" width="34" hidden="0" customWidth="1"/>
    <x:col min="13" max="13" width="34" hidden="0" customWidth="1"/>
  </x:cols>
  <x:sheetData>
    <x:row r="1" ht="28" customHeight="1">
      <x:c r="A1" s="5" t="str">
        <x:v>NEO Mathematics Canonical Stepping Stones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2" t="str">
        <x:v>One row per canonical learner-facing outcome. These are the portable curriculum nodes that evidence can attach to, independently of qualification pathway.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32" t="str">
        <x:v>Stepping Stone ID</x:v>
      </x:c>
      <x:c r="B4" s="33" t="str">
        <x:v>Unit ID</x:v>
      </x:c>
      <x:c r="C4" s="33" t="str">
        <x:v>Pathway</x:v>
      </x:c>
      <x:c r="D4" s="33" t="str">
        <x:v>Year / Stage</x:v>
      </x:c>
      <x:c r="E4" s="33" t="str">
        <x:v>Strand</x:v>
      </x:c>
      <x:c r="F4" s="33" t="str">
        <x:v>Unit Title</x:v>
      </x:c>
      <x:c r="G4" s="33" t="str">
        <x:v>Canonical Learning Statement</x:v>
      </x:c>
      <x:c r="H4" s="33" t="str">
        <x:v>Primary Cornerstone</x:v>
      </x:c>
      <x:c r="I4" s="33" t="str">
        <x:v>Secondary Cornerstones</x:v>
      </x:c>
      <x:c r="J4" s="33" t="str">
        <x:v>Mode(s)</x:v>
      </x:c>
      <x:c r="K4" s="33" t="str">
        <x:v>Suggested Evidence Types</x:v>
      </x:c>
      <x:c r="L4" s="33" t="str">
        <x:v>Prerequisite Connection</x:v>
      </x:c>
      <x:c r="M4" s="34" t="str">
        <x:v>Next Connection</x:v>
      </x:c>
    </x:row>
    <x:row r="5" ht="54" customHeight="1">
      <x:c r="A5" s="35" t="str">
        <x:v>NEO-MATH-DISC-01-SRL-01</x:v>
      </x:c>
      <x:c r="B5" s="28" t="str">
        <x:v>NEO-MATH-DISC-01</x:v>
      </x:c>
      <x:c r="C5" s="28" t="str">
        <x:v>Discovery / Reconnection</x:v>
      </x:c>
      <x:c r="D5" s="28" t="str">
        <x:v>Flexible entry</x:v>
      </x:c>
      <x:c r="E5" s="28" t="str">
        <x:v>Self-Regulated Mathematical Learning</x:v>
      </x:c>
      <x:c r="F5" s="28" t="str">
        <x:v>Finding My Maths Starting Point</x:v>
      </x:c>
      <x:c r="G5" s="28" t="str">
        <x:v>Notice mathematical strengths</x:v>
      </x:c>
      <x:c r="H5" s="28" t="str">
        <x:v>Connection</x:v>
      </x:c>
      <x:c r="I5" s="28" t="str">
        <x:v>Reflection, Rest</x:v>
      </x:c>
      <x:c r="J5" s="28" t="str">
        <x:v>Live, Asynchronous, Independent</x:v>
      </x:c>
      <x:c r="K5" s="28" t="str">
        <x:v>Explanation; interactive choices; Scratchpad working; portfolio evidence</x:v>
      </x:c>
      <x:c r="L5" s="28" t="str">
        <x:v>None</x:v>
      </x:c>
      <x:c r="M5" s="36" t="str">
        <x:v>Place value; calculation; FDP; applied routes</x:v>
      </x:c>
    </x:row>
    <x:row r="6" ht="54" customHeight="1">
      <x:c r="A6" s="35" t="str">
        <x:v>NEO-MATH-DISC-01-SRL-02</x:v>
      </x:c>
      <x:c r="B6" s="28" t="str">
        <x:v>NEO-MATH-DISC-01</x:v>
      </x:c>
      <x:c r="C6" s="28" t="str">
        <x:v>Discovery / Reconnection</x:v>
      </x:c>
      <x:c r="D6" s="28" t="str">
        <x:v>Flexible entry</x:v>
      </x:c>
      <x:c r="E6" s="28" t="str">
        <x:v>Self-Regulated Mathematical Learning</x:v>
      </x:c>
      <x:c r="F6" s="28" t="str">
        <x:v>Finding My Maths Starting Point</x:v>
      </x:c>
      <x:c r="G6" s="28" t="str">
        <x:v>Try different representations</x:v>
      </x:c>
      <x:c r="H6" s="28" t="str">
        <x:v>Connection</x:v>
      </x:c>
      <x:c r="I6" s="28" t="str">
        <x:v>Reflection, Rest</x:v>
      </x:c>
      <x:c r="J6" s="28" t="str">
        <x:v>Live, Asynchronous, Independent</x:v>
      </x:c>
      <x:c r="K6" s="28" t="str">
        <x:v>Explanation; interactive choices; Scratchpad working; portfolio evidence</x:v>
      </x:c>
      <x:c r="L6" s="28" t="str">
        <x:v>None</x:v>
      </x:c>
      <x:c r="M6" s="36" t="str">
        <x:v>Place value; calculation; FDP; applied routes</x:v>
      </x:c>
    </x:row>
    <x:row r="7" ht="54" customHeight="1">
      <x:c r="A7" s="35" t="str">
        <x:v>NEO-MATH-DISC-01-SRL-03</x:v>
      </x:c>
      <x:c r="B7" s="28" t="str">
        <x:v>NEO-MATH-DISC-01</x:v>
      </x:c>
      <x:c r="C7" s="28" t="str">
        <x:v>Discovery / Reconnection</x:v>
      </x:c>
      <x:c r="D7" s="28" t="str">
        <x:v>Flexible entry</x:v>
      </x:c>
      <x:c r="E7" s="28" t="str">
        <x:v>Self-Regulated Mathematical Learning</x:v>
      </x:c>
      <x:c r="F7" s="28" t="str">
        <x:v>Finding My Maths Starting Point</x:v>
      </x:c>
      <x:c r="G7" s="28" t="str">
        <x:v>Use support tools</x:v>
      </x:c>
      <x:c r="H7" s="28" t="str">
        <x:v>Connection</x:v>
      </x:c>
      <x:c r="I7" s="28" t="str">
        <x:v>Reflection, Rest</x:v>
      </x:c>
      <x:c r="J7" s="28" t="str">
        <x:v>Live, Asynchronous, Independent</x:v>
      </x:c>
      <x:c r="K7" s="28" t="str">
        <x:v>Explanation; interactive choices; Scratchpad working; portfolio evidence</x:v>
      </x:c>
      <x:c r="L7" s="28" t="str">
        <x:v>None</x:v>
      </x:c>
      <x:c r="M7" s="36" t="str">
        <x:v>Place value; calculation; FDP; applied routes</x:v>
      </x:c>
    </x:row>
    <x:row r="8" ht="54" customHeight="1">
      <x:c r="A8" s="35" t="str">
        <x:v>NEO-MATH-DISC-01-SRL-04</x:v>
      </x:c>
      <x:c r="B8" s="28" t="str">
        <x:v>NEO-MATH-DISC-01</x:v>
      </x:c>
      <x:c r="C8" s="28" t="str">
        <x:v>Discovery / Reconnection</x:v>
      </x:c>
      <x:c r="D8" s="28" t="str">
        <x:v>Flexible entry</x:v>
      </x:c>
      <x:c r="E8" s="28" t="str">
        <x:v>Self-Regulated Mathematical Learning</x:v>
      </x:c>
      <x:c r="F8" s="28" t="str">
        <x:v>Finding My Maths Starting Point</x:v>
      </x:c>
      <x:c r="G8" s="28" t="str">
        <x:v>Explain what helps</x:v>
      </x:c>
      <x:c r="H8" s="28" t="str">
        <x:v>Connection</x:v>
      </x:c>
      <x:c r="I8" s="28" t="str">
        <x:v>Reflection, Rest</x:v>
      </x:c>
      <x:c r="J8" s="28" t="str">
        <x:v>Live, Asynchronous, Independent</x:v>
      </x:c>
      <x:c r="K8" s="28" t="str">
        <x:v>Explanation; interactive choices; Scratchpad working; portfolio evidence</x:v>
      </x:c>
      <x:c r="L8" s="28" t="str">
        <x:v>None</x:v>
      </x:c>
      <x:c r="M8" s="36" t="str">
        <x:v>Place value; calculation; FDP; applied routes</x:v>
      </x:c>
    </x:row>
    <x:row r="9" ht="54" customHeight="1">
      <x:c r="A9" s="35" t="str">
        <x:v>NEO-MATH-DISC-01-SRL-05</x:v>
      </x:c>
      <x:c r="B9" s="28" t="str">
        <x:v>NEO-MATH-DISC-01</x:v>
      </x:c>
      <x:c r="C9" s="28" t="str">
        <x:v>Discovery / Reconnection</x:v>
      </x:c>
      <x:c r="D9" s="28" t="str">
        <x:v>Flexible entry</x:v>
      </x:c>
      <x:c r="E9" s="28" t="str">
        <x:v>Self-Regulated Mathematical Learning</x:v>
      </x:c>
      <x:c r="F9" s="28" t="str">
        <x:v>Finding My Maths Starting Point</x:v>
      </x:c>
      <x:c r="G9" s="28" t="str">
        <x:v>Choose a next Stepping Stone</x:v>
      </x:c>
      <x:c r="H9" s="28" t="str">
        <x:v>Connection</x:v>
      </x:c>
      <x:c r="I9" s="28" t="str">
        <x:v>Reflection, Rest</x:v>
      </x:c>
      <x:c r="J9" s="28" t="str">
        <x:v>Live, Asynchronous, Independent</x:v>
      </x:c>
      <x:c r="K9" s="28" t="str">
        <x:v>Explanation; interactive choices; Scratchpad working; portfolio evidence</x:v>
      </x:c>
      <x:c r="L9" s="28" t="str">
        <x:v>None</x:v>
      </x:c>
      <x:c r="M9" s="36" t="str">
        <x:v>Place value; calculation; FDP; applied routes</x:v>
      </x:c>
    </x:row>
    <x:row r="10" ht="54" customHeight="1">
      <x:c r="A10" s="35" t="str">
        <x:v>NEO-MATH-DISC-02-NUM-01</x:v>
      </x:c>
      <x:c r="B10" s="28" t="str">
        <x:v>NEO-MATH-DISC-02</x:v>
      </x:c>
      <x:c r="C10" s="28" t="str">
        <x:v>Discovery / Reconnection</x:v>
      </x:c>
      <x:c r="D10" s="28" t="str">
        <x:v>Flexible entry</x:v>
      </x:c>
      <x:c r="E10" s="28" t="str">
        <x:v>Number Sense</x:v>
      </x:c>
      <x:c r="F10" s="28" t="str">
        <x:v>Numbers I Can Trust</x:v>
      </x:c>
      <x:c r="G10" s="28" t="str">
        <x:v>Read and compare integers and decimals</x:v>
      </x:c>
      <x:c r="H10" s="28" t="str">
        <x:v>Rest</x:v>
      </x:c>
      <x:c r="I10" s="28" t="str">
        <x:v>Connection, Reflection</x:v>
      </x:c>
      <x:c r="J10" s="28" t="str">
        <x:v>Live, Asynchronous, Independent</x:v>
      </x:c>
      <x:c r="K10" s="28" t="str">
        <x:v>Explanation; interactive choices; Scratchpad working; portfolio evidence</x:v>
      </x:c>
      <x:c r="L10" s="28" t="str">
        <x:v>Maths Route Finder</x:v>
      </x:c>
      <x:c r="M10" s="36" t="str">
        <x:v>Operations and equivalence</x:v>
      </x:c>
    </x:row>
    <x:row r="11" ht="54" customHeight="1">
      <x:c r="A11" s="35" t="str">
        <x:v>NEO-MATH-DISC-02-NUM-02</x:v>
      </x:c>
      <x:c r="B11" s="28" t="str">
        <x:v>NEO-MATH-DISC-02</x:v>
      </x:c>
      <x:c r="C11" s="28" t="str">
        <x:v>Discovery / Reconnection</x:v>
      </x:c>
      <x:c r="D11" s="28" t="str">
        <x:v>Flexible entry</x:v>
      </x:c>
      <x:c r="E11" s="28" t="str">
        <x:v>Number Sense</x:v>
      </x:c>
      <x:c r="F11" s="28" t="str">
        <x:v>Numbers I Can Trust</x:v>
      </x:c>
      <x:c r="G11" s="28" t="str">
        <x:v>Use place value</x:v>
      </x:c>
      <x:c r="H11" s="28" t="str">
        <x:v>Rest</x:v>
      </x:c>
      <x:c r="I11" s="28" t="str">
        <x:v>Connection, Reflection</x:v>
      </x:c>
      <x:c r="J11" s="28" t="str">
        <x:v>Live, Asynchronous, Independent</x:v>
      </x:c>
      <x:c r="K11" s="28" t="str">
        <x:v>Explanation; interactive choices; Scratchpad working; portfolio evidence</x:v>
      </x:c>
      <x:c r="L11" s="28" t="str">
        <x:v>Maths Route Finder</x:v>
      </x:c>
      <x:c r="M11" s="36" t="str">
        <x:v>Operations and equivalence</x:v>
      </x:c>
    </x:row>
    <x:row r="12" ht="54" customHeight="1">
      <x:c r="A12" s="35" t="str">
        <x:v>NEO-MATH-DISC-02-NUM-03</x:v>
      </x:c>
      <x:c r="B12" s="28" t="str">
        <x:v>NEO-MATH-DISC-02</x:v>
      </x:c>
      <x:c r="C12" s="28" t="str">
        <x:v>Discovery / Reconnection</x:v>
      </x:c>
      <x:c r="D12" s="28" t="str">
        <x:v>Flexible entry</x:v>
      </x:c>
      <x:c r="E12" s="28" t="str">
        <x:v>Number Sense</x:v>
      </x:c>
      <x:c r="F12" s="28" t="str">
        <x:v>Numbers I Can Trust</x:v>
      </x:c>
      <x:c r="G12" s="28" t="str">
        <x:v>Locate zero</x:v>
      </x:c>
      <x:c r="H12" s="28" t="str">
        <x:v>Rest</x:v>
      </x:c>
      <x:c r="I12" s="28" t="str">
        <x:v>Connection, Reflection</x:v>
      </x:c>
      <x:c r="J12" s="28" t="str">
        <x:v>Live, Asynchronous, Independent</x:v>
      </x:c>
      <x:c r="K12" s="28" t="str">
        <x:v>Explanation; interactive choices; Scratchpad working; portfolio evidence</x:v>
      </x:c>
      <x:c r="L12" s="28" t="str">
        <x:v>Maths Route Finder</x:v>
      </x:c>
      <x:c r="M12" s="36" t="str">
        <x:v>Operations and equivalence</x:v>
      </x:c>
    </x:row>
    <x:row r="13" ht="54" customHeight="1">
      <x:c r="A13" s="35" t="str">
        <x:v>NEO-MATH-DISC-02-NUM-04</x:v>
      </x:c>
      <x:c r="B13" s="28" t="str">
        <x:v>NEO-MATH-DISC-02</x:v>
      </x:c>
      <x:c r="C13" s="28" t="str">
        <x:v>Discovery / Reconnection</x:v>
      </x:c>
      <x:c r="D13" s="28" t="str">
        <x:v>Flexible entry</x:v>
      </x:c>
      <x:c r="E13" s="28" t="str">
        <x:v>Number Sense</x:v>
      </x:c>
      <x:c r="F13" s="28" t="str">
        <x:v>Numbers I Can Trust</x:v>
      </x:c>
      <x:c r="G13" s="28" t="str">
        <x:v>Estimate</x:v>
      </x:c>
      <x:c r="H13" s="28" t="str">
        <x:v>Rest</x:v>
      </x:c>
      <x:c r="I13" s="28" t="str">
        <x:v>Connection, Reflection</x:v>
      </x:c>
      <x:c r="J13" s="28" t="str">
        <x:v>Live, Asynchronous, Independent</x:v>
      </x:c>
      <x:c r="K13" s="28" t="str">
        <x:v>Explanation; interactive choices; Scratchpad working; portfolio evidence</x:v>
      </x:c>
      <x:c r="L13" s="28" t="str">
        <x:v>Maths Route Finder</x:v>
      </x:c>
      <x:c r="M13" s="36" t="str">
        <x:v>Operations and equivalence</x:v>
      </x:c>
    </x:row>
    <x:row r="14" ht="54" customHeight="1">
      <x:c r="A14" s="35" t="str">
        <x:v>NEO-MATH-DISC-02-NUM-05</x:v>
      </x:c>
      <x:c r="B14" s="28" t="str">
        <x:v>NEO-MATH-DISC-02</x:v>
      </x:c>
      <x:c r="C14" s="28" t="str">
        <x:v>Discovery / Reconnection</x:v>
      </x:c>
      <x:c r="D14" s="28" t="str">
        <x:v>Flexible entry</x:v>
      </x:c>
      <x:c r="E14" s="28" t="str">
        <x:v>Number Sense</x:v>
      </x:c>
      <x:c r="F14" s="28" t="str">
        <x:v>Numbers I Can Trust</x:v>
      </x:c>
      <x:c r="G14" s="28" t="str">
        <x:v>Check reasonableness</x:v>
      </x:c>
      <x:c r="H14" s="28" t="str">
        <x:v>Rest</x:v>
      </x:c>
      <x:c r="I14" s="28" t="str">
        <x:v>Connection, Reflection</x:v>
      </x:c>
      <x:c r="J14" s="28" t="str">
        <x:v>Live, Asynchronous, Independent</x:v>
      </x:c>
      <x:c r="K14" s="28" t="str">
        <x:v>Explanation; interactive choices; Scratchpad working; portfolio evidence</x:v>
      </x:c>
      <x:c r="L14" s="28" t="str">
        <x:v>Maths Route Finder</x:v>
      </x:c>
      <x:c r="M14" s="36" t="str">
        <x:v>Operations and equivalence</x:v>
      </x:c>
    </x:row>
    <x:row r="15" ht="54" customHeight="1">
      <x:c r="A15" s="35" t="str">
        <x:v>NEO-MATH-DISC-03-NUM-01</x:v>
      </x:c>
      <x:c r="B15" s="28" t="str">
        <x:v>NEO-MATH-DISC-03</x:v>
      </x:c>
      <x:c r="C15" s="28" t="str">
        <x:v>Discovery / Reconnection</x:v>
      </x:c>
      <x:c r="D15" s="28" t="str">
        <x:v>Flexible entry</x:v>
      </x:c>
      <x:c r="E15" s="28" t="str">
        <x:v>Number Sense</x:v>
      </x:c>
      <x:c r="F15" s="28" t="str">
        <x:v>Operations as Choices</x:v>
      </x:c>
      <x:c r="G15" s="28" t="str">
        <x:v>Select a calculation strategy</x:v>
      </x:c>
      <x:c r="H15" s="28" t="str">
        <x:v>Creativity</x:v>
      </x:c>
      <x:c r="I15" s="28" t="str">
        <x:v>Reflection, Rest</x:v>
      </x:c>
      <x:c r="J15" s="28" t="str">
        <x:v>Live, Asynchronous, Independent</x:v>
      </x:c>
      <x:c r="K15" s="28" t="str">
        <x:v>Explanation; interactive choices; Scratchpad working; portfolio evidence</x:v>
      </x:c>
      <x:c r="L15" s="28" t="str">
        <x:v>Place value</x:v>
      </x:c>
      <x:c r="M15" s="36" t="str">
        <x:v>Fractions, percentages and algebra</x:v>
      </x:c>
    </x:row>
    <x:row r="16" ht="54" customHeight="1">
      <x:c r="A16" s="35" t="str">
        <x:v>NEO-MATH-DISC-03-NUM-02</x:v>
      </x:c>
      <x:c r="B16" s="28" t="str">
        <x:v>NEO-MATH-DISC-03</x:v>
      </x:c>
      <x:c r="C16" s="28" t="str">
        <x:v>Discovery / Reconnection</x:v>
      </x:c>
      <x:c r="D16" s="28" t="str">
        <x:v>Flexible entry</x:v>
      </x:c>
      <x:c r="E16" s="28" t="str">
        <x:v>Number Sense</x:v>
      </x:c>
      <x:c r="F16" s="28" t="str">
        <x:v>Operations as Choices</x:v>
      </x:c>
      <x:c r="G16" s="28" t="str">
        <x:v>Use inverse operations</x:v>
      </x:c>
      <x:c r="H16" s="28" t="str">
        <x:v>Creativity</x:v>
      </x:c>
      <x:c r="I16" s="28" t="str">
        <x:v>Reflection, Rest</x:v>
      </x:c>
      <x:c r="J16" s="28" t="str">
        <x:v>Live, Asynchronous, Independent</x:v>
      </x:c>
      <x:c r="K16" s="28" t="str">
        <x:v>Explanation; interactive choices; Scratchpad working; portfolio evidence</x:v>
      </x:c>
      <x:c r="L16" s="28" t="str">
        <x:v>Place value</x:v>
      </x:c>
      <x:c r="M16" s="36" t="str">
        <x:v>Fractions, percentages and algebra</x:v>
      </x:c>
    </x:row>
    <x:row r="17" ht="54" customHeight="1">
      <x:c r="A17" s="35" t="str">
        <x:v>NEO-MATH-DISC-03-NUM-03</x:v>
      </x:c>
      <x:c r="B17" s="28" t="str">
        <x:v>NEO-MATH-DISC-03</x:v>
      </x:c>
      <x:c r="C17" s="28" t="str">
        <x:v>Discovery / Reconnection</x:v>
      </x:c>
      <x:c r="D17" s="28" t="str">
        <x:v>Flexible entry</x:v>
      </x:c>
      <x:c r="E17" s="28" t="str">
        <x:v>Number Sense</x:v>
      </x:c>
      <x:c r="F17" s="28" t="str">
        <x:v>Operations as Choices</x:v>
      </x:c>
      <x:c r="G17" s="28" t="str">
        <x:v>Follow operation order</x:v>
      </x:c>
      <x:c r="H17" s="28" t="str">
        <x:v>Creativity</x:v>
      </x:c>
      <x:c r="I17" s="28" t="str">
        <x:v>Reflection, Rest</x:v>
      </x:c>
      <x:c r="J17" s="28" t="str">
        <x:v>Live, Asynchronous, Independent</x:v>
      </x:c>
      <x:c r="K17" s="28" t="str">
        <x:v>Explanation; interactive choices; Scratchpad working; portfolio evidence</x:v>
      </x:c>
      <x:c r="L17" s="28" t="str">
        <x:v>Place value</x:v>
      </x:c>
      <x:c r="M17" s="36" t="str">
        <x:v>Fractions, percentages and algebra</x:v>
      </x:c>
    </x:row>
    <x:row r="18" ht="54" customHeight="1">
      <x:c r="A18" s="35" t="str">
        <x:v>NEO-MATH-DISC-03-NUM-04</x:v>
      </x:c>
      <x:c r="B18" s="28" t="str">
        <x:v>NEO-MATH-DISC-03</x:v>
      </x:c>
      <x:c r="C18" s="28" t="str">
        <x:v>Discovery / Reconnection</x:v>
      </x:c>
      <x:c r="D18" s="28" t="str">
        <x:v>Flexible entry</x:v>
      </x:c>
      <x:c r="E18" s="28" t="str">
        <x:v>Number Sense</x:v>
      </x:c>
      <x:c r="F18" s="28" t="str">
        <x:v>Operations as Choices</x:v>
      </x:c>
      <x:c r="G18" s="28" t="str">
        <x:v>Estimate first</x:v>
      </x:c>
      <x:c r="H18" s="28" t="str">
        <x:v>Creativity</x:v>
      </x:c>
      <x:c r="I18" s="28" t="str">
        <x:v>Reflection, Rest</x:v>
      </x:c>
      <x:c r="J18" s="28" t="str">
        <x:v>Live, Asynchronous, Independent</x:v>
      </x:c>
      <x:c r="K18" s="28" t="str">
        <x:v>Explanation; interactive choices; Scratchpad working; portfolio evidence</x:v>
      </x:c>
      <x:c r="L18" s="28" t="str">
        <x:v>Place value</x:v>
      </x:c>
      <x:c r="M18" s="36" t="str">
        <x:v>Fractions, percentages and algebra</x:v>
      </x:c>
    </x:row>
    <x:row r="19" ht="54" customHeight="1">
      <x:c r="A19" s="35" t="str">
        <x:v>NEO-MATH-DISC-03-NUM-05</x:v>
      </x:c>
      <x:c r="B19" s="28" t="str">
        <x:v>NEO-MATH-DISC-03</x:v>
      </x:c>
      <x:c r="C19" s="28" t="str">
        <x:v>Discovery / Reconnection</x:v>
      </x:c>
      <x:c r="D19" s="28" t="str">
        <x:v>Flexible entry</x:v>
      </x:c>
      <x:c r="E19" s="28" t="str">
        <x:v>Number Sense</x:v>
      </x:c>
      <x:c r="F19" s="28" t="str">
        <x:v>Operations as Choices</x:v>
      </x:c>
      <x:c r="G19" s="28" t="str">
        <x:v>Explain a method choice</x:v>
      </x:c>
      <x:c r="H19" s="28" t="str">
        <x:v>Creativity</x:v>
      </x:c>
      <x:c r="I19" s="28" t="str">
        <x:v>Reflection, Rest</x:v>
      </x:c>
      <x:c r="J19" s="28" t="str">
        <x:v>Live, Asynchronous, Independent</x:v>
      </x:c>
      <x:c r="K19" s="28" t="str">
        <x:v>Explanation; interactive choices; Scratchpad working; portfolio evidence</x:v>
      </x:c>
      <x:c r="L19" s="28" t="str">
        <x:v>Place value</x:v>
      </x:c>
      <x:c r="M19" s="36" t="str">
        <x:v>Fractions, percentages and algebra</x:v>
      </x:c>
    </x:row>
    <x:row r="20" ht="54" customHeight="1">
      <x:c r="A20" s="35" t="str">
        <x:v>NEO-MATH-DISC-04-PR-01</x:v>
      </x:c>
      <x:c r="B20" s="28" t="str">
        <x:v>NEO-MATH-DISC-04</x:v>
      </x:c>
      <x:c r="C20" s="28" t="str">
        <x:v>Discovery / Reconnection</x:v>
      </x:c>
      <x:c r="D20" s="28" t="str">
        <x:v>Flexible entry</x:v>
      </x:c>
      <x:c r="E20" s="28" t="str">
        <x:v>Proportional Reasoning</x:v>
      </x:c>
      <x:c r="F20" s="28" t="str">
        <x:v>Fractions, Decimals and Percentages as One Family</x:v>
      </x:c>
      <x:c r="G20" s="28" t="str">
        <x:v>Recognise common equivalences</x:v>
      </x:c>
      <x:c r="H20" s="28" t="str">
        <x:v>Connection</x:v>
      </x:c>
      <x:c r="I20" s="28" t="str">
        <x:v>Creativity, Reflection</x:v>
      </x:c>
      <x:c r="J20" s="28" t="str">
        <x:v>Live, Asynchronous, Independent</x:v>
      </x:c>
      <x:c r="K20" s="28" t="str">
        <x:v>Explanation; interactive choices; Scratchpad working; portfolio evidence</x:v>
      </x:c>
      <x:c r="L20" s="28" t="str">
        <x:v>Operations</x:v>
      </x:c>
      <x:c r="M20" s="36" t="str">
        <x:v>Ratio and percentage change</x:v>
      </x:c>
    </x:row>
    <x:row r="21" ht="54" customHeight="1">
      <x:c r="A21" s="35" t="str">
        <x:v>NEO-MATH-DISC-04-PR-02</x:v>
      </x:c>
      <x:c r="B21" s="28" t="str">
        <x:v>NEO-MATH-DISC-04</x:v>
      </x:c>
      <x:c r="C21" s="28" t="str">
        <x:v>Discovery / Reconnection</x:v>
      </x:c>
      <x:c r="D21" s="28" t="str">
        <x:v>Flexible entry</x:v>
      </x:c>
      <x:c r="E21" s="28" t="str">
        <x:v>Proportional Reasoning</x:v>
      </x:c>
      <x:c r="F21" s="28" t="str">
        <x:v>Fractions, Decimals and Percentages as One Family</x:v>
      </x:c>
      <x:c r="G21" s="28" t="str">
        <x:v>Compare FDP</x:v>
      </x:c>
      <x:c r="H21" s="28" t="str">
        <x:v>Connection</x:v>
      </x:c>
      <x:c r="I21" s="28" t="str">
        <x:v>Creativity, Reflection</x:v>
      </x:c>
      <x:c r="J21" s="28" t="str">
        <x:v>Live, Asynchronous, Independent</x:v>
      </x:c>
      <x:c r="K21" s="28" t="str">
        <x:v>Explanation; interactive choices; Scratchpad working; portfolio evidence</x:v>
      </x:c>
      <x:c r="L21" s="28" t="str">
        <x:v>Operations</x:v>
      </x:c>
      <x:c r="M21" s="36" t="str">
        <x:v>Ratio and percentage change</x:v>
      </x:c>
    </x:row>
    <x:row r="22" ht="54" customHeight="1">
      <x:c r="A22" s="35" t="str">
        <x:v>NEO-MATH-DISC-04-PR-03</x:v>
      </x:c>
      <x:c r="B22" s="28" t="str">
        <x:v>NEO-MATH-DISC-04</x:v>
      </x:c>
      <x:c r="C22" s="28" t="str">
        <x:v>Discovery / Reconnection</x:v>
      </x:c>
      <x:c r="D22" s="28" t="str">
        <x:v>Flexible entry</x:v>
      </x:c>
      <x:c r="E22" s="28" t="str">
        <x:v>Proportional Reasoning</x:v>
      </x:c>
      <x:c r="F22" s="28" t="str">
        <x:v>Fractions, Decimals and Percentages as One Family</x:v>
      </x:c>
      <x:c r="G22" s="28" t="str">
        <x:v>Convert representations</x:v>
      </x:c>
      <x:c r="H22" s="28" t="str">
        <x:v>Connection</x:v>
      </x:c>
      <x:c r="I22" s="28" t="str">
        <x:v>Creativity, Reflection</x:v>
      </x:c>
      <x:c r="J22" s="28" t="str">
        <x:v>Live, Asynchronous, Independent</x:v>
      </x:c>
      <x:c r="K22" s="28" t="str">
        <x:v>Explanation; interactive choices; Scratchpad working; portfolio evidence</x:v>
      </x:c>
      <x:c r="L22" s="28" t="str">
        <x:v>Operations</x:v>
      </x:c>
      <x:c r="M22" s="36" t="str">
        <x:v>Ratio and percentage change</x:v>
      </x:c>
    </x:row>
    <x:row r="23" ht="54" customHeight="1">
      <x:c r="A23" s="35" t="str">
        <x:v>NEO-MATH-DISC-04-PR-04</x:v>
      </x:c>
      <x:c r="B23" s="28" t="str">
        <x:v>NEO-MATH-DISC-04</x:v>
      </x:c>
      <x:c r="C23" s="28" t="str">
        <x:v>Discovery / Reconnection</x:v>
      </x:c>
      <x:c r="D23" s="28" t="str">
        <x:v>Flexible entry</x:v>
      </x:c>
      <x:c r="E23" s="28" t="str">
        <x:v>Proportional Reasoning</x:v>
      </x:c>
      <x:c r="F23" s="28" t="str">
        <x:v>Fractions, Decimals and Percentages as One Family</x:v>
      </x:c>
      <x:c r="G23" s="28" t="str">
        <x:v>Find fractions and percentages of quantities</x:v>
      </x:c>
      <x:c r="H23" s="28" t="str">
        <x:v>Connection</x:v>
      </x:c>
      <x:c r="I23" s="28" t="str">
        <x:v>Creativity, Reflection</x:v>
      </x:c>
      <x:c r="J23" s="28" t="str">
        <x:v>Live, Asynchronous, Independent</x:v>
      </x:c>
      <x:c r="K23" s="28" t="str">
        <x:v>Explanation; interactive choices; Scratchpad working; portfolio evidence</x:v>
      </x:c>
      <x:c r="L23" s="28" t="str">
        <x:v>Operations</x:v>
      </x:c>
      <x:c r="M23" s="36" t="str">
        <x:v>Ratio and percentage change</x:v>
      </x:c>
    </x:row>
    <x:row r="24" ht="54" customHeight="1">
      <x:c r="A24" s="35" t="str">
        <x:v>NEO-MATH-DISC-04-PR-05</x:v>
      </x:c>
      <x:c r="B24" s="28" t="str">
        <x:v>NEO-MATH-DISC-04</x:v>
      </x:c>
      <x:c r="C24" s="28" t="str">
        <x:v>Discovery / Reconnection</x:v>
      </x:c>
      <x:c r="D24" s="28" t="str">
        <x:v>Flexible entry</x:v>
      </x:c>
      <x:c r="E24" s="28" t="str">
        <x:v>Proportional Reasoning</x:v>
      </x:c>
      <x:c r="F24" s="28" t="str">
        <x:v>Fractions, Decimals and Percentages as One Family</x:v>
      </x:c>
      <x:c r="G24" s="28" t="str">
        <x:v>Choose a helpful representation</x:v>
      </x:c>
      <x:c r="H24" s="28" t="str">
        <x:v>Connection</x:v>
      </x:c>
      <x:c r="I24" s="28" t="str">
        <x:v>Creativity, Reflection</x:v>
      </x:c>
      <x:c r="J24" s="28" t="str">
        <x:v>Live, Asynchronous, Independent</x:v>
      </x:c>
      <x:c r="K24" s="28" t="str">
        <x:v>Explanation; interactive choices; Scratchpad working; portfolio evidence</x:v>
      </x:c>
      <x:c r="L24" s="28" t="str">
        <x:v>Operations</x:v>
      </x:c>
      <x:c r="M24" s="36" t="str">
        <x:v>Ratio and percentage change</x:v>
      </x:c>
    </x:row>
    <x:row r="25" ht="54" customHeight="1">
      <x:c r="A25" s="35" t="str">
        <x:v>NEO-MATH-DISC-05-ALG-01</x:v>
      </x:c>
      <x:c r="B25" s="28" t="str">
        <x:v>NEO-MATH-DISC-05</x:v>
      </x:c>
      <x:c r="C25" s="28" t="str">
        <x:v>Discovery / Reconnection</x:v>
      </x:c>
      <x:c r="D25" s="28" t="str">
        <x:v>Flexible entry</x:v>
      </x:c>
      <x:c r="E25" s="28" t="str">
        <x:v>Structure &amp; Generalisation</x:v>
      </x:c>
      <x:c r="F25" s="28" t="str">
        <x:v>Patterns Before Letters</x:v>
      </x:c>
      <x:c r="G25" s="28" t="str">
        <x:v>Continue sequences</x:v>
      </x:c>
      <x:c r="H25" s="28" t="str">
        <x:v>Creativity</x:v>
      </x:c>
      <x:c r="I25" s="28" t="str">
        <x:v>Connection, Reflection</x:v>
      </x:c>
      <x:c r="J25" s="28" t="str">
        <x:v>Live, Asynchronous, Independent</x:v>
      </x:c>
      <x:c r="K25" s="28" t="str">
        <x:v>Explanation; interactive choices; Scratchpad working; portfolio evidence</x:v>
      </x:c>
      <x:c r="L25" s="28" t="str">
        <x:v>Operations</x:v>
      </x:c>
      <x:c r="M25" s="36" t="str">
        <x:v>Algebraic expressions and equations</x:v>
      </x:c>
    </x:row>
    <x:row r="26" ht="54" customHeight="1">
      <x:c r="A26" s="35" t="str">
        <x:v>NEO-MATH-DISC-05-ALG-02</x:v>
      </x:c>
      <x:c r="B26" s="28" t="str">
        <x:v>NEO-MATH-DISC-05</x:v>
      </x:c>
      <x:c r="C26" s="28" t="str">
        <x:v>Discovery / Reconnection</x:v>
      </x:c>
      <x:c r="D26" s="28" t="str">
        <x:v>Flexible entry</x:v>
      </x:c>
      <x:c r="E26" s="28" t="str">
        <x:v>Structure &amp; Generalisation</x:v>
      </x:c>
      <x:c r="F26" s="28" t="str">
        <x:v>Patterns Before Letters</x:v>
      </x:c>
      <x:c r="G26" s="28" t="str">
        <x:v>Describe a rule</x:v>
      </x:c>
      <x:c r="H26" s="28" t="str">
        <x:v>Creativity</x:v>
      </x:c>
      <x:c r="I26" s="28" t="str">
        <x:v>Connection, Reflection</x:v>
      </x:c>
      <x:c r="J26" s="28" t="str">
        <x:v>Live, Asynchronous, Independent</x:v>
      </x:c>
      <x:c r="K26" s="28" t="str">
        <x:v>Explanation; interactive choices; Scratchpad working; portfolio evidence</x:v>
      </x:c>
      <x:c r="L26" s="28" t="str">
        <x:v>Operations</x:v>
      </x:c>
      <x:c r="M26" s="36" t="str">
        <x:v>Algebraic expressions and equations</x:v>
      </x:c>
    </x:row>
    <x:row r="27" ht="54" customHeight="1">
      <x:c r="A27" s="35" t="str">
        <x:v>NEO-MATH-DISC-05-ALG-03</x:v>
      </x:c>
      <x:c r="B27" s="28" t="str">
        <x:v>NEO-MATH-DISC-05</x:v>
      </x:c>
      <x:c r="C27" s="28" t="str">
        <x:v>Discovery / Reconnection</x:v>
      </x:c>
      <x:c r="D27" s="28" t="str">
        <x:v>Flexible entry</x:v>
      </x:c>
      <x:c r="E27" s="28" t="str">
        <x:v>Structure &amp; Generalisation</x:v>
      </x:c>
      <x:c r="F27" s="28" t="str">
        <x:v>Patterns Before Letters</x:v>
      </x:c>
      <x:c r="G27" s="28" t="str">
        <x:v>Use a variable</x:v>
      </x:c>
      <x:c r="H27" s="28" t="str">
        <x:v>Creativity</x:v>
      </x:c>
      <x:c r="I27" s="28" t="str">
        <x:v>Connection, Reflection</x:v>
      </x:c>
      <x:c r="J27" s="28" t="str">
        <x:v>Live, Asynchronous, Independent</x:v>
      </x:c>
      <x:c r="K27" s="28" t="str">
        <x:v>Explanation; interactive choices; Scratchpad working; portfolio evidence</x:v>
      </x:c>
      <x:c r="L27" s="28" t="str">
        <x:v>Operations</x:v>
      </x:c>
      <x:c r="M27" s="36" t="str">
        <x:v>Algebraic expressions and equations</x:v>
      </x:c>
    </x:row>
    <x:row r="28" ht="54" customHeight="1">
      <x:c r="A28" s="35" t="str">
        <x:v>NEO-MATH-DISC-05-ALG-04</x:v>
      </x:c>
      <x:c r="B28" s="28" t="str">
        <x:v>NEO-MATH-DISC-05</x:v>
      </x:c>
      <x:c r="C28" s="28" t="str">
        <x:v>Discovery / Reconnection</x:v>
      </x:c>
      <x:c r="D28" s="28" t="str">
        <x:v>Flexible entry</x:v>
      </x:c>
      <x:c r="E28" s="28" t="str">
        <x:v>Structure &amp; Generalisation</x:v>
      </x:c>
      <x:c r="F28" s="28" t="str">
        <x:v>Patterns Before Letters</x:v>
      </x:c>
      <x:c r="G28" s="28" t="str">
        <x:v>Substitute values</x:v>
      </x:c>
      <x:c r="H28" s="28" t="str">
        <x:v>Creativity</x:v>
      </x:c>
      <x:c r="I28" s="28" t="str">
        <x:v>Connection, Reflection</x:v>
      </x:c>
      <x:c r="J28" s="28" t="str">
        <x:v>Live, Asynchronous, Independent</x:v>
      </x:c>
      <x:c r="K28" s="28" t="str">
        <x:v>Explanation; interactive choices; Scratchpad working; portfolio evidence</x:v>
      </x:c>
      <x:c r="L28" s="28" t="str">
        <x:v>Operations</x:v>
      </x:c>
      <x:c r="M28" s="36" t="str">
        <x:v>Algebraic expressions and equations</x:v>
      </x:c>
    </x:row>
    <x:row r="29" ht="54" customHeight="1">
      <x:c r="A29" s="35" t="str">
        <x:v>NEO-MATH-DISC-05-ALG-05</x:v>
      </x:c>
      <x:c r="B29" s="28" t="str">
        <x:v>NEO-MATH-DISC-05</x:v>
      </x:c>
      <x:c r="C29" s="28" t="str">
        <x:v>Discovery / Reconnection</x:v>
      </x:c>
      <x:c r="D29" s="28" t="str">
        <x:v>Flexible entry</x:v>
      </x:c>
      <x:c r="E29" s="28" t="str">
        <x:v>Structure &amp; Generalisation</x:v>
      </x:c>
      <x:c r="F29" s="28" t="str">
        <x:v>Patterns Before Letters</x:v>
      </x:c>
      <x:c r="G29" s="28" t="str">
        <x:v>Create and test a conjecture</x:v>
      </x:c>
      <x:c r="H29" s="28" t="str">
        <x:v>Creativity</x:v>
      </x:c>
      <x:c r="I29" s="28" t="str">
        <x:v>Connection, Reflection</x:v>
      </x:c>
      <x:c r="J29" s="28" t="str">
        <x:v>Live, Asynchronous, Independent</x:v>
      </x:c>
      <x:c r="K29" s="28" t="str">
        <x:v>Explanation; interactive choices; Scratchpad working; portfolio evidence</x:v>
      </x:c>
      <x:c r="L29" s="28" t="str">
        <x:v>Operations</x:v>
      </x:c>
      <x:c r="M29" s="36" t="str">
        <x:v>Algebraic expressions and equations</x:v>
      </x:c>
    </x:row>
    <x:row r="30" ht="54" customHeight="1">
      <x:c r="A30" s="35" t="str">
        <x:v>NEO-MATH-DISC-06-GEO-01</x:v>
      </x:c>
      <x:c r="B30" s="28" t="str">
        <x:v>NEO-MATH-DISC-06</x:v>
      </x:c>
      <x:c r="C30" s="28" t="str">
        <x:v>Discovery / Reconnection</x:v>
      </x:c>
      <x:c r="D30" s="28" t="str">
        <x:v>Flexible entry</x:v>
      </x:c>
      <x:c r="E30" s="28" t="str">
        <x:v>Spatial Reasoning</x:v>
      </x:c>
      <x:c r="F30" s="28" t="str">
        <x:v>Shape, Space and Measure Around Me</x:v>
      </x:c>
      <x:c r="G30" s="28" t="str">
        <x:v>Recognise angle and shape properties</x:v>
      </x:c>
      <x:c r="H30" s="28" t="str">
        <x:v>Movement</x:v>
      </x:c>
      <x:c r="I30" s="28" t="str">
        <x:v>Connection, Creativity</x:v>
      </x:c>
      <x:c r="J30" s="28" t="str">
        <x:v>Live, Asynchronous, Independent</x:v>
      </x:c>
      <x:c r="K30" s="28" t="str">
        <x:v>Explanation; interactive choices; Scratchpad working; portfolio evidence</x:v>
      </x:c>
      <x:c r="L30" s="28" t="str">
        <x:v>Number confidence</x:v>
      </x:c>
      <x:c r="M30" s="36" t="str">
        <x:v>Scale, constructions and modelling</x:v>
      </x:c>
    </x:row>
    <x:row r="31" ht="54" customHeight="1">
      <x:c r="A31" s="35" t="str">
        <x:v>NEO-MATH-DISC-06-GEO-02</x:v>
      </x:c>
      <x:c r="B31" s="28" t="str">
        <x:v>NEO-MATH-DISC-06</x:v>
      </x:c>
      <x:c r="C31" s="28" t="str">
        <x:v>Discovery / Reconnection</x:v>
      </x:c>
      <x:c r="D31" s="28" t="str">
        <x:v>Flexible entry</x:v>
      </x:c>
      <x:c r="E31" s="28" t="str">
        <x:v>Spatial Reasoning</x:v>
      </x:c>
      <x:c r="F31" s="28" t="str">
        <x:v>Shape, Space and Measure Around Me</x:v>
      </x:c>
      <x:c r="G31" s="28" t="str">
        <x:v>Measure accurately</x:v>
      </x:c>
      <x:c r="H31" s="28" t="str">
        <x:v>Movement</x:v>
      </x:c>
      <x:c r="I31" s="28" t="str">
        <x:v>Connection, Creativity</x:v>
      </x:c>
      <x:c r="J31" s="28" t="str">
        <x:v>Live, Asynchronous, Independent</x:v>
      </x:c>
      <x:c r="K31" s="28" t="str">
        <x:v>Explanation; interactive choices; Scratchpad working; portfolio evidence</x:v>
      </x:c>
      <x:c r="L31" s="28" t="str">
        <x:v>Number confidence</x:v>
      </x:c>
      <x:c r="M31" s="36" t="str">
        <x:v>Scale, constructions and modelling</x:v>
      </x:c>
    </x:row>
    <x:row r="32" ht="54" customHeight="1">
      <x:c r="A32" s="35" t="str">
        <x:v>NEO-MATH-DISC-06-GEO-03</x:v>
      </x:c>
      <x:c r="B32" s="28" t="str">
        <x:v>NEO-MATH-DISC-06</x:v>
      </x:c>
      <x:c r="C32" s="28" t="str">
        <x:v>Discovery / Reconnection</x:v>
      </x:c>
      <x:c r="D32" s="28" t="str">
        <x:v>Flexible entry</x:v>
      </x:c>
      <x:c r="E32" s="28" t="str">
        <x:v>Spatial Reasoning</x:v>
      </x:c>
      <x:c r="F32" s="28" t="str">
        <x:v>Shape, Space and Measure Around Me</x:v>
      </x:c>
      <x:c r="G32" s="28" t="str">
        <x:v>Calculate simple perimeter and area</x:v>
      </x:c>
      <x:c r="H32" s="28" t="str">
        <x:v>Movement</x:v>
      </x:c>
      <x:c r="I32" s="28" t="str">
        <x:v>Connection, Creativity</x:v>
      </x:c>
      <x:c r="J32" s="28" t="str">
        <x:v>Live, Asynchronous, Independent</x:v>
      </x:c>
      <x:c r="K32" s="28" t="str">
        <x:v>Explanation; interactive choices; Scratchpad working; portfolio evidence</x:v>
      </x:c>
      <x:c r="L32" s="28" t="str">
        <x:v>Number confidence</x:v>
      </x:c>
      <x:c r="M32" s="36" t="str">
        <x:v>Scale, constructions and modelling</x:v>
      </x:c>
    </x:row>
    <x:row r="33" ht="54" customHeight="1">
      <x:c r="A33" s="35" t="str">
        <x:v>NEO-MATH-DISC-06-GEO-04</x:v>
      </x:c>
      <x:c r="B33" s="28" t="str">
        <x:v>NEO-MATH-DISC-06</x:v>
      </x:c>
      <x:c r="C33" s="28" t="str">
        <x:v>Discovery / Reconnection</x:v>
      </x:c>
      <x:c r="D33" s="28" t="str">
        <x:v>Flexible entry</x:v>
      </x:c>
      <x:c r="E33" s="28" t="str">
        <x:v>Spatial Reasoning</x:v>
      </x:c>
      <x:c r="F33" s="28" t="str">
        <x:v>Shape, Space and Measure Around Me</x:v>
      </x:c>
      <x:c r="G33" s="28" t="str">
        <x:v>Use units</x:v>
      </x:c>
      <x:c r="H33" s="28" t="str">
        <x:v>Movement</x:v>
      </x:c>
      <x:c r="I33" s="28" t="str">
        <x:v>Connection, Creativity</x:v>
      </x:c>
      <x:c r="J33" s="28" t="str">
        <x:v>Live, Asynchronous, Independent</x:v>
      </x:c>
      <x:c r="K33" s="28" t="str">
        <x:v>Explanation; interactive choices; Scratchpad working; portfolio evidence</x:v>
      </x:c>
      <x:c r="L33" s="28" t="str">
        <x:v>Number confidence</x:v>
      </x:c>
      <x:c r="M33" s="36" t="str">
        <x:v>Scale, constructions and modelling</x:v>
      </x:c>
    </x:row>
    <x:row r="34" ht="54" customHeight="1">
      <x:c r="A34" s="35" t="str">
        <x:v>NEO-MATH-DISC-06-GEO-05</x:v>
      </x:c>
      <x:c r="B34" s="28" t="str">
        <x:v>NEO-MATH-DISC-06</x:v>
      </x:c>
      <x:c r="C34" s="28" t="str">
        <x:v>Discovery / Reconnection</x:v>
      </x:c>
      <x:c r="D34" s="28" t="str">
        <x:v>Flexible entry</x:v>
      </x:c>
      <x:c r="E34" s="28" t="str">
        <x:v>Spatial Reasoning</x:v>
      </x:c>
      <x:c r="F34" s="28" t="str">
        <x:v>Shape, Space and Measure Around Me</x:v>
      </x:c>
      <x:c r="G34" s="28" t="str">
        <x:v>Explain a spatial decision</x:v>
      </x:c>
      <x:c r="H34" s="28" t="str">
        <x:v>Movement</x:v>
      </x:c>
      <x:c r="I34" s="28" t="str">
        <x:v>Connection, Creativity</x:v>
      </x:c>
      <x:c r="J34" s="28" t="str">
        <x:v>Live, Asynchronous, Independent</x:v>
      </x:c>
      <x:c r="K34" s="28" t="str">
        <x:v>Explanation; interactive choices; Scratchpad working; portfolio evidence</x:v>
      </x:c>
      <x:c r="L34" s="28" t="str">
        <x:v>Number confidence</x:v>
      </x:c>
      <x:c r="M34" s="36" t="str">
        <x:v>Scale, constructions and modelling</x:v>
      </x:c>
    </x:row>
    <x:row r="35" ht="54" customHeight="1">
      <x:c r="A35" s="35" t="str">
        <x:v>NEO-MATH-DISC-07-DAT-01</x:v>
      </x:c>
      <x:c r="B35" s="28" t="str">
        <x:v>NEO-MATH-DISC-07</x:v>
      </x:c>
      <x:c r="C35" s="28" t="str">
        <x:v>Discovery / Reconnection</x:v>
      </x:c>
      <x:c r="D35" s="28" t="str">
        <x:v>Flexible entry</x:v>
      </x:c>
      <x:c r="E35" s="28" t="str">
        <x:v>Data &amp; Uncertainty</x:v>
      </x:c>
      <x:c r="F35" s="28" t="str">
        <x:v>What Can Data Really Tell Me?</x:v>
      </x:c>
      <x:c r="G35" s="28" t="str">
        <x:v>Read tables and charts</x:v>
      </x:c>
      <x:c r="H35" s="28" t="str">
        <x:v>Reflection</x:v>
      </x:c>
      <x:c r="I35" s="28" t="str">
        <x:v>Connection, Creativity</x:v>
      </x:c>
      <x:c r="J35" s="28" t="str">
        <x:v>Live, Asynchronous, Independent</x:v>
      </x:c>
      <x:c r="K35" s="28" t="str">
        <x:v>Explanation; interactive choices; Scratchpad working; portfolio evidence</x:v>
      </x:c>
      <x:c r="L35" s="28" t="str">
        <x:v>Number confidence</x:v>
      </x:c>
      <x:c r="M35" s="36" t="str">
        <x:v>Statistical enquiry and probability models</x:v>
      </x:c>
    </x:row>
    <x:row r="36" ht="54" customHeight="1">
      <x:c r="A36" s="35" t="str">
        <x:v>NEO-MATH-DISC-07-DAT-02</x:v>
      </x:c>
      <x:c r="B36" s="28" t="str">
        <x:v>NEO-MATH-DISC-07</x:v>
      </x:c>
      <x:c r="C36" s="28" t="str">
        <x:v>Discovery / Reconnection</x:v>
      </x:c>
      <x:c r="D36" s="28" t="str">
        <x:v>Flexible entry</x:v>
      </x:c>
      <x:c r="E36" s="28" t="str">
        <x:v>Data &amp; Uncertainty</x:v>
      </x:c>
      <x:c r="F36" s="28" t="str">
        <x:v>What Can Data Really Tell Me?</x:v>
      </x:c>
      <x:c r="G36" s="28" t="str">
        <x:v>Choose an average</x:v>
      </x:c>
      <x:c r="H36" s="28" t="str">
        <x:v>Reflection</x:v>
      </x:c>
      <x:c r="I36" s="28" t="str">
        <x:v>Connection, Creativity</x:v>
      </x:c>
      <x:c r="J36" s="28" t="str">
        <x:v>Live, Asynchronous, Independent</x:v>
      </x:c>
      <x:c r="K36" s="28" t="str">
        <x:v>Explanation; interactive choices; Scratchpad working; portfolio evidence</x:v>
      </x:c>
      <x:c r="L36" s="28" t="str">
        <x:v>Number confidence</x:v>
      </x:c>
      <x:c r="M36" s="36" t="str">
        <x:v>Statistical enquiry and probability models</x:v>
      </x:c>
    </x:row>
    <x:row r="37" ht="54" customHeight="1">
      <x:c r="A37" s="35" t="str">
        <x:v>NEO-MATH-DISC-07-DAT-03</x:v>
      </x:c>
      <x:c r="B37" s="28" t="str">
        <x:v>NEO-MATH-DISC-07</x:v>
      </x:c>
      <x:c r="C37" s="28" t="str">
        <x:v>Discovery / Reconnection</x:v>
      </x:c>
      <x:c r="D37" s="28" t="str">
        <x:v>Flexible entry</x:v>
      </x:c>
      <x:c r="E37" s="28" t="str">
        <x:v>Data &amp; Uncertainty</x:v>
      </x:c>
      <x:c r="F37" s="28" t="str">
        <x:v>What Can Data Really Tell Me?</x:v>
      </x:c>
      <x:c r="G37" s="28" t="str">
        <x:v>Recognise range</x:v>
      </x:c>
      <x:c r="H37" s="28" t="str">
        <x:v>Reflection</x:v>
      </x:c>
      <x:c r="I37" s="28" t="str">
        <x:v>Connection, Creativity</x:v>
      </x:c>
      <x:c r="J37" s="28" t="str">
        <x:v>Live, Asynchronous, Independent</x:v>
      </x:c>
      <x:c r="K37" s="28" t="str">
        <x:v>Explanation; interactive choices; Scratchpad working; portfolio evidence</x:v>
      </x:c>
      <x:c r="L37" s="28" t="str">
        <x:v>Number confidence</x:v>
      </x:c>
      <x:c r="M37" s="36" t="str">
        <x:v>Statistical enquiry and probability models</x:v>
      </x:c>
    </x:row>
    <x:row r="38" ht="54" customHeight="1">
      <x:c r="A38" s="35" t="str">
        <x:v>NEO-MATH-DISC-07-DAT-04</x:v>
      </x:c>
      <x:c r="B38" s="28" t="str">
        <x:v>NEO-MATH-DISC-07</x:v>
      </x:c>
      <x:c r="C38" s="28" t="str">
        <x:v>Discovery / Reconnection</x:v>
      </x:c>
      <x:c r="D38" s="28" t="str">
        <x:v>Flexible entry</x:v>
      </x:c>
      <x:c r="E38" s="28" t="str">
        <x:v>Data &amp; Uncertainty</x:v>
      </x:c>
      <x:c r="F38" s="28" t="str">
        <x:v>What Can Data Really Tell Me?</x:v>
      </x:c>
      <x:c r="G38" s="28" t="str">
        <x:v>Use probability language</x:v>
      </x:c>
      <x:c r="H38" s="28" t="str">
        <x:v>Reflection</x:v>
      </x:c>
      <x:c r="I38" s="28" t="str">
        <x:v>Connection, Creativity</x:v>
      </x:c>
      <x:c r="J38" s="28" t="str">
        <x:v>Live, Asynchronous, Independent</x:v>
      </x:c>
      <x:c r="K38" s="28" t="str">
        <x:v>Explanation; interactive choices; Scratchpad working; portfolio evidence</x:v>
      </x:c>
      <x:c r="L38" s="28" t="str">
        <x:v>Number confidence</x:v>
      </x:c>
      <x:c r="M38" s="36" t="str">
        <x:v>Statistical enquiry and probability models</x:v>
      </x:c>
    </x:row>
    <x:row r="39" ht="54" customHeight="1">
      <x:c r="A39" s="35" t="str">
        <x:v>NEO-MATH-DISC-07-DAT-05</x:v>
      </x:c>
      <x:c r="B39" s="28" t="str">
        <x:v>NEO-MATH-DISC-07</x:v>
      </x:c>
      <x:c r="C39" s="28" t="str">
        <x:v>Discovery / Reconnection</x:v>
      </x:c>
      <x:c r="D39" s="28" t="str">
        <x:v>Flexible entry</x:v>
      </x:c>
      <x:c r="E39" s="28" t="str">
        <x:v>Data &amp; Uncertainty</x:v>
      </x:c>
      <x:c r="F39" s="28" t="str">
        <x:v>What Can Data Really Tell Me?</x:v>
      </x:c>
      <x:c r="G39" s="28" t="str">
        <x:v>Ask what data cannot show</x:v>
      </x:c>
      <x:c r="H39" s="28" t="str">
        <x:v>Reflection</x:v>
      </x:c>
      <x:c r="I39" s="28" t="str">
        <x:v>Connection, Creativity</x:v>
      </x:c>
      <x:c r="J39" s="28" t="str">
        <x:v>Live, Asynchronous, Independent</x:v>
      </x:c>
      <x:c r="K39" s="28" t="str">
        <x:v>Explanation; interactive choices; Scratchpad working; portfolio evidence</x:v>
      </x:c>
      <x:c r="L39" s="28" t="str">
        <x:v>Number confidence</x:v>
      </x:c>
      <x:c r="M39" s="36" t="str">
        <x:v>Statistical enquiry and probability models</x:v>
      </x:c>
    </x:row>
    <x:row r="40" ht="54" customHeight="1">
      <x:c r="A40" s="35" t="str">
        <x:v>NEO-MATH-DISC-08-APP-01</x:v>
      </x:c>
      <x:c r="B40" s="28" t="str">
        <x:v>NEO-MATH-DISC-08</x:v>
      </x:c>
      <x:c r="C40" s="28" t="str">
        <x:v>Discovery / Reconnection</x:v>
      </x:c>
      <x:c r="D40" s="28" t="str">
        <x:v>Flexible entry</x:v>
      </x:c>
      <x:c r="E40" s="28" t="str">
        <x:v>Financial &amp; Applied Reasoning</x:v>
      </x:c>
      <x:c r="F40" s="28" t="str">
        <x:v>Maths for a Real Decision</x:v>
      </x:c>
      <x:c r="G40" s="28" t="str">
        <x:v>Identify needed information</x:v>
      </x:c>
      <x:c r="H40" s="28" t="str">
        <x:v>Connection</x:v>
      </x:c>
      <x:c r="I40" s="28" t="str">
        <x:v>Creativity, Reflection, Nutrition</x:v>
      </x:c>
      <x:c r="J40" s="28" t="str">
        <x:v>Live, Asynchronous, Independent</x:v>
      </x:c>
      <x:c r="K40" s="28" t="str">
        <x:v>Explanation; interactive choices; Scratchpad working; portfolio evidence</x:v>
      </x:c>
      <x:c r="L40" s="28" t="str">
        <x:v>Any Discovery unit</x:v>
      </x:c>
      <x:c r="M40" s="36" t="str">
        <x:v>Year-group or Functional pathway</x:v>
      </x:c>
    </x:row>
    <x:row r="41" ht="54" customHeight="1">
      <x:c r="A41" s="35" t="str">
        <x:v>NEO-MATH-DISC-08-APP-02</x:v>
      </x:c>
      <x:c r="B41" s="28" t="str">
        <x:v>NEO-MATH-DISC-08</x:v>
      </x:c>
      <x:c r="C41" s="28" t="str">
        <x:v>Discovery / Reconnection</x:v>
      </x:c>
      <x:c r="D41" s="28" t="str">
        <x:v>Flexible entry</x:v>
      </x:c>
      <x:c r="E41" s="28" t="str">
        <x:v>Financial &amp; Applied Reasoning</x:v>
      </x:c>
      <x:c r="F41" s="28" t="str">
        <x:v>Maths for a Real Decision</x:v>
      </x:c>
      <x:c r="G41" s="28" t="str">
        <x:v>Choose operations</x:v>
      </x:c>
      <x:c r="H41" s="28" t="str">
        <x:v>Connection</x:v>
      </x:c>
      <x:c r="I41" s="28" t="str">
        <x:v>Creativity, Reflection, Nutrition</x:v>
      </x:c>
      <x:c r="J41" s="28" t="str">
        <x:v>Live, Asynchronous, Independent</x:v>
      </x:c>
      <x:c r="K41" s="28" t="str">
        <x:v>Explanation; interactive choices; Scratchpad working; portfolio evidence</x:v>
      </x:c>
      <x:c r="L41" s="28" t="str">
        <x:v>Any Discovery unit</x:v>
      </x:c>
      <x:c r="M41" s="36" t="str">
        <x:v>Year-group or Functional pathway</x:v>
      </x:c>
    </x:row>
    <x:row r="42" ht="54" customHeight="1">
      <x:c r="A42" s="35" t="str">
        <x:v>NEO-MATH-DISC-08-APP-03</x:v>
      </x:c>
      <x:c r="B42" s="28" t="str">
        <x:v>NEO-MATH-DISC-08</x:v>
      </x:c>
      <x:c r="C42" s="28" t="str">
        <x:v>Discovery / Reconnection</x:v>
      </x:c>
      <x:c r="D42" s="28" t="str">
        <x:v>Flexible entry</x:v>
      </x:c>
      <x:c r="E42" s="28" t="str">
        <x:v>Financial &amp; Applied Reasoning</x:v>
      </x:c>
      <x:c r="F42" s="28" t="str">
        <x:v>Maths for a Real Decision</x:v>
      </x:c>
      <x:c r="G42" s="28" t="str">
        <x:v>Estimate</x:v>
      </x:c>
      <x:c r="H42" s="28" t="str">
        <x:v>Connection</x:v>
      </x:c>
      <x:c r="I42" s="28" t="str">
        <x:v>Creativity, Reflection, Nutrition</x:v>
      </x:c>
      <x:c r="J42" s="28" t="str">
        <x:v>Live, Asynchronous, Independent</x:v>
      </x:c>
      <x:c r="K42" s="28" t="str">
        <x:v>Explanation; interactive choices; Scratchpad working; portfolio evidence</x:v>
      </x:c>
      <x:c r="L42" s="28" t="str">
        <x:v>Any Discovery unit</x:v>
      </x:c>
      <x:c r="M42" s="36" t="str">
        <x:v>Year-group or Functional pathway</x:v>
      </x:c>
    </x:row>
    <x:row r="43" ht="54" customHeight="1">
      <x:c r="A43" s="35" t="str">
        <x:v>NEO-MATH-DISC-08-APP-04</x:v>
      </x:c>
      <x:c r="B43" s="28" t="str">
        <x:v>NEO-MATH-DISC-08</x:v>
      </x:c>
      <x:c r="C43" s="28" t="str">
        <x:v>Discovery / Reconnection</x:v>
      </x:c>
      <x:c r="D43" s="28" t="str">
        <x:v>Flexible entry</x:v>
      </x:c>
      <x:c r="E43" s="28" t="str">
        <x:v>Financial &amp; Applied Reasoning</x:v>
      </x:c>
      <x:c r="F43" s="28" t="str">
        <x:v>Maths for a Real Decision</x:v>
      </x:c>
      <x:c r="G43" s="28" t="str">
        <x:v>Calculate</x:v>
      </x:c>
      <x:c r="H43" s="28" t="str">
        <x:v>Connection</x:v>
      </x:c>
      <x:c r="I43" s="28" t="str">
        <x:v>Creativity, Reflection, Nutrition</x:v>
      </x:c>
      <x:c r="J43" s="28" t="str">
        <x:v>Live, Asynchronous, Independent</x:v>
      </x:c>
      <x:c r="K43" s="28" t="str">
        <x:v>Explanation; interactive choices; Scratchpad working; portfolio evidence</x:v>
      </x:c>
      <x:c r="L43" s="28" t="str">
        <x:v>Any Discovery unit</x:v>
      </x:c>
      <x:c r="M43" s="36" t="str">
        <x:v>Year-group or Functional pathway</x:v>
      </x:c>
    </x:row>
    <x:row r="44" ht="54" customHeight="1">
      <x:c r="A44" s="35" t="str">
        <x:v>NEO-MATH-DISC-08-APP-05</x:v>
      </x:c>
      <x:c r="B44" s="28" t="str">
        <x:v>NEO-MATH-DISC-08</x:v>
      </x:c>
      <x:c r="C44" s="28" t="str">
        <x:v>Discovery / Reconnection</x:v>
      </x:c>
      <x:c r="D44" s="28" t="str">
        <x:v>Flexible entry</x:v>
      </x:c>
      <x:c r="E44" s="28" t="str">
        <x:v>Financial &amp; Applied Reasoning</x:v>
      </x:c>
      <x:c r="F44" s="28" t="str">
        <x:v>Maths for a Real Decision</x:v>
      </x:c>
      <x:c r="G44" s="28" t="str">
        <x:v>Interpret an answer</x:v>
      </x:c>
      <x:c r="H44" s="28" t="str">
        <x:v>Connection</x:v>
      </x:c>
      <x:c r="I44" s="28" t="str">
        <x:v>Creativity, Reflection, Nutrition</x:v>
      </x:c>
      <x:c r="J44" s="28" t="str">
        <x:v>Live, Asynchronous, Independent</x:v>
      </x:c>
      <x:c r="K44" s="28" t="str">
        <x:v>Explanation; interactive choices; Scratchpad working; portfolio evidence</x:v>
      </x:c>
      <x:c r="L44" s="28" t="str">
        <x:v>Any Discovery unit</x:v>
      </x:c>
      <x:c r="M44" s="36" t="str">
        <x:v>Year-group or Functional pathway</x:v>
      </x:c>
    </x:row>
    <x:row r="45" ht="54" customHeight="1">
      <x:c r="A45" s="35" t="str">
        <x:v>NEO-MATH-DISC-08-APP-06</x:v>
      </x:c>
      <x:c r="B45" s="28" t="str">
        <x:v>NEO-MATH-DISC-08</x:v>
      </x:c>
      <x:c r="C45" s="28" t="str">
        <x:v>Discovery / Reconnection</x:v>
      </x:c>
      <x:c r="D45" s="28" t="str">
        <x:v>Flexible entry</x:v>
      </x:c>
      <x:c r="E45" s="28" t="str">
        <x:v>Financial &amp; Applied Reasoning</x:v>
      </x:c>
      <x:c r="F45" s="28" t="str">
        <x:v>Maths for a Real Decision</x:v>
      </x:c>
      <x:c r="G45" s="28" t="str">
        <x:v>Explain a decision and limitation</x:v>
      </x:c>
      <x:c r="H45" s="28" t="str">
        <x:v>Connection</x:v>
      </x:c>
      <x:c r="I45" s="28" t="str">
        <x:v>Creativity, Reflection, Nutrition</x:v>
      </x:c>
      <x:c r="J45" s="28" t="str">
        <x:v>Live, Asynchronous, Independent</x:v>
      </x:c>
      <x:c r="K45" s="28" t="str">
        <x:v>Explanation; interactive choices; Scratchpad working; portfolio evidence</x:v>
      </x:c>
      <x:c r="L45" s="28" t="str">
        <x:v>Any Discovery unit</x:v>
      </x:c>
      <x:c r="M45" s="36" t="str">
        <x:v>Year-group or Functional pathway</x:v>
      </x:c>
    </x:row>
    <x:row r="46" ht="54" customHeight="1">
      <x:c r="A46" s="35" t="str">
        <x:v>NEO-MATH-Y7-01-NUM-01</x:v>
      </x:c>
      <x:c r="B46" s="28" t="str">
        <x:v>NEO-MATH-Y7-01</x:v>
      </x:c>
      <x:c r="C46" s="28" t="str">
        <x:v>Year 7 Foundations</x:v>
      </x:c>
      <x:c r="D46" s="28" t="str">
        <x:v>Year 7</x:v>
      </x:c>
      <x:c r="E46" s="28" t="str">
        <x:v>Number Sense</x:v>
      </x:c>
      <x:c r="F46" s="28" t="str">
        <x:v>How Much Is a Digit Worth?</x:v>
      </x:c>
      <x:c r="G46" s="28" t="str">
        <x:v>Use place value with integers and decimals</x:v>
      </x:c>
      <x:c r="H46" s="28" t="str">
        <x:v>Connection</x:v>
      </x:c>
      <x:c r="I46" s="28" t="str">
        <x:v>Rest, Reflection</x:v>
      </x:c>
      <x:c r="J46" s="28" t="str">
        <x:v>Live, Asynchronous, Independent</x:v>
      </x:c>
      <x:c r="K46" s="28" t="str">
        <x:v>Explanation; interactive choices; Scratchpad working; portfolio evidence</x:v>
      </x:c>
      <x:c r="L46" s="28" t="str">
        <x:v>Discovery number confidence or KS2 place value</x:v>
      </x:c>
      <x:c r="M46" s="36" t="str">
        <x:v>Estimation, integers and operations</x:v>
      </x:c>
    </x:row>
    <x:row r="47" ht="54" customHeight="1">
      <x:c r="A47" s="35" t="str">
        <x:v>NEO-MATH-Y7-01-NUM-02</x:v>
      </x:c>
      <x:c r="B47" s="28" t="str">
        <x:v>NEO-MATH-Y7-01</x:v>
      </x:c>
      <x:c r="C47" s="28" t="str">
        <x:v>Year 7 Foundations</x:v>
      </x:c>
      <x:c r="D47" s="28" t="str">
        <x:v>Year 7</x:v>
      </x:c>
      <x:c r="E47" s="28" t="str">
        <x:v>Number Sense</x:v>
      </x:c>
      <x:c r="F47" s="28" t="str">
        <x:v>How Much Is a Digit Worth?</x:v>
      </x:c>
      <x:c r="G47" s="28" t="str">
        <x:v>Explain tenfold relationships</x:v>
      </x:c>
      <x:c r="H47" s="28" t="str">
        <x:v>Connection</x:v>
      </x:c>
      <x:c r="I47" s="28" t="str">
        <x:v>Rest, Reflection</x:v>
      </x:c>
      <x:c r="J47" s="28" t="str">
        <x:v>Live, Asynchronous, Independent</x:v>
      </x:c>
      <x:c r="K47" s="28" t="str">
        <x:v>Explanation; interactive choices; Scratchpad working; portfolio evidence</x:v>
      </x:c>
      <x:c r="L47" s="28" t="str">
        <x:v>Discovery number confidence or KS2 place value</x:v>
      </x:c>
      <x:c r="M47" s="36" t="str">
        <x:v>Estimation, integers and operations</x:v>
      </x:c>
    </x:row>
    <x:row r="48" ht="54" customHeight="1">
      <x:c r="A48" s="35" t="str">
        <x:v>NEO-MATH-Y7-01-NUM-03</x:v>
      </x:c>
      <x:c r="B48" s="28" t="str">
        <x:v>NEO-MATH-Y7-01</x:v>
      </x:c>
      <x:c r="C48" s="28" t="str">
        <x:v>Year 7 Foundations</x:v>
      </x:c>
      <x:c r="D48" s="28" t="str">
        <x:v>Year 7</x:v>
      </x:c>
      <x:c r="E48" s="28" t="str">
        <x:v>Number Sense</x:v>
      </x:c>
      <x:c r="F48" s="28" t="str">
        <x:v>How Much Is a Digit Worth?</x:v>
      </x:c>
      <x:c r="G48" s="28" t="str">
        <x:v>Use placeholder zero</x:v>
      </x:c>
      <x:c r="H48" s="28" t="str">
        <x:v>Connection</x:v>
      </x:c>
      <x:c r="I48" s="28" t="str">
        <x:v>Rest, Reflection</x:v>
      </x:c>
      <x:c r="J48" s="28" t="str">
        <x:v>Live, Asynchronous, Independent</x:v>
      </x:c>
      <x:c r="K48" s="28" t="str">
        <x:v>Explanation; interactive choices; Scratchpad working; portfolio evidence</x:v>
      </x:c>
      <x:c r="L48" s="28" t="str">
        <x:v>Discovery number confidence or KS2 place value</x:v>
      </x:c>
      <x:c r="M48" s="36" t="str">
        <x:v>Estimation, integers and operations</x:v>
      </x:c>
    </x:row>
    <x:row r="49" ht="54" customHeight="1">
      <x:c r="A49" s="35" t="str">
        <x:v>NEO-MATH-Y7-01-NUM-04</x:v>
      </x:c>
      <x:c r="B49" s="28" t="str">
        <x:v>NEO-MATH-Y7-01</x:v>
      </x:c>
      <x:c r="C49" s="28" t="str">
        <x:v>Year 7 Foundations</x:v>
      </x:c>
      <x:c r="D49" s="28" t="str">
        <x:v>Year 7</x:v>
      </x:c>
      <x:c r="E49" s="28" t="str">
        <x:v>Number Sense</x:v>
      </x:c>
      <x:c r="F49" s="28" t="str">
        <x:v>How Much Is a Digit Worth?</x:v>
      </x:c>
      <x:c r="G49" s="28" t="str">
        <x:v>Partition numbers</x:v>
      </x:c>
      <x:c r="H49" s="28" t="str">
        <x:v>Connection</x:v>
      </x:c>
      <x:c r="I49" s="28" t="str">
        <x:v>Rest, Reflection</x:v>
      </x:c>
      <x:c r="J49" s="28" t="str">
        <x:v>Live, Asynchronous, Independent</x:v>
      </x:c>
      <x:c r="K49" s="28" t="str">
        <x:v>Explanation; interactive choices; Scratchpad working; portfolio evidence</x:v>
      </x:c>
      <x:c r="L49" s="28" t="str">
        <x:v>Discovery number confidence or KS2 place value</x:v>
      </x:c>
      <x:c r="M49" s="36" t="str">
        <x:v>Estimation, integers and operations</x:v>
      </x:c>
    </x:row>
    <x:row r="50" ht="54" customHeight="1">
      <x:c r="A50" s="35" t="str">
        <x:v>NEO-MATH-Y7-01-NUM-05</x:v>
      </x:c>
      <x:c r="B50" s="28" t="str">
        <x:v>NEO-MATH-Y7-01</x:v>
      </x:c>
      <x:c r="C50" s="28" t="str">
        <x:v>Year 7 Foundations</x:v>
      </x:c>
      <x:c r="D50" s="28" t="str">
        <x:v>Year 7</x:v>
      </x:c>
      <x:c r="E50" s="28" t="str">
        <x:v>Number Sense</x:v>
      </x:c>
      <x:c r="F50" s="28" t="str">
        <x:v>How Much Is a Digit Worth?</x:v>
      </x:c>
      <x:c r="G50" s="28" t="str">
        <x:v>Move between representations</x:v>
      </x:c>
      <x:c r="H50" s="28" t="str">
        <x:v>Connection</x:v>
      </x:c>
      <x:c r="I50" s="28" t="str">
        <x:v>Rest, Reflection</x:v>
      </x:c>
      <x:c r="J50" s="28" t="str">
        <x:v>Live, Asynchronous, Independent</x:v>
      </x:c>
      <x:c r="K50" s="28" t="str">
        <x:v>Explanation; interactive choices; Scratchpad working; portfolio evidence</x:v>
      </x:c>
      <x:c r="L50" s="28" t="str">
        <x:v>Discovery number confidence or KS2 place value</x:v>
      </x:c>
      <x:c r="M50" s="36" t="str">
        <x:v>Estimation, integers and operations</x:v>
      </x:c>
    </x:row>
    <x:row r="51" ht="54" customHeight="1">
      <x:c r="A51" s="35" t="str">
        <x:v>NEO-MATH-Y7-02-NUM-01</x:v>
      </x:c>
      <x:c r="B51" s="28" t="str">
        <x:v>NEO-MATH-Y7-02</x:v>
      </x:c>
      <x:c r="C51" s="28" t="str">
        <x:v>Year 7 Foundations</x:v>
      </x:c>
      <x:c r="D51" s="28" t="str">
        <x:v>Year 7</x:v>
      </x:c>
      <x:c r="E51" s="28" t="str">
        <x:v>Number Sense</x:v>
      </x:c>
      <x:c r="F51" s="28" t="str">
        <x:v>Calculations That Make Sense</x:v>
      </x:c>
      <x:c r="G51" s="28" t="str">
        <x:v>Use four operations</x:v>
      </x:c>
      <x:c r="H51" s="28" t="str">
        <x:v>Reflection</x:v>
      </x:c>
      <x:c r="I51" s="28" t="str">
        <x:v>Rest, Creativity</x:v>
      </x:c>
      <x:c r="J51" s="28" t="str">
        <x:v>Live, Asynchronous, Independent</x:v>
      </x:c>
      <x:c r="K51" s="28" t="str">
        <x:v>Explanation; interactive choices; Scratchpad working; portfolio evidence</x:v>
      </x:c>
      <x:c r="L51" s="28" t="str">
        <x:v>Place value</x:v>
      </x:c>
      <x:c r="M51" s="36" t="str">
        <x:v>Factors, multiples and algebra</x:v>
      </x:c>
    </x:row>
    <x:row r="52" ht="54" customHeight="1">
      <x:c r="A52" s="35" t="str">
        <x:v>NEO-MATH-Y7-02-NUM-02</x:v>
      </x:c>
      <x:c r="B52" s="28" t="str">
        <x:v>NEO-MATH-Y7-02</x:v>
      </x:c>
      <x:c r="C52" s="28" t="str">
        <x:v>Year 7 Foundations</x:v>
      </x:c>
      <x:c r="D52" s="28" t="str">
        <x:v>Year 7</x:v>
      </x:c>
      <x:c r="E52" s="28" t="str">
        <x:v>Number Sense</x:v>
      </x:c>
      <x:c r="F52" s="28" t="str">
        <x:v>Calculations That Make Sense</x:v>
      </x:c>
      <x:c r="G52" s="28" t="str">
        <x:v>Follow operation order</x:v>
      </x:c>
      <x:c r="H52" s="28" t="str">
        <x:v>Reflection</x:v>
      </x:c>
      <x:c r="I52" s="28" t="str">
        <x:v>Rest, Creativity</x:v>
      </x:c>
      <x:c r="J52" s="28" t="str">
        <x:v>Live, Asynchronous, Independent</x:v>
      </x:c>
      <x:c r="K52" s="28" t="str">
        <x:v>Explanation; interactive choices; Scratchpad working; portfolio evidence</x:v>
      </x:c>
      <x:c r="L52" s="28" t="str">
        <x:v>Place value</x:v>
      </x:c>
      <x:c r="M52" s="36" t="str">
        <x:v>Factors, multiples and algebra</x:v>
      </x:c>
    </x:row>
    <x:row r="53" ht="54" customHeight="1">
      <x:c r="A53" s="35" t="str">
        <x:v>NEO-MATH-Y7-02-NUM-03</x:v>
      </x:c>
      <x:c r="B53" s="28" t="str">
        <x:v>NEO-MATH-Y7-02</x:v>
      </x:c>
      <x:c r="C53" s="28" t="str">
        <x:v>Year 7 Foundations</x:v>
      </x:c>
      <x:c r="D53" s="28" t="str">
        <x:v>Year 7</x:v>
      </x:c>
      <x:c r="E53" s="28" t="str">
        <x:v>Number Sense</x:v>
      </x:c>
      <x:c r="F53" s="28" t="str">
        <x:v>Calculations That Make Sense</x:v>
      </x:c>
      <x:c r="G53" s="28" t="str">
        <x:v>Estimate</x:v>
      </x:c>
      <x:c r="H53" s="28" t="str">
        <x:v>Reflection</x:v>
      </x:c>
      <x:c r="I53" s="28" t="str">
        <x:v>Rest, Creativity</x:v>
      </x:c>
      <x:c r="J53" s="28" t="str">
        <x:v>Live, Asynchronous, Independent</x:v>
      </x:c>
      <x:c r="K53" s="28" t="str">
        <x:v>Explanation; interactive choices; Scratchpad working; portfolio evidence</x:v>
      </x:c>
      <x:c r="L53" s="28" t="str">
        <x:v>Place value</x:v>
      </x:c>
      <x:c r="M53" s="36" t="str">
        <x:v>Factors, multiples and algebra</x:v>
      </x:c>
    </x:row>
    <x:row r="54" ht="54" customHeight="1">
      <x:c r="A54" s="35" t="str">
        <x:v>NEO-MATH-Y7-02-NUM-04</x:v>
      </x:c>
      <x:c r="B54" s="28" t="str">
        <x:v>NEO-MATH-Y7-02</x:v>
      </x:c>
      <x:c r="C54" s="28" t="str">
        <x:v>Year 7 Foundations</x:v>
      </x:c>
      <x:c r="D54" s="28" t="str">
        <x:v>Year 7</x:v>
      </x:c>
      <x:c r="E54" s="28" t="str">
        <x:v>Number Sense</x:v>
      </x:c>
      <x:c r="F54" s="28" t="str">
        <x:v>Calculations That Make Sense</x:v>
      </x:c>
      <x:c r="G54" s="28" t="str">
        <x:v>Use inverse operations</x:v>
      </x:c>
      <x:c r="H54" s="28" t="str">
        <x:v>Reflection</x:v>
      </x:c>
      <x:c r="I54" s="28" t="str">
        <x:v>Rest, Creativity</x:v>
      </x:c>
      <x:c r="J54" s="28" t="str">
        <x:v>Live, Asynchronous, Independent</x:v>
      </x:c>
      <x:c r="K54" s="28" t="str">
        <x:v>Explanation; interactive choices; Scratchpad working; portfolio evidence</x:v>
      </x:c>
      <x:c r="L54" s="28" t="str">
        <x:v>Place value</x:v>
      </x:c>
      <x:c r="M54" s="36" t="str">
        <x:v>Factors, multiples and algebra</x:v>
      </x:c>
    </x:row>
    <x:row r="55" ht="54" customHeight="1">
      <x:c r="A55" s="35" t="str">
        <x:v>NEO-MATH-Y7-02-NUM-05</x:v>
      </x:c>
      <x:c r="B55" s="28" t="str">
        <x:v>NEO-MATH-Y7-02</x:v>
      </x:c>
      <x:c r="C55" s="28" t="str">
        <x:v>Year 7 Foundations</x:v>
      </x:c>
      <x:c r="D55" s="28" t="str">
        <x:v>Year 7</x:v>
      </x:c>
      <x:c r="E55" s="28" t="str">
        <x:v>Number Sense</x:v>
      </x:c>
      <x:c r="F55" s="28" t="str">
        <x:v>Calculations That Make Sense</x:v>
      </x:c>
      <x:c r="G55" s="28" t="str">
        <x:v>Calculate with directed numbers</x:v>
      </x:c>
      <x:c r="H55" s="28" t="str">
        <x:v>Reflection</x:v>
      </x:c>
      <x:c r="I55" s="28" t="str">
        <x:v>Rest, Creativity</x:v>
      </x:c>
      <x:c r="J55" s="28" t="str">
        <x:v>Live, Asynchronous, Independent</x:v>
      </x:c>
      <x:c r="K55" s="28" t="str">
        <x:v>Explanation; interactive choices; Scratchpad working; portfolio evidence</x:v>
      </x:c>
      <x:c r="L55" s="28" t="str">
        <x:v>Place value</x:v>
      </x:c>
      <x:c r="M55" s="36" t="str">
        <x:v>Factors, multiples and algebra</x:v>
      </x:c>
    </x:row>
    <x:row r="56" ht="54" customHeight="1">
      <x:c r="A56" s="35" t="str">
        <x:v>NEO-MATH-Y7-02-NUM-06</x:v>
      </x:c>
      <x:c r="B56" s="28" t="str">
        <x:v>NEO-MATH-Y7-02</x:v>
      </x:c>
      <x:c r="C56" s="28" t="str">
        <x:v>Year 7 Foundations</x:v>
      </x:c>
      <x:c r="D56" s="28" t="str">
        <x:v>Year 7</x:v>
      </x:c>
      <x:c r="E56" s="28" t="str">
        <x:v>Number Sense</x:v>
      </x:c>
      <x:c r="F56" s="28" t="str">
        <x:v>Calculations That Make Sense</x:v>
      </x:c>
      <x:c r="G56" s="28" t="str">
        <x:v>Check reasonableness</x:v>
      </x:c>
      <x:c r="H56" s="28" t="str">
        <x:v>Reflection</x:v>
      </x:c>
      <x:c r="I56" s="28" t="str">
        <x:v>Rest, Creativity</x:v>
      </x:c>
      <x:c r="J56" s="28" t="str">
        <x:v>Live, Asynchronous, Independent</x:v>
      </x:c>
      <x:c r="K56" s="28" t="str">
        <x:v>Explanation; interactive choices; Scratchpad working; portfolio evidence</x:v>
      </x:c>
      <x:c r="L56" s="28" t="str">
        <x:v>Place value</x:v>
      </x:c>
      <x:c r="M56" s="36" t="str">
        <x:v>Factors, multiples and algebra</x:v>
      </x:c>
    </x:row>
    <x:row r="57" ht="54" customHeight="1">
      <x:c r="A57" s="35" t="str">
        <x:v>NEO-MATH-Y7-03-ALG-01</x:v>
      </x:c>
      <x:c r="B57" s="28" t="str">
        <x:v>NEO-MATH-Y7-03</x:v>
      </x:c>
      <x:c r="C57" s="28" t="str">
        <x:v>Year 7 Foundations</x:v>
      </x:c>
      <x:c r="D57" s="28" t="str">
        <x:v>Year 7</x:v>
      </x:c>
      <x:c r="E57" s="28" t="str">
        <x:v>Structure &amp; Generalisation</x:v>
      </x:c>
      <x:c r="F57" s="28" t="str">
        <x:v>Patterns, Factors and Hidden Structure</x:v>
      </x:c>
      <x:c r="G57" s="28" t="str">
        <x:v>Identify factors and multiples</x:v>
      </x:c>
      <x:c r="H57" s="28" t="str">
        <x:v>Creativity</x:v>
      </x:c>
      <x:c r="I57" s="28" t="str">
        <x:v>Connection, Reflection</x:v>
      </x:c>
      <x:c r="J57" s="28" t="str">
        <x:v>Live, Asynchronous, Independent</x:v>
      </x:c>
      <x:c r="K57" s="28" t="str">
        <x:v>Explanation; interactive choices; Scratchpad working; portfolio evidence</x:v>
      </x:c>
      <x:c r="L57" s="28" t="str">
        <x:v>Operations</x:v>
      </x:c>
      <x:c r="M57" s="36" t="str">
        <x:v>Algebraic expressions and sequences</x:v>
      </x:c>
    </x:row>
    <x:row r="58" ht="54" customHeight="1">
      <x:c r="A58" s="35" t="str">
        <x:v>NEO-MATH-Y7-03-ALG-02</x:v>
      </x:c>
      <x:c r="B58" s="28" t="str">
        <x:v>NEO-MATH-Y7-03</x:v>
      </x:c>
      <x:c r="C58" s="28" t="str">
        <x:v>Year 7 Foundations</x:v>
      </x:c>
      <x:c r="D58" s="28" t="str">
        <x:v>Year 7</x:v>
      </x:c>
      <x:c r="E58" s="28" t="str">
        <x:v>Structure &amp; Generalisation</x:v>
      </x:c>
      <x:c r="F58" s="28" t="str">
        <x:v>Patterns, Factors and Hidden Structure</x:v>
      </x:c>
      <x:c r="G58" s="28" t="str">
        <x:v>Recognise primes</x:v>
      </x:c>
      <x:c r="H58" s="28" t="str">
        <x:v>Creativity</x:v>
      </x:c>
      <x:c r="I58" s="28" t="str">
        <x:v>Connection, Reflection</x:v>
      </x:c>
      <x:c r="J58" s="28" t="str">
        <x:v>Live, Asynchronous, Independent</x:v>
      </x:c>
      <x:c r="K58" s="28" t="str">
        <x:v>Explanation; interactive choices; Scratchpad working; portfolio evidence</x:v>
      </x:c>
      <x:c r="L58" s="28" t="str">
        <x:v>Operations</x:v>
      </x:c>
      <x:c r="M58" s="36" t="str">
        <x:v>Algebraic expressions and sequences</x:v>
      </x:c>
    </x:row>
    <x:row r="59" ht="54" customHeight="1">
      <x:c r="A59" s="35" t="str">
        <x:v>NEO-MATH-Y7-03-ALG-03</x:v>
      </x:c>
      <x:c r="B59" s="28" t="str">
        <x:v>NEO-MATH-Y7-03</x:v>
      </x:c>
      <x:c r="C59" s="28" t="str">
        <x:v>Year 7 Foundations</x:v>
      </x:c>
      <x:c r="D59" s="28" t="str">
        <x:v>Year 7</x:v>
      </x:c>
      <x:c r="E59" s="28" t="str">
        <x:v>Structure &amp; Generalisation</x:v>
      </x:c>
      <x:c r="F59" s="28" t="str">
        <x:v>Patterns, Factors and Hidden Structure</x:v>
      </x:c>
      <x:c r="G59" s="28" t="str">
        <x:v>Find HCF/LCM</x:v>
      </x:c>
      <x:c r="H59" s="28" t="str">
        <x:v>Creativity</x:v>
      </x:c>
      <x:c r="I59" s="28" t="str">
        <x:v>Connection, Reflection</x:v>
      </x:c>
      <x:c r="J59" s="28" t="str">
        <x:v>Live, Asynchronous, Independent</x:v>
      </x:c>
      <x:c r="K59" s="28" t="str">
        <x:v>Explanation; interactive choices; Scratchpad working; portfolio evidence</x:v>
      </x:c>
      <x:c r="L59" s="28" t="str">
        <x:v>Operations</x:v>
      </x:c>
      <x:c r="M59" s="36" t="str">
        <x:v>Algebraic expressions and sequences</x:v>
      </x:c>
    </x:row>
    <x:row r="60" ht="54" customHeight="1">
      <x:c r="A60" s="35" t="str">
        <x:v>NEO-MATH-Y7-03-ALG-04</x:v>
      </x:c>
      <x:c r="B60" s="28" t="str">
        <x:v>NEO-MATH-Y7-03</x:v>
      </x:c>
      <x:c r="C60" s="28" t="str">
        <x:v>Year 7 Foundations</x:v>
      </x:c>
      <x:c r="D60" s="28" t="str">
        <x:v>Year 7</x:v>
      </x:c>
      <x:c r="E60" s="28" t="str">
        <x:v>Structure &amp; Generalisation</x:v>
      </x:c>
      <x:c r="F60" s="28" t="str">
        <x:v>Patterns, Factors and Hidden Structure</x:v>
      </x:c>
      <x:c r="G60" s="28" t="str">
        <x:v>Use powers</x:v>
      </x:c>
      <x:c r="H60" s="28" t="str">
        <x:v>Creativity</x:v>
      </x:c>
      <x:c r="I60" s="28" t="str">
        <x:v>Connection, Reflection</x:v>
      </x:c>
      <x:c r="J60" s="28" t="str">
        <x:v>Live, Asynchronous, Independent</x:v>
      </x:c>
      <x:c r="K60" s="28" t="str">
        <x:v>Explanation; interactive choices; Scratchpad working; portfolio evidence</x:v>
      </x:c>
      <x:c r="L60" s="28" t="str">
        <x:v>Operations</x:v>
      </x:c>
      <x:c r="M60" s="36" t="str">
        <x:v>Algebraic expressions and sequences</x:v>
      </x:c>
    </x:row>
    <x:row r="61" ht="54" customHeight="1">
      <x:c r="A61" s="35" t="str">
        <x:v>NEO-MATH-Y7-03-ALG-05</x:v>
      </x:c>
      <x:c r="B61" s="28" t="str">
        <x:v>NEO-MATH-Y7-03</x:v>
      </x:c>
      <x:c r="C61" s="28" t="str">
        <x:v>Year 7 Foundations</x:v>
      </x:c>
      <x:c r="D61" s="28" t="str">
        <x:v>Year 7</x:v>
      </x:c>
      <x:c r="E61" s="28" t="str">
        <x:v>Structure &amp; Generalisation</x:v>
      </x:c>
      <x:c r="F61" s="28" t="str">
        <x:v>Patterns, Factors and Hidden Structure</x:v>
      </x:c>
      <x:c r="G61" s="28" t="str">
        <x:v>Generalise patterns</x:v>
      </x:c>
      <x:c r="H61" s="28" t="str">
        <x:v>Creativity</x:v>
      </x:c>
      <x:c r="I61" s="28" t="str">
        <x:v>Connection, Reflection</x:v>
      </x:c>
      <x:c r="J61" s="28" t="str">
        <x:v>Live, Asynchronous, Independent</x:v>
      </x:c>
      <x:c r="K61" s="28" t="str">
        <x:v>Explanation; interactive choices; Scratchpad working; portfolio evidence</x:v>
      </x:c>
      <x:c r="L61" s="28" t="str">
        <x:v>Operations</x:v>
      </x:c>
      <x:c r="M61" s="36" t="str">
        <x:v>Algebraic expressions and sequences</x:v>
      </x:c>
    </x:row>
    <x:row r="62" ht="54" customHeight="1">
      <x:c r="A62" s="35" t="str">
        <x:v>NEO-MATH-Y7-03-ALG-06</x:v>
      </x:c>
      <x:c r="B62" s="28" t="str">
        <x:v>NEO-MATH-Y7-03</x:v>
      </x:c>
      <x:c r="C62" s="28" t="str">
        <x:v>Year 7 Foundations</x:v>
      </x:c>
      <x:c r="D62" s="28" t="str">
        <x:v>Year 7</x:v>
      </x:c>
      <x:c r="E62" s="28" t="str">
        <x:v>Structure &amp; Generalisation</x:v>
      </x:c>
      <x:c r="F62" s="28" t="str">
        <x:v>Patterns, Factors and Hidden Structure</x:v>
      </x:c>
      <x:c r="G62" s="28" t="str">
        <x:v>Test conjectures</x:v>
      </x:c>
      <x:c r="H62" s="28" t="str">
        <x:v>Creativity</x:v>
      </x:c>
      <x:c r="I62" s="28" t="str">
        <x:v>Connection, Reflection</x:v>
      </x:c>
      <x:c r="J62" s="28" t="str">
        <x:v>Live, Asynchronous, Independent</x:v>
      </x:c>
      <x:c r="K62" s="28" t="str">
        <x:v>Explanation; interactive choices; Scratchpad working; portfolio evidence</x:v>
      </x:c>
      <x:c r="L62" s="28" t="str">
        <x:v>Operations</x:v>
      </x:c>
      <x:c r="M62" s="36" t="str">
        <x:v>Algebraic expressions and sequences</x:v>
      </x:c>
    </x:row>
    <x:row r="63" ht="54" customHeight="1">
      <x:c r="A63" s="35" t="str">
        <x:v>NEO-MATH-Y7-04-PR-01</x:v>
      </x:c>
      <x:c r="B63" s="28" t="str">
        <x:v>NEO-MATH-Y7-04</x:v>
      </x:c>
      <x:c r="C63" s="28" t="str">
        <x:v>Year 7 Foundations</x:v>
      </x:c>
      <x:c r="D63" s="28" t="str">
        <x:v>Year 7</x:v>
      </x:c>
      <x:c r="E63" s="28" t="str">
        <x:v>Proportional Reasoning</x:v>
      </x:c>
      <x:c r="F63" s="28" t="str">
        <x:v>One Amount, Three Languages</x:v>
      </x:c>
      <x:c r="G63" s="28" t="str">
        <x:v>Simplify fractions</x:v>
      </x:c>
      <x:c r="H63" s="28" t="str">
        <x:v>Connection</x:v>
      </x:c>
      <x:c r="I63" s="28" t="str">
        <x:v>Creativity, Reflection</x:v>
      </x:c>
      <x:c r="J63" s="28" t="str">
        <x:v>Live, Asynchronous, Independent</x:v>
      </x:c>
      <x:c r="K63" s="28" t="str">
        <x:v>Explanation; interactive choices; Scratchpad working; portfolio evidence</x:v>
      </x:c>
      <x:c r="L63" s="28" t="str">
        <x:v>Number operations</x:v>
      </x:c>
      <x:c r="M63" s="36" t="str">
        <x:v>Ratio and proportion</x:v>
      </x:c>
    </x:row>
    <x:row r="64" ht="54" customHeight="1">
      <x:c r="A64" s="35" t="str">
        <x:v>NEO-MATH-Y7-04-PR-02</x:v>
      </x:c>
      <x:c r="B64" s="28" t="str">
        <x:v>NEO-MATH-Y7-04</x:v>
      </x:c>
      <x:c r="C64" s="28" t="str">
        <x:v>Year 7 Foundations</x:v>
      </x:c>
      <x:c r="D64" s="28" t="str">
        <x:v>Year 7</x:v>
      </x:c>
      <x:c r="E64" s="28" t="str">
        <x:v>Proportional Reasoning</x:v>
      </x:c>
      <x:c r="F64" s="28" t="str">
        <x:v>One Amount, Three Languages</x:v>
      </x:c>
      <x:c r="G64" s="28" t="str">
        <x:v>Find equivalent fractions</x:v>
      </x:c>
      <x:c r="H64" s="28" t="str">
        <x:v>Connection</x:v>
      </x:c>
      <x:c r="I64" s="28" t="str">
        <x:v>Creativity, Reflection</x:v>
      </x:c>
      <x:c r="J64" s="28" t="str">
        <x:v>Live, Asynchronous, Independent</x:v>
      </x:c>
      <x:c r="K64" s="28" t="str">
        <x:v>Explanation; interactive choices; Scratchpad working; portfolio evidence</x:v>
      </x:c>
      <x:c r="L64" s="28" t="str">
        <x:v>Number operations</x:v>
      </x:c>
      <x:c r="M64" s="36" t="str">
        <x:v>Ratio and proportion</x:v>
      </x:c>
    </x:row>
    <x:row r="65" ht="54" customHeight="1">
      <x:c r="A65" s="35" t="str">
        <x:v>NEO-MATH-Y7-04-PR-03</x:v>
      </x:c>
      <x:c r="B65" s="28" t="str">
        <x:v>NEO-MATH-Y7-04</x:v>
      </x:c>
      <x:c r="C65" s="28" t="str">
        <x:v>Year 7 Foundations</x:v>
      </x:c>
      <x:c r="D65" s="28" t="str">
        <x:v>Year 7</x:v>
      </x:c>
      <x:c r="E65" s="28" t="str">
        <x:v>Proportional Reasoning</x:v>
      </x:c>
      <x:c r="F65" s="28" t="str">
        <x:v>One Amount, Three Languages</x:v>
      </x:c>
      <x:c r="G65" s="28" t="str">
        <x:v>Convert FDP</x:v>
      </x:c>
      <x:c r="H65" s="28" t="str">
        <x:v>Connection</x:v>
      </x:c>
      <x:c r="I65" s="28" t="str">
        <x:v>Creativity, Reflection</x:v>
      </x:c>
      <x:c r="J65" s="28" t="str">
        <x:v>Live, Asynchronous, Independent</x:v>
      </x:c>
      <x:c r="K65" s="28" t="str">
        <x:v>Explanation; interactive choices; Scratchpad working; portfolio evidence</x:v>
      </x:c>
      <x:c r="L65" s="28" t="str">
        <x:v>Number operations</x:v>
      </x:c>
      <x:c r="M65" s="36" t="str">
        <x:v>Ratio and proportion</x:v>
      </x:c>
    </x:row>
    <x:row r="66" ht="54" customHeight="1">
      <x:c r="A66" s="35" t="str">
        <x:v>NEO-MATH-Y7-04-PR-04</x:v>
      </x:c>
      <x:c r="B66" s="28" t="str">
        <x:v>NEO-MATH-Y7-04</x:v>
      </x:c>
      <x:c r="C66" s="28" t="str">
        <x:v>Year 7 Foundations</x:v>
      </x:c>
      <x:c r="D66" s="28" t="str">
        <x:v>Year 7</x:v>
      </x:c>
      <x:c r="E66" s="28" t="str">
        <x:v>Proportional Reasoning</x:v>
      </x:c>
      <x:c r="F66" s="28" t="str">
        <x:v>One Amount, Three Languages</x:v>
      </x:c>
      <x:c r="G66" s="28" t="str">
        <x:v>Compare FDP</x:v>
      </x:c>
      <x:c r="H66" s="28" t="str">
        <x:v>Connection</x:v>
      </x:c>
      <x:c r="I66" s="28" t="str">
        <x:v>Creativity, Reflection</x:v>
      </x:c>
      <x:c r="J66" s="28" t="str">
        <x:v>Live, Asynchronous, Independent</x:v>
      </x:c>
      <x:c r="K66" s="28" t="str">
        <x:v>Explanation; interactive choices; Scratchpad working; portfolio evidence</x:v>
      </x:c>
      <x:c r="L66" s="28" t="str">
        <x:v>Number operations</x:v>
      </x:c>
      <x:c r="M66" s="36" t="str">
        <x:v>Ratio and proportion</x:v>
      </x:c>
    </x:row>
    <x:row r="67" ht="54" customHeight="1">
      <x:c r="A67" s="35" t="str">
        <x:v>NEO-MATH-Y7-04-PR-05</x:v>
      </x:c>
      <x:c r="B67" s="28" t="str">
        <x:v>NEO-MATH-Y7-04</x:v>
      </x:c>
      <x:c r="C67" s="28" t="str">
        <x:v>Year 7 Foundations</x:v>
      </x:c>
      <x:c r="D67" s="28" t="str">
        <x:v>Year 7</x:v>
      </x:c>
      <x:c r="E67" s="28" t="str">
        <x:v>Proportional Reasoning</x:v>
      </x:c>
      <x:c r="F67" s="28" t="str">
        <x:v>One Amount, Three Languages</x:v>
      </x:c>
      <x:c r="G67" s="28" t="str">
        <x:v>Calculate fractions and percentages of amounts</x:v>
      </x:c>
      <x:c r="H67" s="28" t="str">
        <x:v>Connection</x:v>
      </x:c>
      <x:c r="I67" s="28" t="str">
        <x:v>Creativity, Reflection</x:v>
      </x:c>
      <x:c r="J67" s="28" t="str">
        <x:v>Live, Asynchronous, Independent</x:v>
      </x:c>
      <x:c r="K67" s="28" t="str">
        <x:v>Explanation; interactive choices; Scratchpad working; portfolio evidence</x:v>
      </x:c>
      <x:c r="L67" s="28" t="str">
        <x:v>Number operations</x:v>
      </x:c>
      <x:c r="M67" s="36" t="str">
        <x:v>Ratio and proportion</x:v>
      </x:c>
    </x:row>
    <x:row r="68" ht="54" customHeight="1">
      <x:c r="A68" s="35" t="str">
        <x:v>NEO-MATH-Y7-04-PR-06</x:v>
      </x:c>
      <x:c r="B68" s="28" t="str">
        <x:v>NEO-MATH-Y7-04</x:v>
      </x:c>
      <x:c r="C68" s="28" t="str">
        <x:v>Year 7 Foundations</x:v>
      </x:c>
      <x:c r="D68" s="28" t="str">
        <x:v>Year 7</x:v>
      </x:c>
      <x:c r="E68" s="28" t="str">
        <x:v>Proportional Reasoning</x:v>
      </x:c>
      <x:c r="F68" s="28" t="str">
        <x:v>One Amount, Three Languages</x:v>
      </x:c>
      <x:c r="G68" s="28" t="str">
        <x:v>Explain representation choice</x:v>
      </x:c>
      <x:c r="H68" s="28" t="str">
        <x:v>Connection</x:v>
      </x:c>
      <x:c r="I68" s="28" t="str">
        <x:v>Creativity, Reflection</x:v>
      </x:c>
      <x:c r="J68" s="28" t="str">
        <x:v>Live, Asynchronous, Independent</x:v>
      </x:c>
      <x:c r="K68" s="28" t="str">
        <x:v>Explanation; interactive choices; Scratchpad working; portfolio evidence</x:v>
      </x:c>
      <x:c r="L68" s="28" t="str">
        <x:v>Number operations</x:v>
      </x:c>
      <x:c r="M68" s="36" t="str">
        <x:v>Ratio and proportion</x:v>
      </x:c>
    </x:row>
    <x:row r="69" ht="54" customHeight="1">
      <x:c r="A69" s="35" t="str">
        <x:v>NEO-MATH-Y7-05-GEO-01</x:v>
      </x:c>
      <x:c r="B69" s="28" t="str">
        <x:v>NEO-MATH-Y7-05</x:v>
      </x:c>
      <x:c r="C69" s="28" t="str">
        <x:v>Year 7 Foundations</x:v>
      </x:c>
      <x:c r="D69" s="28" t="str">
        <x:v>Year 7</x:v>
      </x:c>
      <x:c r="E69" s="28" t="str">
        <x:v>Spatial Reasoning</x:v>
      </x:c>
      <x:c r="F69" s="28" t="str">
        <x:v>Angles Tell Us Why</x:v>
      </x:c>
      <x:c r="G69" s="28" t="str">
        <x:v>Use angle facts</x:v>
      </x:c>
      <x:c r="H69" s="28" t="str">
        <x:v>Reflection</x:v>
      </x:c>
      <x:c r="I69" s="28" t="str">
        <x:v>Connection, Movement</x:v>
      </x:c>
      <x:c r="J69" s="28" t="str">
        <x:v>Live, Asynchronous, Independent</x:v>
      </x:c>
      <x:c r="K69" s="28" t="str">
        <x:v>Explanation; interactive choices; Scratchpad working; portfolio evidence</x:v>
      </x:c>
      <x:c r="L69" s="28" t="str">
        <x:v>Operations</x:v>
      </x:c>
      <x:c r="M69" s="36" t="str">
        <x:v>Polygons, parallel lines and constructions</x:v>
      </x:c>
    </x:row>
    <x:row r="70" ht="54" customHeight="1">
      <x:c r="A70" s="35" t="str">
        <x:v>NEO-MATH-Y7-05-GEO-02</x:v>
      </x:c>
      <x:c r="B70" s="28" t="str">
        <x:v>NEO-MATH-Y7-05</x:v>
      </x:c>
      <x:c r="C70" s="28" t="str">
        <x:v>Year 7 Foundations</x:v>
      </x:c>
      <x:c r="D70" s="28" t="str">
        <x:v>Year 7</x:v>
      </x:c>
      <x:c r="E70" s="28" t="str">
        <x:v>Spatial Reasoning</x:v>
      </x:c>
      <x:c r="F70" s="28" t="str">
        <x:v>Angles Tell Us Why</x:v>
      </x:c>
      <x:c r="G70" s="28" t="str">
        <x:v>Identify triangle and quadrilateral properties</x:v>
      </x:c>
      <x:c r="H70" s="28" t="str">
        <x:v>Reflection</x:v>
      </x:c>
      <x:c r="I70" s="28" t="str">
        <x:v>Connection, Movement</x:v>
      </x:c>
      <x:c r="J70" s="28" t="str">
        <x:v>Live, Asynchronous, Independent</x:v>
      </x:c>
      <x:c r="K70" s="28" t="str">
        <x:v>Explanation; interactive choices; Scratchpad working; portfolio evidence</x:v>
      </x:c>
      <x:c r="L70" s="28" t="str">
        <x:v>Operations</x:v>
      </x:c>
      <x:c r="M70" s="36" t="str">
        <x:v>Polygons, parallel lines and constructions</x:v>
      </x:c>
    </x:row>
    <x:row r="71" ht="54" customHeight="1">
      <x:c r="A71" s="35" t="str">
        <x:v>NEO-MATH-Y7-05-GEO-03</x:v>
      </x:c>
      <x:c r="B71" s="28" t="str">
        <x:v>NEO-MATH-Y7-05</x:v>
      </x:c>
      <x:c r="C71" s="28" t="str">
        <x:v>Year 7 Foundations</x:v>
      </x:c>
      <x:c r="D71" s="28" t="str">
        <x:v>Year 7</x:v>
      </x:c>
      <x:c r="E71" s="28" t="str">
        <x:v>Spatial Reasoning</x:v>
      </x:c>
      <x:c r="F71" s="28" t="str">
        <x:v>Angles Tell Us Why</x:v>
      </x:c>
      <x:c r="G71" s="28" t="str">
        <x:v>Justify missing angles</x:v>
      </x:c>
      <x:c r="H71" s="28" t="str">
        <x:v>Reflection</x:v>
      </x:c>
      <x:c r="I71" s="28" t="str">
        <x:v>Connection, Movement</x:v>
      </x:c>
      <x:c r="J71" s="28" t="str">
        <x:v>Live, Asynchronous, Independent</x:v>
      </x:c>
      <x:c r="K71" s="28" t="str">
        <x:v>Explanation; interactive choices; Scratchpad working; portfolio evidence</x:v>
      </x:c>
      <x:c r="L71" s="28" t="str">
        <x:v>Operations</x:v>
      </x:c>
      <x:c r="M71" s="36" t="str">
        <x:v>Polygons, parallel lines and constructions</x:v>
      </x:c>
    </x:row>
    <x:row r="72" ht="54" customHeight="1">
      <x:c r="A72" s="35" t="str">
        <x:v>NEO-MATH-Y7-05-GEO-04</x:v>
      </x:c>
      <x:c r="B72" s="28" t="str">
        <x:v>NEO-MATH-Y7-05</x:v>
      </x:c>
      <x:c r="C72" s="28" t="str">
        <x:v>Year 7 Foundations</x:v>
      </x:c>
      <x:c r="D72" s="28" t="str">
        <x:v>Year 7</x:v>
      </x:c>
      <x:c r="E72" s="28" t="str">
        <x:v>Spatial Reasoning</x:v>
      </x:c>
      <x:c r="F72" s="28" t="str">
        <x:v>Angles Tell Us Why</x:v>
      </x:c>
      <x:c r="G72" s="28" t="str">
        <x:v>Use precise notation</x:v>
      </x:c>
      <x:c r="H72" s="28" t="str">
        <x:v>Reflection</x:v>
      </x:c>
      <x:c r="I72" s="28" t="str">
        <x:v>Connection, Movement</x:v>
      </x:c>
      <x:c r="J72" s="28" t="str">
        <x:v>Live, Asynchronous, Independent</x:v>
      </x:c>
      <x:c r="K72" s="28" t="str">
        <x:v>Explanation; interactive choices; Scratchpad working; portfolio evidence</x:v>
      </x:c>
      <x:c r="L72" s="28" t="str">
        <x:v>Operations</x:v>
      </x:c>
      <x:c r="M72" s="36" t="str">
        <x:v>Polygons, parallel lines and constructions</x:v>
      </x:c>
    </x:row>
    <x:row r="73" ht="54" customHeight="1">
      <x:c r="A73" s="35" t="str">
        <x:v>NEO-MATH-Y7-05-GEO-05</x:v>
      </x:c>
      <x:c r="B73" s="28" t="str">
        <x:v>NEO-MATH-Y7-05</x:v>
      </x:c>
      <x:c r="C73" s="28" t="str">
        <x:v>Year 7 Foundations</x:v>
      </x:c>
      <x:c r="D73" s="28" t="str">
        <x:v>Year 7</x:v>
      </x:c>
      <x:c r="E73" s="28" t="str">
        <x:v>Spatial Reasoning</x:v>
      </x:c>
      <x:c r="F73" s="28" t="str">
        <x:v>Angles Tell Us Why</x:v>
      </x:c>
      <x:c r="G73" s="28" t="str">
        <x:v>Construct because–therefore chains</x:v>
      </x:c>
      <x:c r="H73" s="28" t="str">
        <x:v>Reflection</x:v>
      </x:c>
      <x:c r="I73" s="28" t="str">
        <x:v>Connection, Movement</x:v>
      </x:c>
      <x:c r="J73" s="28" t="str">
        <x:v>Live, Asynchronous, Independent</x:v>
      </x:c>
      <x:c r="K73" s="28" t="str">
        <x:v>Explanation; interactive choices; Scratchpad working; portfolio evidence</x:v>
      </x:c>
      <x:c r="L73" s="28" t="str">
        <x:v>Operations</x:v>
      </x:c>
      <x:c r="M73" s="36" t="str">
        <x:v>Polygons, parallel lines and constructions</x:v>
      </x:c>
    </x:row>
    <x:row r="74" ht="54" customHeight="1">
      <x:c r="A74" s="35" t="str">
        <x:v>NEO-MATH-Y7-06-GEO-01</x:v>
      </x:c>
      <x:c r="B74" s="28" t="str">
        <x:v>NEO-MATH-Y7-06</x:v>
      </x:c>
      <x:c r="C74" s="28" t="str">
        <x:v>Year 7 Foundations</x:v>
      </x:c>
      <x:c r="D74" s="28" t="str">
        <x:v>Year 7</x:v>
      </x:c>
      <x:c r="E74" s="28" t="str">
        <x:v>Spatial Reasoning</x:v>
      </x:c>
      <x:c r="F74" s="28" t="str">
        <x:v>Perimeter and Area: Same Shape Story?</x:v>
      </x:c>
      <x:c r="G74" s="28" t="str">
        <x:v>Distinguish perimeter and area</x:v>
      </x:c>
      <x:c r="H74" s="28" t="str">
        <x:v>Creativity</x:v>
      </x:c>
      <x:c r="I74" s="28" t="str">
        <x:v>Movement, Reflection</x:v>
      </x:c>
      <x:c r="J74" s="28" t="str">
        <x:v>Live, Asynchronous, Independent</x:v>
      </x:c>
      <x:c r="K74" s="28" t="str">
        <x:v>Explanation; interactive choices; Scratchpad working; portfolio evidence</x:v>
      </x:c>
      <x:c r="L74" s="28" t="str">
        <x:v>Angle and shape properties</x:v>
      </x:c>
      <x:c r="M74" s="36" t="str">
        <x:v>Circles, volume and scale</x:v>
      </x:c>
    </x:row>
    <x:row r="75" ht="54" customHeight="1">
      <x:c r="A75" s="35" t="str">
        <x:v>NEO-MATH-Y7-06-GEO-02</x:v>
      </x:c>
      <x:c r="B75" s="28" t="str">
        <x:v>NEO-MATH-Y7-06</x:v>
      </x:c>
      <x:c r="C75" s="28" t="str">
        <x:v>Year 7 Foundations</x:v>
      </x:c>
      <x:c r="D75" s="28" t="str">
        <x:v>Year 7</x:v>
      </x:c>
      <x:c r="E75" s="28" t="str">
        <x:v>Spatial Reasoning</x:v>
      </x:c>
      <x:c r="F75" s="28" t="str">
        <x:v>Perimeter and Area: Same Shape Story?</x:v>
      </x:c>
      <x:c r="G75" s="28" t="str">
        <x:v>Derive/use area formulae</x:v>
      </x:c>
      <x:c r="H75" s="28" t="str">
        <x:v>Creativity</x:v>
      </x:c>
      <x:c r="I75" s="28" t="str">
        <x:v>Movement, Reflection</x:v>
      </x:c>
      <x:c r="J75" s="28" t="str">
        <x:v>Live, Asynchronous, Independent</x:v>
      </x:c>
      <x:c r="K75" s="28" t="str">
        <x:v>Explanation; interactive choices; Scratchpad working; portfolio evidence</x:v>
      </x:c>
      <x:c r="L75" s="28" t="str">
        <x:v>Angle and shape properties</x:v>
      </x:c>
      <x:c r="M75" s="36" t="str">
        <x:v>Circles, volume and scale</x:v>
      </x:c>
    </x:row>
    <x:row r="76" ht="54" customHeight="1">
      <x:c r="A76" s="35" t="str">
        <x:v>NEO-MATH-Y7-06-GEO-03</x:v>
      </x:c>
      <x:c r="B76" s="28" t="str">
        <x:v>NEO-MATH-Y7-06</x:v>
      </x:c>
      <x:c r="C76" s="28" t="str">
        <x:v>Year 7 Foundations</x:v>
      </x:c>
      <x:c r="D76" s="28" t="str">
        <x:v>Year 7</x:v>
      </x:c>
      <x:c r="E76" s="28" t="str">
        <x:v>Spatial Reasoning</x:v>
      </x:c>
      <x:c r="F76" s="28" t="str">
        <x:v>Perimeter and Area: Same Shape Story?</x:v>
      </x:c>
      <x:c r="G76" s="28" t="str">
        <x:v>Calculate composite perimeter/area</x:v>
      </x:c>
      <x:c r="H76" s="28" t="str">
        <x:v>Creativity</x:v>
      </x:c>
      <x:c r="I76" s="28" t="str">
        <x:v>Movement, Reflection</x:v>
      </x:c>
      <x:c r="J76" s="28" t="str">
        <x:v>Live, Asynchronous, Independent</x:v>
      </x:c>
      <x:c r="K76" s="28" t="str">
        <x:v>Explanation; interactive choices; Scratchpad working; portfolio evidence</x:v>
      </x:c>
      <x:c r="L76" s="28" t="str">
        <x:v>Angle and shape properties</x:v>
      </x:c>
      <x:c r="M76" s="36" t="str">
        <x:v>Circles, volume and scale</x:v>
      </x:c>
    </x:row>
    <x:row r="77" ht="54" customHeight="1">
      <x:c r="A77" s="35" t="str">
        <x:v>NEO-MATH-Y7-06-GEO-04</x:v>
      </x:c>
      <x:c r="B77" s="28" t="str">
        <x:v>NEO-MATH-Y7-06</x:v>
      </x:c>
      <x:c r="C77" s="28" t="str">
        <x:v>Year 7 Foundations</x:v>
      </x:c>
      <x:c r="D77" s="28" t="str">
        <x:v>Year 7</x:v>
      </x:c>
      <x:c r="E77" s="28" t="str">
        <x:v>Spatial Reasoning</x:v>
      </x:c>
      <x:c r="F77" s="28" t="str">
        <x:v>Perimeter and Area: Same Shape Story?</x:v>
      </x:c>
      <x:c r="G77" s="28" t="str">
        <x:v>Convert metric units</x:v>
      </x:c>
      <x:c r="H77" s="28" t="str">
        <x:v>Creativity</x:v>
      </x:c>
      <x:c r="I77" s="28" t="str">
        <x:v>Movement, Reflection</x:v>
      </x:c>
      <x:c r="J77" s="28" t="str">
        <x:v>Live, Asynchronous, Independent</x:v>
      </x:c>
      <x:c r="K77" s="28" t="str">
        <x:v>Explanation; interactive choices; Scratchpad working; portfolio evidence</x:v>
      </x:c>
      <x:c r="L77" s="28" t="str">
        <x:v>Angle and shape properties</x:v>
      </x:c>
      <x:c r="M77" s="36" t="str">
        <x:v>Circles, volume and scale</x:v>
      </x:c>
    </x:row>
    <x:row r="78" ht="54" customHeight="1">
      <x:c r="A78" s="35" t="str">
        <x:v>NEO-MATH-Y7-06-GEO-05</x:v>
      </x:c>
      <x:c r="B78" s="28" t="str">
        <x:v>NEO-MATH-Y7-06</x:v>
      </x:c>
      <x:c r="C78" s="28" t="str">
        <x:v>Year 7 Foundations</x:v>
      </x:c>
      <x:c r="D78" s="28" t="str">
        <x:v>Year 7</x:v>
      </x:c>
      <x:c r="E78" s="28" t="str">
        <x:v>Spatial Reasoning</x:v>
      </x:c>
      <x:c r="F78" s="28" t="str">
        <x:v>Perimeter and Area: Same Shape Story?</x:v>
      </x:c>
      <x:c r="G78" s="28" t="str">
        <x:v>Justify design choices</x:v>
      </x:c>
      <x:c r="H78" s="28" t="str">
        <x:v>Creativity</x:v>
      </x:c>
      <x:c r="I78" s="28" t="str">
        <x:v>Movement, Reflection</x:v>
      </x:c>
      <x:c r="J78" s="28" t="str">
        <x:v>Live, Asynchronous, Independent</x:v>
      </x:c>
      <x:c r="K78" s="28" t="str">
        <x:v>Explanation; interactive choices; Scratchpad working; portfolio evidence</x:v>
      </x:c>
      <x:c r="L78" s="28" t="str">
        <x:v>Angle and shape properties</x:v>
      </x:c>
      <x:c r="M78" s="36" t="str">
        <x:v>Circles, volume and scale</x:v>
      </x:c>
    </x:row>
    <x:row r="79" ht="54" customHeight="1">
      <x:c r="A79" s="35" t="str">
        <x:v>NEO-MATH-Y7-07-PR-01</x:v>
      </x:c>
      <x:c r="B79" s="28" t="str">
        <x:v>NEO-MATH-Y7-07</x:v>
      </x:c>
      <x:c r="C79" s="28" t="str">
        <x:v>Year 7 Foundations</x:v>
      </x:c>
      <x:c r="D79" s="28" t="str">
        <x:v>Year 7</x:v>
      </x:c>
      <x:c r="E79" s="28" t="str">
        <x:v>Proportional Reasoning</x:v>
      </x:c>
      <x:c r="F79" s="28" t="str">
        <x:v>Relationships That Scale</x:v>
      </x:c>
      <x:c r="G79" s="28" t="str">
        <x:v>Use ratio notation</x:v>
      </x:c>
      <x:c r="H79" s="28" t="str">
        <x:v>Connection</x:v>
      </x:c>
      <x:c r="I79" s="28" t="str">
        <x:v>Movement, Reflection; Nutrition contextual</x:v>
      </x:c>
      <x:c r="J79" s="28" t="str">
        <x:v>Live, Asynchronous, Independent</x:v>
      </x:c>
      <x:c r="K79" s="28" t="str">
        <x:v>Explanation; interactive choices; Scratchpad working; portfolio evidence</x:v>
      </x:c>
      <x:c r="L79" s="28" t="str">
        <x:v>FDP</x:v>
      </x:c>
      <x:c r="M79" s="36" t="str">
        <x:v>Rates, direct proportion and similarity</x:v>
      </x:c>
    </x:row>
    <x:row r="80" ht="54" customHeight="1">
      <x:c r="A80" s="35" t="str">
        <x:v>NEO-MATH-Y7-07-PR-02</x:v>
      </x:c>
      <x:c r="B80" s="28" t="str">
        <x:v>NEO-MATH-Y7-07</x:v>
      </x:c>
      <x:c r="C80" s="28" t="str">
        <x:v>Year 7 Foundations</x:v>
      </x:c>
      <x:c r="D80" s="28" t="str">
        <x:v>Year 7</x:v>
      </x:c>
      <x:c r="E80" s="28" t="str">
        <x:v>Proportional Reasoning</x:v>
      </x:c>
      <x:c r="F80" s="28" t="str">
        <x:v>Relationships That Scale</x:v>
      </x:c>
      <x:c r="G80" s="28" t="str">
        <x:v>Simplify ratios</x:v>
      </x:c>
      <x:c r="H80" s="28" t="str">
        <x:v>Connection</x:v>
      </x:c>
      <x:c r="I80" s="28" t="str">
        <x:v>Movement, Reflection; Nutrition contextual</x:v>
      </x:c>
      <x:c r="J80" s="28" t="str">
        <x:v>Live, Asynchronous, Independent</x:v>
      </x:c>
      <x:c r="K80" s="28" t="str">
        <x:v>Explanation; interactive choices; Scratchpad working; portfolio evidence</x:v>
      </x:c>
      <x:c r="L80" s="28" t="str">
        <x:v>FDP</x:v>
      </x:c>
      <x:c r="M80" s="36" t="str">
        <x:v>Rates, direct proportion and similarity</x:v>
      </x:c>
    </x:row>
    <x:row r="81" ht="54" customHeight="1">
      <x:c r="A81" s="35" t="str">
        <x:v>NEO-MATH-Y7-07-PR-03</x:v>
      </x:c>
      <x:c r="B81" s="28" t="str">
        <x:v>NEO-MATH-Y7-07</x:v>
      </x:c>
      <x:c r="C81" s="28" t="str">
        <x:v>Year 7 Foundations</x:v>
      </x:c>
      <x:c r="D81" s="28" t="str">
        <x:v>Year 7</x:v>
      </x:c>
      <x:c r="E81" s="28" t="str">
        <x:v>Proportional Reasoning</x:v>
      </x:c>
      <x:c r="F81" s="28" t="str">
        <x:v>Relationships That Scale</x:v>
      </x:c>
      <x:c r="G81" s="28" t="str">
        <x:v>Distinguish part-part and part-whole</x:v>
      </x:c>
      <x:c r="H81" s="28" t="str">
        <x:v>Connection</x:v>
      </x:c>
      <x:c r="I81" s="28" t="str">
        <x:v>Movement, Reflection; Nutrition contextual</x:v>
      </x:c>
      <x:c r="J81" s="28" t="str">
        <x:v>Live, Asynchronous, Independent</x:v>
      </x:c>
      <x:c r="K81" s="28" t="str">
        <x:v>Explanation; interactive choices; Scratchpad working; portfolio evidence</x:v>
      </x:c>
      <x:c r="L81" s="28" t="str">
        <x:v>FDP</x:v>
      </x:c>
      <x:c r="M81" s="36" t="str">
        <x:v>Rates, direct proportion and similarity</x:v>
      </x:c>
    </x:row>
    <x:row r="82" ht="54" customHeight="1">
      <x:c r="A82" s="35" t="str">
        <x:v>NEO-MATH-Y7-07-PR-04</x:v>
      </x:c>
      <x:c r="B82" s="28" t="str">
        <x:v>NEO-MATH-Y7-07</x:v>
      </x:c>
      <x:c r="C82" s="28" t="str">
        <x:v>Year 7 Foundations</x:v>
      </x:c>
      <x:c r="D82" s="28" t="str">
        <x:v>Year 7</x:v>
      </x:c>
      <x:c r="E82" s="28" t="str">
        <x:v>Proportional Reasoning</x:v>
      </x:c>
      <x:c r="F82" s="28" t="str">
        <x:v>Relationships That Scale</x:v>
      </x:c>
      <x:c r="G82" s="28" t="str">
        <x:v>Use scale factors</x:v>
      </x:c>
      <x:c r="H82" s="28" t="str">
        <x:v>Connection</x:v>
      </x:c>
      <x:c r="I82" s="28" t="str">
        <x:v>Movement, Reflection; Nutrition contextual</x:v>
      </x:c>
      <x:c r="J82" s="28" t="str">
        <x:v>Live, Asynchronous, Independent</x:v>
      </x:c>
      <x:c r="K82" s="28" t="str">
        <x:v>Explanation; interactive choices; Scratchpad working; portfolio evidence</x:v>
      </x:c>
      <x:c r="L82" s="28" t="str">
        <x:v>FDP</x:v>
      </x:c>
      <x:c r="M82" s="36" t="str">
        <x:v>Rates, direct proportion and similarity</x:v>
      </x:c>
    </x:row>
    <x:row r="83" ht="54" customHeight="1">
      <x:c r="A83" s="35" t="str">
        <x:v>NEO-MATH-Y7-07-PR-05</x:v>
      </x:c>
      <x:c r="B83" s="28" t="str">
        <x:v>NEO-MATH-Y7-07</x:v>
      </x:c>
      <x:c r="C83" s="28" t="str">
        <x:v>Year 7 Foundations</x:v>
      </x:c>
      <x:c r="D83" s="28" t="str">
        <x:v>Year 7</x:v>
      </x:c>
      <x:c r="E83" s="28" t="str">
        <x:v>Proportional Reasoning</x:v>
      </x:c>
      <x:c r="F83" s="28" t="str">
        <x:v>Relationships That Scale</x:v>
      </x:c>
      <x:c r="G83" s="28" t="str">
        <x:v>Share in a ratio</x:v>
      </x:c>
      <x:c r="H83" s="28" t="str">
        <x:v>Connection</x:v>
      </x:c>
      <x:c r="I83" s="28" t="str">
        <x:v>Movement, Reflection; Nutrition contextual</x:v>
      </x:c>
      <x:c r="J83" s="28" t="str">
        <x:v>Live, Asynchronous, Independent</x:v>
      </x:c>
      <x:c r="K83" s="28" t="str">
        <x:v>Explanation; interactive choices; Scratchpad working; portfolio evidence</x:v>
      </x:c>
      <x:c r="L83" s="28" t="str">
        <x:v>FDP</x:v>
      </x:c>
      <x:c r="M83" s="36" t="str">
        <x:v>Rates, direct proportion and similarity</x:v>
      </x:c>
    </x:row>
    <x:row r="84" ht="54" customHeight="1">
      <x:c r="A84" s="35" t="str">
        <x:v>NEO-MATH-Y7-07-PR-06</x:v>
      </x:c>
      <x:c r="B84" s="28" t="str">
        <x:v>NEO-MATH-Y7-07</x:v>
      </x:c>
      <x:c r="C84" s="28" t="str">
        <x:v>Year 7 Foundations</x:v>
      </x:c>
      <x:c r="D84" s="28" t="str">
        <x:v>Year 7</x:v>
      </x:c>
      <x:c r="E84" s="28" t="str">
        <x:v>Proportional Reasoning</x:v>
      </x:c>
      <x:c r="F84" s="28" t="str">
        <x:v>Relationships That Scale</x:v>
      </x:c>
      <x:c r="G84" s="28" t="str">
        <x:v>Explain multiplicative relationships</x:v>
      </x:c>
      <x:c r="H84" s="28" t="str">
        <x:v>Connection</x:v>
      </x:c>
      <x:c r="I84" s="28" t="str">
        <x:v>Movement, Reflection; Nutrition contextual</x:v>
      </x:c>
      <x:c r="J84" s="28" t="str">
        <x:v>Live, Asynchronous, Independent</x:v>
      </x:c>
      <x:c r="K84" s="28" t="str">
        <x:v>Explanation; interactive choices; Scratchpad working; portfolio evidence</x:v>
      </x:c>
      <x:c r="L84" s="28" t="str">
        <x:v>FDP</x:v>
      </x:c>
      <x:c r="M84" s="36" t="str">
        <x:v>Rates, direct proportion and similarity</x:v>
      </x:c>
    </x:row>
    <x:row r="85" ht="54" customHeight="1">
      <x:c r="A85" s="35" t="str">
        <x:v>NEO-MATH-Y7-08-FUN-01</x:v>
      </x:c>
      <x:c r="B85" s="28" t="str">
        <x:v>NEO-MATH-Y7-08</x:v>
      </x:c>
      <x:c r="C85" s="28" t="str">
        <x:v>Year 7 Foundations</x:v>
      </x:c>
      <x:c r="D85" s="28" t="str">
        <x:v>Year 7</x:v>
      </x:c>
      <x:c r="E85" s="28" t="str">
        <x:v>Change &amp; Functions</x:v>
      </x:c>
      <x:c r="F85" s="28" t="str">
        <x:v>Coordinates and Moves</x:v>
      </x:c>
      <x:c r="G85" s="28" t="str">
        <x:v>Plot coordinates</x:v>
      </x:c>
      <x:c r="H85" s="28" t="str">
        <x:v>Movement</x:v>
      </x:c>
      <x:c r="I85" s="28" t="str">
        <x:v>Connection, Creativity</x:v>
      </x:c>
      <x:c r="J85" s="28" t="str">
        <x:v>Live, Asynchronous, Independent</x:v>
      </x:c>
      <x:c r="K85" s="28" t="str">
        <x:v>Explanation; interactive choices; Scratchpad working; portfolio evidence</x:v>
      </x:c>
      <x:c r="L85" s="28" t="str">
        <x:v>Number line and shapes</x:v>
      </x:c>
      <x:c r="M85" s="36" t="str">
        <x:v>Linear graphs and transformations</x:v>
      </x:c>
    </x:row>
    <x:row r="86" ht="54" customHeight="1">
      <x:c r="A86" s="35" t="str">
        <x:v>NEO-MATH-Y7-08-FUN-02</x:v>
      </x:c>
      <x:c r="B86" s="28" t="str">
        <x:v>NEO-MATH-Y7-08</x:v>
      </x:c>
      <x:c r="C86" s="28" t="str">
        <x:v>Year 7 Foundations</x:v>
      </x:c>
      <x:c r="D86" s="28" t="str">
        <x:v>Year 7</x:v>
      </x:c>
      <x:c r="E86" s="28" t="str">
        <x:v>Change &amp; Functions</x:v>
      </x:c>
      <x:c r="F86" s="28" t="str">
        <x:v>Coordinates and Moves</x:v>
      </x:c>
      <x:c r="G86" s="28" t="str">
        <x:v>Use four quadrants when ready</x:v>
      </x:c>
      <x:c r="H86" s="28" t="str">
        <x:v>Movement</x:v>
      </x:c>
      <x:c r="I86" s="28" t="str">
        <x:v>Connection, Creativity</x:v>
      </x:c>
      <x:c r="J86" s="28" t="str">
        <x:v>Live, Asynchronous, Independent</x:v>
      </x:c>
      <x:c r="K86" s="28" t="str">
        <x:v>Explanation; interactive choices; Scratchpad working; portfolio evidence</x:v>
      </x:c>
      <x:c r="L86" s="28" t="str">
        <x:v>Number line and shapes</x:v>
      </x:c>
      <x:c r="M86" s="36" t="str">
        <x:v>Linear graphs and transformations</x:v>
      </x:c>
    </x:row>
    <x:row r="87" ht="54" customHeight="1">
      <x:c r="A87" s="35" t="str">
        <x:v>NEO-MATH-Y7-08-FUN-03</x:v>
      </x:c>
      <x:c r="B87" s="28" t="str">
        <x:v>NEO-MATH-Y7-08</x:v>
      </x:c>
      <x:c r="C87" s="28" t="str">
        <x:v>Year 7 Foundations</x:v>
      </x:c>
      <x:c r="D87" s="28" t="str">
        <x:v>Year 7</x:v>
      </x:c>
      <x:c r="E87" s="28" t="str">
        <x:v>Change &amp; Functions</x:v>
      </x:c>
      <x:c r="F87" s="28" t="str">
        <x:v>Coordinates and Moves</x:v>
      </x:c>
      <x:c r="G87" s="28" t="str">
        <x:v>Describe translations</x:v>
      </x:c>
      <x:c r="H87" s="28" t="str">
        <x:v>Movement</x:v>
      </x:c>
      <x:c r="I87" s="28" t="str">
        <x:v>Connection, Creativity</x:v>
      </x:c>
      <x:c r="J87" s="28" t="str">
        <x:v>Live, Asynchronous, Independent</x:v>
      </x:c>
      <x:c r="K87" s="28" t="str">
        <x:v>Explanation; interactive choices; Scratchpad working; portfolio evidence</x:v>
      </x:c>
      <x:c r="L87" s="28" t="str">
        <x:v>Number line and shapes</x:v>
      </x:c>
      <x:c r="M87" s="36" t="str">
        <x:v>Linear graphs and transformations</x:v>
      </x:c>
    </x:row>
    <x:row r="88" ht="54" customHeight="1">
      <x:c r="A88" s="35" t="str">
        <x:v>NEO-MATH-Y7-08-FUN-04</x:v>
      </x:c>
      <x:c r="B88" s="28" t="str">
        <x:v>NEO-MATH-Y7-08</x:v>
      </x:c>
      <x:c r="C88" s="28" t="str">
        <x:v>Year 7 Foundations</x:v>
      </x:c>
      <x:c r="D88" s="28" t="str">
        <x:v>Year 7</x:v>
      </x:c>
      <x:c r="E88" s="28" t="str">
        <x:v>Change &amp; Functions</x:v>
      </x:c>
      <x:c r="F88" s="28" t="str">
        <x:v>Coordinates and Moves</x:v>
      </x:c>
      <x:c r="G88" s="28" t="str">
        <x:v>Reflect shapes</x:v>
      </x:c>
      <x:c r="H88" s="28" t="str">
        <x:v>Movement</x:v>
      </x:c>
      <x:c r="I88" s="28" t="str">
        <x:v>Connection, Creativity</x:v>
      </x:c>
      <x:c r="J88" s="28" t="str">
        <x:v>Live, Asynchronous, Independent</x:v>
      </x:c>
      <x:c r="K88" s="28" t="str">
        <x:v>Explanation; interactive choices; Scratchpad working; portfolio evidence</x:v>
      </x:c>
      <x:c r="L88" s="28" t="str">
        <x:v>Number line and shapes</x:v>
      </x:c>
      <x:c r="M88" s="36" t="str">
        <x:v>Linear graphs and transformations</x:v>
      </x:c>
    </x:row>
    <x:row r="89" ht="54" customHeight="1">
      <x:c r="A89" s="35" t="str">
        <x:v>NEO-MATH-Y7-08-FUN-05</x:v>
      </x:c>
      <x:c r="B89" s="28" t="str">
        <x:v>NEO-MATH-Y7-08</x:v>
      </x:c>
      <x:c r="C89" s="28" t="str">
        <x:v>Year 7 Foundations</x:v>
      </x:c>
      <x:c r="D89" s="28" t="str">
        <x:v>Year 7</x:v>
      </x:c>
      <x:c r="E89" s="28" t="str">
        <x:v>Change &amp; Functions</x:v>
      </x:c>
      <x:c r="F89" s="28" t="str">
        <x:v>Coordinates and Moves</x:v>
      </x:c>
      <x:c r="G89" s="28" t="str">
        <x:v>Connect coordinates to transformations</x:v>
      </x:c>
      <x:c r="H89" s="28" t="str">
        <x:v>Movement</x:v>
      </x:c>
      <x:c r="I89" s="28" t="str">
        <x:v>Connection, Creativity</x:v>
      </x:c>
      <x:c r="J89" s="28" t="str">
        <x:v>Live, Asynchronous, Independent</x:v>
      </x:c>
      <x:c r="K89" s="28" t="str">
        <x:v>Explanation; interactive choices; Scratchpad working; portfolio evidence</x:v>
      </x:c>
      <x:c r="L89" s="28" t="str">
        <x:v>Number line and shapes</x:v>
      </x:c>
      <x:c r="M89" s="36" t="str">
        <x:v>Linear graphs and transformations</x:v>
      </x:c>
    </x:row>
    <x:row r="90" ht="54" customHeight="1">
      <x:c r="A90" s="35" t="str">
        <x:v>NEO-MATH-Y7-08-FUN-06</x:v>
      </x:c>
      <x:c r="B90" s="28" t="str">
        <x:v>NEO-MATH-Y7-08</x:v>
      </x:c>
      <x:c r="C90" s="28" t="str">
        <x:v>Year 7 Foundations</x:v>
      </x:c>
      <x:c r="D90" s="28" t="str">
        <x:v>Year 7</x:v>
      </x:c>
      <x:c r="E90" s="28" t="str">
        <x:v>Change &amp; Functions</x:v>
      </x:c>
      <x:c r="F90" s="28" t="str">
        <x:v>Coordinates and Moves</x:v>
      </x:c>
      <x:c r="G90" s="28" t="str">
        <x:v>Check invariants</x:v>
      </x:c>
      <x:c r="H90" s="28" t="str">
        <x:v>Movement</x:v>
      </x:c>
      <x:c r="I90" s="28" t="str">
        <x:v>Connection, Creativity</x:v>
      </x:c>
      <x:c r="J90" s="28" t="str">
        <x:v>Live, Asynchronous, Independent</x:v>
      </x:c>
      <x:c r="K90" s="28" t="str">
        <x:v>Explanation; interactive choices; Scratchpad working; portfolio evidence</x:v>
      </x:c>
      <x:c r="L90" s="28" t="str">
        <x:v>Number line and shapes</x:v>
      </x:c>
      <x:c r="M90" s="36" t="str">
        <x:v>Linear graphs and transformations</x:v>
      </x:c>
    </x:row>
    <x:row r="91" ht="54" customHeight="1">
      <x:c r="A91" s="35" t="str">
        <x:v>NEO-MATH-Y7-09-DAT-01</x:v>
      </x:c>
      <x:c r="B91" s="28" t="str">
        <x:v>NEO-MATH-Y7-09</x:v>
      </x:c>
      <x:c r="C91" s="28" t="str">
        <x:v>Year 7 Foundations</x:v>
      </x:c>
      <x:c r="D91" s="28" t="str">
        <x:v>Year 7</x:v>
      </x:c>
      <x:c r="E91" s="28" t="str">
        <x:v>Data &amp; Uncertainty</x:v>
      </x:c>
      <x:c r="F91" s="28" t="str">
        <x:v>Averages and Fair Shares</x:v>
      </x:c>
      <x:c r="G91" s="28" t="str">
        <x:v>Calculate mean/median/mode/range</x:v>
      </x:c>
      <x:c r="H91" s="28" t="str">
        <x:v>Connection</x:v>
      </x:c>
      <x:c r="I91" s="28" t="str">
        <x:v>Reflection, Creativity</x:v>
      </x:c>
      <x:c r="J91" s="28" t="str">
        <x:v>Live, Asynchronous, Independent</x:v>
      </x:c>
      <x:c r="K91" s="28" t="str">
        <x:v>Explanation; interactive choices; Scratchpad working; portfolio evidence</x:v>
      </x:c>
      <x:c r="L91" s="28" t="str">
        <x:v>FDP and operations</x:v>
      </x:c>
      <x:c r="M91" s="36" t="str">
        <x:v>Statistical comparison and correlation</x:v>
      </x:c>
    </x:row>
    <x:row r="92" ht="54" customHeight="1">
      <x:c r="A92" s="35" t="str">
        <x:v>NEO-MATH-Y7-09-DAT-02</x:v>
      </x:c>
      <x:c r="B92" s="28" t="str">
        <x:v>NEO-MATH-Y7-09</x:v>
      </x:c>
      <x:c r="C92" s="28" t="str">
        <x:v>Year 7 Foundations</x:v>
      </x:c>
      <x:c r="D92" s="28" t="str">
        <x:v>Year 7</x:v>
      </x:c>
      <x:c r="E92" s="28" t="str">
        <x:v>Data &amp; Uncertainty</x:v>
      </x:c>
      <x:c r="F92" s="28" t="str">
        <x:v>Averages and Fair Shares</x:v>
      </x:c>
      <x:c r="G92" s="28" t="str">
        <x:v>Interpret averages</x:v>
      </x:c>
      <x:c r="H92" s="28" t="str">
        <x:v>Connection</x:v>
      </x:c>
      <x:c r="I92" s="28" t="str">
        <x:v>Reflection, Creativity</x:v>
      </x:c>
      <x:c r="J92" s="28" t="str">
        <x:v>Live, Asynchronous, Independent</x:v>
      </x:c>
      <x:c r="K92" s="28" t="str">
        <x:v>Explanation; interactive choices; Scratchpad working; portfolio evidence</x:v>
      </x:c>
      <x:c r="L92" s="28" t="str">
        <x:v>FDP and operations</x:v>
      </x:c>
      <x:c r="M92" s="36" t="str">
        <x:v>Statistical comparison and correlation</x:v>
      </x:c>
    </x:row>
    <x:row r="93" ht="54" customHeight="1">
      <x:c r="A93" s="35" t="str">
        <x:v>NEO-MATH-Y7-09-DAT-03</x:v>
      </x:c>
      <x:c r="B93" s="28" t="str">
        <x:v>NEO-MATH-Y7-09</x:v>
      </x:c>
      <x:c r="C93" s="28" t="str">
        <x:v>Year 7 Foundations</x:v>
      </x:c>
      <x:c r="D93" s="28" t="str">
        <x:v>Year 7</x:v>
      </x:c>
      <x:c r="E93" s="28" t="str">
        <x:v>Data &amp; Uncertainty</x:v>
      </x:c>
      <x:c r="F93" s="28" t="str">
        <x:v>Averages and Fair Shares</x:v>
      </x:c>
      <x:c r="G93" s="28" t="str">
        <x:v>Choose a summary</x:v>
      </x:c>
      <x:c r="H93" s="28" t="str">
        <x:v>Connection</x:v>
      </x:c>
      <x:c r="I93" s="28" t="str">
        <x:v>Reflection, Creativity</x:v>
      </x:c>
      <x:c r="J93" s="28" t="str">
        <x:v>Live, Asynchronous, Independent</x:v>
      </x:c>
      <x:c r="K93" s="28" t="str">
        <x:v>Explanation; interactive choices; Scratchpad working; portfolio evidence</x:v>
      </x:c>
      <x:c r="L93" s="28" t="str">
        <x:v>FDP and operations</x:v>
      </x:c>
      <x:c r="M93" s="36" t="str">
        <x:v>Statistical comparison and correlation</x:v>
      </x:c>
    </x:row>
    <x:row r="94" ht="54" customHeight="1">
      <x:c r="A94" s="35" t="str">
        <x:v>NEO-MATH-Y7-09-DAT-04</x:v>
      </x:c>
      <x:c r="B94" s="28" t="str">
        <x:v>NEO-MATH-Y7-09</x:v>
      </x:c>
      <x:c r="C94" s="28" t="str">
        <x:v>Year 7 Foundations</x:v>
      </x:c>
      <x:c r="D94" s="28" t="str">
        <x:v>Year 7</x:v>
      </x:c>
      <x:c r="E94" s="28" t="str">
        <x:v>Data &amp; Uncertainty</x:v>
      </x:c>
      <x:c r="F94" s="28" t="str">
        <x:v>Averages and Fair Shares</x:v>
      </x:c>
      <x:c r="G94" s="28" t="str">
        <x:v>Construct and read charts</x:v>
      </x:c>
      <x:c r="H94" s="28" t="str">
        <x:v>Connection</x:v>
      </x:c>
      <x:c r="I94" s="28" t="str">
        <x:v>Reflection, Creativity</x:v>
      </x:c>
      <x:c r="J94" s="28" t="str">
        <x:v>Live, Asynchronous, Independent</x:v>
      </x:c>
      <x:c r="K94" s="28" t="str">
        <x:v>Explanation; interactive choices; Scratchpad working; portfolio evidence</x:v>
      </x:c>
      <x:c r="L94" s="28" t="str">
        <x:v>FDP and operations</x:v>
      </x:c>
      <x:c r="M94" s="36" t="str">
        <x:v>Statistical comparison and correlation</x:v>
      </x:c>
    </x:row>
    <x:row r="95" ht="54" customHeight="1">
      <x:c r="A95" s="35" t="str">
        <x:v>NEO-MATH-Y7-09-DAT-05</x:v>
      </x:c>
      <x:c r="B95" s="28" t="str">
        <x:v>NEO-MATH-Y7-09</x:v>
      </x:c>
      <x:c r="C95" s="28" t="str">
        <x:v>Year 7 Foundations</x:v>
      </x:c>
      <x:c r="D95" s="28" t="str">
        <x:v>Year 7</x:v>
      </x:c>
      <x:c r="E95" s="28" t="str">
        <x:v>Data &amp; Uncertainty</x:v>
      </x:c>
      <x:c r="F95" s="28" t="str">
        <x:v>Averages and Fair Shares</x:v>
      </x:c>
      <x:c r="G95" s="28" t="str">
        <x:v>Recognise outliers</x:v>
      </x:c>
      <x:c r="H95" s="28" t="str">
        <x:v>Connection</x:v>
      </x:c>
      <x:c r="I95" s="28" t="str">
        <x:v>Reflection, Creativity</x:v>
      </x:c>
      <x:c r="J95" s="28" t="str">
        <x:v>Live, Asynchronous, Independent</x:v>
      </x:c>
      <x:c r="K95" s="28" t="str">
        <x:v>Explanation; interactive choices; Scratchpad working; portfolio evidence</x:v>
      </x:c>
      <x:c r="L95" s="28" t="str">
        <x:v>FDP and operations</x:v>
      </x:c>
      <x:c r="M95" s="36" t="str">
        <x:v>Statistical comparison and correlation</x:v>
      </x:c>
    </x:row>
    <x:row r="96" ht="54" customHeight="1">
      <x:c r="A96" s="35" t="str">
        <x:v>NEO-MATH-Y7-10-DAT-01</x:v>
      </x:c>
      <x:c r="B96" s="28" t="str">
        <x:v>NEO-MATH-Y7-10</x:v>
      </x:c>
      <x:c r="C96" s="28" t="str">
        <x:v>Year 7 Foundations</x:v>
      </x:c>
      <x:c r="D96" s="28" t="str">
        <x:v>Year 7</x:v>
      </x:c>
      <x:c r="E96" s="28" t="str">
        <x:v>Data &amp; Uncertainty</x:v>
      </x:c>
      <x:c r="F96" s="28" t="str">
        <x:v>Chance, Experiments and Fairness</x:v>
      </x:c>
      <x:c r="G96" s="28" t="str">
        <x:v>Use probability scale</x:v>
      </x:c>
      <x:c r="H96" s="28" t="str">
        <x:v>Reflection</x:v>
      </x:c>
      <x:c r="I96" s="28" t="str">
        <x:v>Creativity, Connection</x:v>
      </x:c>
      <x:c r="J96" s="28" t="str">
        <x:v>Live, Asynchronous, Independent</x:v>
      </x:c>
      <x:c r="K96" s="28" t="str">
        <x:v>Explanation; interactive choices; Scratchpad working; portfolio evidence</x:v>
      </x:c>
      <x:c r="L96" s="28" t="str">
        <x:v>Averages</x:v>
      </x:c>
      <x:c r="M96" s="36" t="str">
        <x:v>Sample spaces, Venn and tree diagrams</x:v>
      </x:c>
    </x:row>
    <x:row r="97" ht="54" customHeight="1">
      <x:c r="A97" s="35" t="str">
        <x:v>NEO-MATH-Y7-10-DAT-02</x:v>
      </x:c>
      <x:c r="B97" s="28" t="str">
        <x:v>NEO-MATH-Y7-10</x:v>
      </x:c>
      <x:c r="C97" s="28" t="str">
        <x:v>Year 7 Foundations</x:v>
      </x:c>
      <x:c r="D97" s="28" t="str">
        <x:v>Year 7</x:v>
      </x:c>
      <x:c r="E97" s="28" t="str">
        <x:v>Data &amp; Uncertainty</x:v>
      </x:c>
      <x:c r="F97" s="28" t="str">
        <x:v>Chance, Experiments and Fairness</x:v>
      </x:c>
      <x:c r="G97" s="28" t="str">
        <x:v>Identify outcomes</x:v>
      </x:c>
      <x:c r="H97" s="28" t="str">
        <x:v>Reflection</x:v>
      </x:c>
      <x:c r="I97" s="28" t="str">
        <x:v>Creativity, Connection</x:v>
      </x:c>
      <x:c r="J97" s="28" t="str">
        <x:v>Live, Asynchronous, Independent</x:v>
      </x:c>
      <x:c r="K97" s="28" t="str">
        <x:v>Explanation; interactive choices; Scratchpad working; portfolio evidence</x:v>
      </x:c>
      <x:c r="L97" s="28" t="str">
        <x:v>Averages</x:v>
      </x:c>
      <x:c r="M97" s="36" t="str">
        <x:v>Sample spaces, Venn and tree diagrams</x:v>
      </x:c>
    </x:row>
    <x:row r="98" ht="54" customHeight="1">
      <x:c r="A98" s="35" t="str">
        <x:v>NEO-MATH-Y7-10-DAT-03</x:v>
      </x:c>
      <x:c r="B98" s="28" t="str">
        <x:v>NEO-MATH-Y7-10</x:v>
      </x:c>
      <x:c r="C98" s="28" t="str">
        <x:v>Year 7 Foundations</x:v>
      </x:c>
      <x:c r="D98" s="28" t="str">
        <x:v>Year 7</x:v>
      </x:c>
      <x:c r="E98" s="28" t="str">
        <x:v>Data &amp; Uncertainty</x:v>
      </x:c>
      <x:c r="F98" s="28" t="str">
        <x:v>Chance, Experiments and Fairness</x:v>
      </x:c>
      <x:c r="G98" s="28" t="str">
        <x:v>Calculate simple probabilities</x:v>
      </x:c>
      <x:c r="H98" s="28" t="str">
        <x:v>Reflection</x:v>
      </x:c>
      <x:c r="I98" s="28" t="str">
        <x:v>Creativity, Connection</x:v>
      </x:c>
      <x:c r="J98" s="28" t="str">
        <x:v>Live, Asynchronous, Independent</x:v>
      </x:c>
      <x:c r="K98" s="28" t="str">
        <x:v>Explanation; interactive choices; Scratchpad working; portfolio evidence</x:v>
      </x:c>
      <x:c r="L98" s="28" t="str">
        <x:v>Averages</x:v>
      </x:c>
      <x:c r="M98" s="36" t="str">
        <x:v>Sample spaces, Venn and tree diagrams</x:v>
      </x:c>
    </x:row>
    <x:row r="99" ht="54" customHeight="1">
      <x:c r="A99" s="35" t="str">
        <x:v>NEO-MATH-Y7-10-DAT-04</x:v>
      </x:c>
      <x:c r="B99" s="28" t="str">
        <x:v>NEO-MATH-Y7-10</x:v>
      </x:c>
      <x:c r="C99" s="28" t="str">
        <x:v>Year 7 Foundations</x:v>
      </x:c>
      <x:c r="D99" s="28" t="str">
        <x:v>Year 7</x:v>
      </x:c>
      <x:c r="E99" s="28" t="str">
        <x:v>Data &amp; Uncertainty</x:v>
      </x:c>
      <x:c r="F99" s="28" t="str">
        <x:v>Chance, Experiments and Fairness</x:v>
      </x:c>
      <x:c r="G99" s="28" t="str">
        <x:v>Run experiments</x:v>
      </x:c>
      <x:c r="H99" s="28" t="str">
        <x:v>Reflection</x:v>
      </x:c>
      <x:c r="I99" s="28" t="str">
        <x:v>Creativity, Connection</x:v>
      </x:c>
      <x:c r="J99" s="28" t="str">
        <x:v>Live, Asynchronous, Independent</x:v>
      </x:c>
      <x:c r="K99" s="28" t="str">
        <x:v>Explanation; interactive choices; Scratchpad working; portfolio evidence</x:v>
      </x:c>
      <x:c r="L99" s="28" t="str">
        <x:v>Averages</x:v>
      </x:c>
      <x:c r="M99" s="36" t="str">
        <x:v>Sample spaces, Venn and tree diagrams</x:v>
      </x:c>
    </x:row>
    <x:row r="100" ht="54" customHeight="1">
      <x:c r="A100" s="35" t="str">
        <x:v>NEO-MATH-Y7-10-DAT-05</x:v>
      </x:c>
      <x:c r="B100" s="28" t="str">
        <x:v>NEO-MATH-Y7-10</x:v>
      </x:c>
      <x:c r="C100" s="28" t="str">
        <x:v>Year 7 Foundations</x:v>
      </x:c>
      <x:c r="D100" s="28" t="str">
        <x:v>Year 7</x:v>
      </x:c>
      <x:c r="E100" s="28" t="str">
        <x:v>Data &amp; Uncertainty</x:v>
      </x:c>
      <x:c r="F100" s="28" t="str">
        <x:v>Chance, Experiments and Fairness</x:v>
      </x:c>
      <x:c r="G100" s="28" t="str">
        <x:v>Compare experimental and theoretical results</x:v>
      </x:c>
      <x:c r="H100" s="28" t="str">
        <x:v>Reflection</x:v>
      </x:c>
      <x:c r="I100" s="28" t="str">
        <x:v>Creativity, Connection</x:v>
      </x:c>
      <x:c r="J100" s="28" t="str">
        <x:v>Live, Asynchronous, Independent</x:v>
      </x:c>
      <x:c r="K100" s="28" t="str">
        <x:v>Explanation; interactive choices; Scratchpad working; portfolio evidence</x:v>
      </x:c>
      <x:c r="L100" s="28" t="str">
        <x:v>Averages</x:v>
      </x:c>
      <x:c r="M100" s="36" t="str">
        <x:v>Sample spaces, Venn and tree diagrams</x:v>
      </x:c>
    </x:row>
    <x:row r="101" ht="54" customHeight="1">
      <x:c r="A101" s="35" t="str">
        <x:v>NEO-MATH-Y7-10-DAT-06</x:v>
      </x:c>
      <x:c r="B101" s="28" t="str">
        <x:v>NEO-MATH-Y7-10</x:v>
      </x:c>
      <x:c r="C101" s="28" t="str">
        <x:v>Year 7 Foundations</x:v>
      </x:c>
      <x:c r="D101" s="28" t="str">
        <x:v>Year 7</x:v>
      </x:c>
      <x:c r="E101" s="28" t="str">
        <x:v>Data &amp; Uncertainty</x:v>
      </x:c>
      <x:c r="F101" s="28" t="str">
        <x:v>Chance, Experiments and Fairness</x:v>
      </x:c>
      <x:c r="G101" s="28" t="str">
        <x:v>Discuss sample size</x:v>
      </x:c>
      <x:c r="H101" s="28" t="str">
        <x:v>Reflection</x:v>
      </x:c>
      <x:c r="I101" s="28" t="str">
        <x:v>Creativity, Connection</x:v>
      </x:c>
      <x:c r="J101" s="28" t="str">
        <x:v>Live, Asynchronous, Independent</x:v>
      </x:c>
      <x:c r="K101" s="28" t="str">
        <x:v>Explanation; interactive choices; Scratchpad working; portfolio evidence</x:v>
      </x:c>
      <x:c r="L101" s="28" t="str">
        <x:v>Averages</x:v>
      </x:c>
      <x:c r="M101" s="36" t="str">
        <x:v>Sample spaces, Venn and tree diagrams</x:v>
      </x:c>
    </x:row>
    <x:row r="102" ht="54" customHeight="1">
      <x:c r="A102" s="35" t="str">
        <x:v>NEO-MATH-Y8-01-NUM-01</x:v>
      </x:c>
      <x:c r="B102" s="28" t="str">
        <x:v>NEO-MATH-Y8-01</x:v>
      </x:c>
      <x:c r="C102" s="28" t="str">
        <x:v>Year 8 Connections</x:v>
      </x:c>
      <x:c r="D102" s="28" t="str">
        <x:v>Year 8</x:v>
      </x:c>
      <x:c r="E102" s="28" t="str">
        <x:v>Number Sense</x:v>
      </x:c>
      <x:c r="F102" s="28" t="str">
        <x:v>Percent Change and the Story of Growth</x:v>
      </x:c>
      <x:c r="G102" s="28" t="str">
        <x:v>Calculate percentage increase/decrease</x:v>
      </x:c>
      <x:c r="H102" s="28" t="str">
        <x:v>Movement</x:v>
      </x:c>
      <x:c r="I102" s="28" t="str">
        <x:v>Reflection, Connection</x:v>
      </x:c>
      <x:c r="J102" s="28" t="str">
        <x:v>Live, Asynchronous, Independent</x:v>
      </x:c>
      <x:c r="K102" s="28" t="str">
        <x:v>Explanation; interactive choices; Scratchpad working; portfolio evidence</x:v>
      </x:c>
      <x:c r="L102" s="28" t="str">
        <x:v>FDP</x:v>
      </x:c>
      <x:c r="M102" s="36" t="str">
        <x:v>Compound percentage and financial models</x:v>
      </x:c>
    </x:row>
    <x:row r="103" ht="54" customHeight="1">
      <x:c r="A103" s="35" t="str">
        <x:v>NEO-MATH-Y8-01-NUM-02</x:v>
      </x:c>
      <x:c r="B103" s="28" t="str">
        <x:v>NEO-MATH-Y8-01</x:v>
      </x:c>
      <x:c r="C103" s="28" t="str">
        <x:v>Year 8 Connections</x:v>
      </x:c>
      <x:c r="D103" s="28" t="str">
        <x:v>Year 8</x:v>
      </x:c>
      <x:c r="E103" s="28" t="str">
        <x:v>Number Sense</x:v>
      </x:c>
      <x:c r="F103" s="28" t="str">
        <x:v>Percent Change and the Story of Growth</x:v>
      </x:c>
      <x:c r="G103" s="28" t="str">
        <x:v>Use multipliers informally</x:v>
      </x:c>
      <x:c r="H103" s="28" t="str">
        <x:v>Movement</x:v>
      </x:c>
      <x:c r="I103" s="28" t="str">
        <x:v>Reflection, Connection</x:v>
      </x:c>
      <x:c r="J103" s="28" t="str">
        <x:v>Live, Asynchronous, Independent</x:v>
      </x:c>
      <x:c r="K103" s="28" t="str">
        <x:v>Explanation; interactive choices; Scratchpad working; portfolio evidence</x:v>
      </x:c>
      <x:c r="L103" s="28" t="str">
        <x:v>FDP</x:v>
      </x:c>
      <x:c r="M103" s="36" t="str">
        <x:v>Compound percentage and financial models</x:v>
      </x:c>
    </x:row>
    <x:row r="104" ht="54" customHeight="1">
      <x:c r="A104" s="35" t="str">
        <x:v>NEO-MATH-Y8-01-NUM-03</x:v>
      </x:c>
      <x:c r="B104" s="28" t="str">
        <x:v>NEO-MATH-Y8-01</x:v>
      </x:c>
      <x:c r="C104" s="28" t="str">
        <x:v>Year 8 Connections</x:v>
      </x:c>
      <x:c r="D104" s="28" t="str">
        <x:v>Year 8</x:v>
      </x:c>
      <x:c r="E104" s="28" t="str">
        <x:v>Number Sense</x:v>
      </x:c>
      <x:c r="F104" s="28" t="str">
        <x:v>Percent Change and the Story of Growth</x:v>
      </x:c>
      <x:c r="G104" s="28" t="str">
        <x:v>Find original values in accessible cases</x:v>
      </x:c>
      <x:c r="H104" s="28" t="str">
        <x:v>Movement</x:v>
      </x:c>
      <x:c r="I104" s="28" t="str">
        <x:v>Reflection, Connection</x:v>
      </x:c>
      <x:c r="J104" s="28" t="str">
        <x:v>Live, Asynchronous, Independent</x:v>
      </x:c>
      <x:c r="K104" s="28" t="str">
        <x:v>Explanation; interactive choices; Scratchpad working; portfolio evidence</x:v>
      </x:c>
      <x:c r="L104" s="28" t="str">
        <x:v>FDP</x:v>
      </x:c>
      <x:c r="M104" s="36" t="str">
        <x:v>Compound percentage and financial models</x:v>
      </x:c>
    </x:row>
    <x:row r="105" ht="54" customHeight="1">
      <x:c r="A105" s="35" t="str">
        <x:v>NEO-MATH-Y8-01-NUM-04</x:v>
      </x:c>
      <x:c r="B105" s="28" t="str">
        <x:v>NEO-MATH-Y8-01</x:v>
      </x:c>
      <x:c r="C105" s="28" t="str">
        <x:v>Year 8 Connections</x:v>
      </x:c>
      <x:c r="D105" s="28" t="str">
        <x:v>Year 8</x:v>
      </x:c>
      <x:c r="E105" s="28" t="str">
        <x:v>Number Sense</x:v>
      </x:c>
      <x:c r="F105" s="28" t="str">
        <x:v>Percent Change and the Story of Growth</x:v>
      </x:c>
      <x:c r="G105" s="28" t="str">
        <x:v>Estimate</x:v>
      </x:c>
      <x:c r="H105" s="28" t="str">
        <x:v>Movement</x:v>
      </x:c>
      <x:c r="I105" s="28" t="str">
        <x:v>Reflection, Connection</x:v>
      </x:c>
      <x:c r="J105" s="28" t="str">
        <x:v>Live, Asynchronous, Independent</x:v>
      </x:c>
      <x:c r="K105" s="28" t="str">
        <x:v>Explanation; interactive choices; Scratchpad working; portfolio evidence</x:v>
      </x:c>
      <x:c r="L105" s="28" t="str">
        <x:v>FDP</x:v>
      </x:c>
      <x:c r="M105" s="36" t="str">
        <x:v>Compound percentage and financial models</x:v>
      </x:c>
    </x:row>
    <x:row r="106" ht="54" customHeight="1">
      <x:c r="A106" s="35" t="str">
        <x:v>NEO-MATH-Y8-01-NUM-05</x:v>
      </x:c>
      <x:c r="B106" s="28" t="str">
        <x:v>NEO-MATH-Y8-01</x:v>
      </x:c>
      <x:c r="C106" s="28" t="str">
        <x:v>Year 8 Connections</x:v>
      </x:c>
      <x:c r="D106" s="28" t="str">
        <x:v>Year 8</x:v>
      </x:c>
      <x:c r="E106" s="28" t="str">
        <x:v>Number Sense</x:v>
      </x:c>
      <x:c r="F106" s="28" t="str">
        <x:v>Percent Change and the Story of Growth</x:v>
      </x:c>
      <x:c r="G106" s="28" t="str">
        <x:v>Explain non-reversibility</x:v>
      </x:c>
      <x:c r="H106" s="28" t="str">
        <x:v>Movement</x:v>
      </x:c>
      <x:c r="I106" s="28" t="str">
        <x:v>Reflection, Connection</x:v>
      </x:c>
      <x:c r="J106" s="28" t="str">
        <x:v>Live, Asynchronous, Independent</x:v>
      </x:c>
      <x:c r="K106" s="28" t="str">
        <x:v>Explanation; interactive choices; Scratchpad working; portfolio evidence</x:v>
      </x:c>
      <x:c r="L106" s="28" t="str">
        <x:v>FDP</x:v>
      </x:c>
      <x:c r="M106" s="36" t="str">
        <x:v>Compound percentage and financial models</x:v>
      </x:c>
    </x:row>
    <x:row r="107" ht="54" customHeight="1">
      <x:c r="A107" s="35" t="str">
        <x:v>NEO-MATH-Y8-02-ALG-01</x:v>
      </x:c>
      <x:c r="B107" s="28" t="str">
        <x:v>NEO-MATH-Y8-02</x:v>
      </x:c>
      <x:c r="C107" s="28" t="str">
        <x:v>Year 8 Connections</x:v>
      </x:c>
      <x:c r="D107" s="28" t="str">
        <x:v>Year 8</x:v>
      </x:c>
      <x:c r="E107" s="28" t="str">
        <x:v>Structure &amp; Generalisation</x:v>
      </x:c>
      <x:c r="F107" s="28" t="str">
        <x:v>Algebra as a Language of Structure</x:v>
      </x:c>
      <x:c r="G107" s="28" t="str">
        <x:v>Collect like terms</x:v>
      </x:c>
      <x:c r="H107" s="28" t="str">
        <x:v>Connection</x:v>
      </x:c>
      <x:c r="I107" s="28" t="str">
        <x:v>Reflection, Creativity</x:v>
      </x:c>
      <x:c r="J107" s="28" t="str">
        <x:v>Live, Asynchronous, Independent</x:v>
      </x:c>
      <x:c r="K107" s="28" t="str">
        <x:v>Explanation; interactive choices; Scratchpad working; portfolio evidence</x:v>
      </x:c>
      <x:c r="L107" s="28" t="str">
        <x:v>Patterns and operations</x:v>
      </x:c>
      <x:c r="M107" s="36" t="str">
        <x:v>Equations and rearranging</x:v>
      </x:c>
    </x:row>
    <x:row r="108" ht="54" customHeight="1">
      <x:c r="A108" s="35" t="str">
        <x:v>NEO-MATH-Y8-02-ALG-02</x:v>
      </x:c>
      <x:c r="B108" s="28" t="str">
        <x:v>NEO-MATH-Y8-02</x:v>
      </x:c>
      <x:c r="C108" s="28" t="str">
        <x:v>Year 8 Connections</x:v>
      </x:c>
      <x:c r="D108" s="28" t="str">
        <x:v>Year 8</x:v>
      </x:c>
      <x:c r="E108" s="28" t="str">
        <x:v>Structure &amp; Generalisation</x:v>
      </x:c>
      <x:c r="F108" s="28" t="str">
        <x:v>Algebra as a Language of Structure</x:v>
      </x:c>
      <x:c r="G108" s="28" t="str">
        <x:v>Substitute</x:v>
      </x:c>
      <x:c r="H108" s="28" t="str">
        <x:v>Connection</x:v>
      </x:c>
      <x:c r="I108" s="28" t="str">
        <x:v>Reflection, Creativity</x:v>
      </x:c>
      <x:c r="J108" s="28" t="str">
        <x:v>Live, Asynchronous, Independent</x:v>
      </x:c>
      <x:c r="K108" s="28" t="str">
        <x:v>Explanation; interactive choices; Scratchpad working; portfolio evidence</x:v>
      </x:c>
      <x:c r="L108" s="28" t="str">
        <x:v>Patterns and operations</x:v>
      </x:c>
      <x:c r="M108" s="36" t="str">
        <x:v>Equations and rearranging</x:v>
      </x:c>
    </x:row>
    <x:row r="109" ht="54" customHeight="1">
      <x:c r="A109" s="35" t="str">
        <x:v>NEO-MATH-Y8-02-ALG-03</x:v>
      </x:c>
      <x:c r="B109" s="28" t="str">
        <x:v>NEO-MATH-Y8-02</x:v>
      </x:c>
      <x:c r="C109" s="28" t="str">
        <x:v>Year 8 Connections</x:v>
      </x:c>
      <x:c r="D109" s="28" t="str">
        <x:v>Year 8</x:v>
      </x:c>
      <x:c r="E109" s="28" t="str">
        <x:v>Structure &amp; Generalisation</x:v>
      </x:c>
      <x:c r="F109" s="28" t="str">
        <x:v>Algebra as a Language of Structure</x:v>
      </x:c>
      <x:c r="G109" s="28" t="str">
        <x:v>Expand brackets</x:v>
      </x:c>
      <x:c r="H109" s="28" t="str">
        <x:v>Connection</x:v>
      </x:c>
      <x:c r="I109" s="28" t="str">
        <x:v>Reflection, Creativity</x:v>
      </x:c>
      <x:c r="J109" s="28" t="str">
        <x:v>Live, Asynchronous, Independent</x:v>
      </x:c>
      <x:c r="K109" s="28" t="str">
        <x:v>Explanation; interactive choices; Scratchpad working; portfolio evidence</x:v>
      </x:c>
      <x:c r="L109" s="28" t="str">
        <x:v>Patterns and operations</x:v>
      </x:c>
      <x:c r="M109" s="36" t="str">
        <x:v>Equations and rearranging</x:v>
      </x:c>
    </x:row>
    <x:row r="110" ht="54" customHeight="1">
      <x:c r="A110" s="35" t="str">
        <x:v>NEO-MATH-Y8-02-ALG-04</x:v>
      </x:c>
      <x:c r="B110" s="28" t="str">
        <x:v>NEO-MATH-Y8-02</x:v>
      </x:c>
      <x:c r="C110" s="28" t="str">
        <x:v>Year 8 Connections</x:v>
      </x:c>
      <x:c r="D110" s="28" t="str">
        <x:v>Year 8</x:v>
      </x:c>
      <x:c r="E110" s="28" t="str">
        <x:v>Structure &amp; Generalisation</x:v>
      </x:c>
      <x:c r="F110" s="28" t="str">
        <x:v>Algebra as a Language of Structure</x:v>
      </x:c>
      <x:c r="G110" s="28" t="str">
        <x:v>Factorise common factors</x:v>
      </x:c>
      <x:c r="H110" s="28" t="str">
        <x:v>Connection</x:v>
      </x:c>
      <x:c r="I110" s="28" t="str">
        <x:v>Reflection, Creativity</x:v>
      </x:c>
      <x:c r="J110" s="28" t="str">
        <x:v>Live, Asynchronous, Independent</x:v>
      </x:c>
      <x:c r="K110" s="28" t="str">
        <x:v>Explanation; interactive choices; Scratchpad working; portfolio evidence</x:v>
      </x:c>
      <x:c r="L110" s="28" t="str">
        <x:v>Patterns and operations</x:v>
      </x:c>
      <x:c r="M110" s="36" t="str">
        <x:v>Equations and rearranging</x:v>
      </x:c>
    </x:row>
    <x:row r="111" ht="54" customHeight="1">
      <x:c r="A111" s="35" t="str">
        <x:v>NEO-MATH-Y8-02-ALG-05</x:v>
      </x:c>
      <x:c r="B111" s="28" t="str">
        <x:v>NEO-MATH-Y8-02</x:v>
      </x:c>
      <x:c r="C111" s="28" t="str">
        <x:v>Year 8 Connections</x:v>
      </x:c>
      <x:c r="D111" s="28" t="str">
        <x:v>Year 8</x:v>
      </x:c>
      <x:c r="E111" s="28" t="str">
        <x:v>Structure &amp; Generalisation</x:v>
      </x:c>
      <x:c r="F111" s="28" t="str">
        <x:v>Algebra as a Language of Structure</x:v>
      </x:c>
      <x:c r="G111" s="28" t="str">
        <x:v>Use equality</x:v>
      </x:c>
      <x:c r="H111" s="28" t="str">
        <x:v>Connection</x:v>
      </x:c>
      <x:c r="I111" s="28" t="str">
        <x:v>Reflection, Creativity</x:v>
      </x:c>
      <x:c r="J111" s="28" t="str">
        <x:v>Live, Asynchronous, Independent</x:v>
      </x:c>
      <x:c r="K111" s="28" t="str">
        <x:v>Explanation; interactive choices; Scratchpad working; portfolio evidence</x:v>
      </x:c>
      <x:c r="L111" s="28" t="str">
        <x:v>Patterns and operations</x:v>
      </x:c>
      <x:c r="M111" s="36" t="str">
        <x:v>Equations and rearranging</x:v>
      </x:c>
    </x:row>
    <x:row r="112" ht="54" customHeight="1">
      <x:c r="A112" s="35" t="str">
        <x:v>NEO-MATH-Y8-02-ALG-06</x:v>
      </x:c>
      <x:c r="B112" s="28" t="str">
        <x:v>NEO-MATH-Y8-02</x:v>
      </x:c>
      <x:c r="C112" s="28" t="str">
        <x:v>Year 8 Connections</x:v>
      </x:c>
      <x:c r="D112" s="28" t="str">
        <x:v>Year 8</x:v>
      </x:c>
      <x:c r="E112" s="28" t="str">
        <x:v>Structure &amp; Generalisation</x:v>
      </x:c>
      <x:c r="F112" s="28" t="str">
        <x:v>Algebra as a Language of Structure</x:v>
      </x:c>
      <x:c r="G112" s="28" t="str">
        <x:v>Justify equivalent forms</x:v>
      </x:c>
      <x:c r="H112" s="28" t="str">
        <x:v>Connection</x:v>
      </x:c>
      <x:c r="I112" s="28" t="str">
        <x:v>Reflection, Creativity</x:v>
      </x:c>
      <x:c r="J112" s="28" t="str">
        <x:v>Live, Asynchronous, Independent</x:v>
      </x:c>
      <x:c r="K112" s="28" t="str">
        <x:v>Explanation; interactive choices; Scratchpad working; portfolio evidence</x:v>
      </x:c>
      <x:c r="L112" s="28" t="str">
        <x:v>Patterns and operations</x:v>
      </x:c>
      <x:c r="M112" s="36" t="str">
        <x:v>Equations and rearranging</x:v>
      </x:c>
    </x:row>
    <x:row r="113" ht="54" customHeight="1">
      <x:c r="A113" s="35" t="str">
        <x:v>NEO-MATH-Y8-03-ALG-01</x:v>
      </x:c>
      <x:c r="B113" s="28" t="str">
        <x:v>NEO-MATH-Y8-03</x:v>
      </x:c>
      <x:c r="C113" s="28" t="str">
        <x:v>Year 8 Connections</x:v>
      </x:c>
      <x:c r="D113" s="28" t="str">
        <x:v>Year 8</x:v>
      </x:c>
      <x:c r="E113" s="28" t="str">
        <x:v>Structure &amp; Generalisation</x:v>
      </x:c>
      <x:c r="F113" s="28" t="str">
        <x:v>Equations: Keeping a Relationship in Balance</x:v>
      </x:c>
      <x:c r="G113" s="28" t="str">
        <x:v>Solve one- and two-step linear equations</x:v>
      </x:c>
      <x:c r="H113" s="28" t="str">
        <x:v>Reflection</x:v>
      </x:c>
      <x:c r="I113" s="28" t="str">
        <x:v>Connection, Rest</x:v>
      </x:c>
      <x:c r="J113" s="28" t="str">
        <x:v>Live, Asynchronous, Independent</x:v>
      </x:c>
      <x:c r="K113" s="28" t="str">
        <x:v>Explanation; interactive choices; Scratchpad working; portfolio evidence</x:v>
      </x:c>
      <x:c r="L113" s="28" t="str">
        <x:v>Algebraic expressions</x:v>
      </x:c>
      <x:c r="M113" s="36" t="str">
        <x:v>Formulae, inequalities and simultaneous equations</x:v>
      </x:c>
    </x:row>
    <x:row r="114" ht="54" customHeight="1">
      <x:c r="A114" s="35" t="str">
        <x:v>NEO-MATH-Y8-03-ALG-02</x:v>
      </x:c>
      <x:c r="B114" s="28" t="str">
        <x:v>NEO-MATH-Y8-03</x:v>
      </x:c>
      <x:c r="C114" s="28" t="str">
        <x:v>Year 8 Connections</x:v>
      </x:c>
      <x:c r="D114" s="28" t="str">
        <x:v>Year 8</x:v>
      </x:c>
      <x:c r="E114" s="28" t="str">
        <x:v>Structure &amp; Generalisation</x:v>
      </x:c>
      <x:c r="F114" s="28" t="str">
        <x:v>Equations: Keeping a Relationship in Balance</x:v>
      </x:c>
      <x:c r="G114" s="28" t="str">
        <x:v>Use inverse operations</x:v>
      </x:c>
      <x:c r="H114" s="28" t="str">
        <x:v>Reflection</x:v>
      </x:c>
      <x:c r="I114" s="28" t="str">
        <x:v>Connection, Rest</x:v>
      </x:c>
      <x:c r="J114" s="28" t="str">
        <x:v>Live, Asynchronous, Independent</x:v>
      </x:c>
      <x:c r="K114" s="28" t="str">
        <x:v>Explanation; interactive choices; Scratchpad working; portfolio evidence</x:v>
      </x:c>
      <x:c r="L114" s="28" t="str">
        <x:v>Algebraic expressions</x:v>
      </x:c>
      <x:c r="M114" s="36" t="str">
        <x:v>Formulae, inequalities and simultaneous equations</x:v>
      </x:c>
    </x:row>
    <x:row r="115" ht="54" customHeight="1">
      <x:c r="A115" s="35" t="str">
        <x:v>NEO-MATH-Y8-03-ALG-03</x:v>
      </x:c>
      <x:c r="B115" s="28" t="str">
        <x:v>NEO-MATH-Y8-03</x:v>
      </x:c>
      <x:c r="C115" s="28" t="str">
        <x:v>Year 8 Connections</x:v>
      </x:c>
      <x:c r="D115" s="28" t="str">
        <x:v>Year 8</x:v>
      </x:c>
      <x:c r="E115" s="28" t="str">
        <x:v>Structure &amp; Generalisation</x:v>
      </x:c>
      <x:c r="F115" s="28" t="str">
        <x:v>Equations: Keeping a Relationship in Balance</x:v>
      </x:c>
      <x:c r="G115" s="28" t="str">
        <x:v>Solve with brackets</x:v>
      </x:c>
      <x:c r="H115" s="28" t="str">
        <x:v>Reflection</x:v>
      </x:c>
      <x:c r="I115" s="28" t="str">
        <x:v>Connection, Rest</x:v>
      </x:c>
      <x:c r="J115" s="28" t="str">
        <x:v>Live, Asynchronous, Independent</x:v>
      </x:c>
      <x:c r="K115" s="28" t="str">
        <x:v>Explanation; interactive choices; Scratchpad working; portfolio evidence</x:v>
      </x:c>
      <x:c r="L115" s="28" t="str">
        <x:v>Algebraic expressions</x:v>
      </x:c>
      <x:c r="M115" s="36" t="str">
        <x:v>Formulae, inequalities and simultaneous equations</x:v>
      </x:c>
    </x:row>
    <x:row r="116" ht="54" customHeight="1">
      <x:c r="A116" s="35" t="str">
        <x:v>NEO-MATH-Y8-03-ALG-04</x:v>
      </x:c>
      <x:c r="B116" s="28" t="str">
        <x:v>NEO-MATH-Y8-03</x:v>
      </x:c>
      <x:c r="C116" s="28" t="str">
        <x:v>Year 8 Connections</x:v>
      </x:c>
      <x:c r="D116" s="28" t="str">
        <x:v>Year 8</x:v>
      </x:c>
      <x:c r="E116" s="28" t="str">
        <x:v>Structure &amp; Generalisation</x:v>
      </x:c>
      <x:c r="F116" s="28" t="str">
        <x:v>Equations: Keeping a Relationship in Balance</x:v>
      </x:c>
      <x:c r="G116" s="28" t="str">
        <x:v>Form equations from contexts</x:v>
      </x:c>
      <x:c r="H116" s="28" t="str">
        <x:v>Reflection</x:v>
      </x:c>
      <x:c r="I116" s="28" t="str">
        <x:v>Connection, Rest</x:v>
      </x:c>
      <x:c r="J116" s="28" t="str">
        <x:v>Live, Asynchronous, Independent</x:v>
      </x:c>
      <x:c r="K116" s="28" t="str">
        <x:v>Explanation; interactive choices; Scratchpad working; portfolio evidence</x:v>
      </x:c>
      <x:c r="L116" s="28" t="str">
        <x:v>Algebraic expressions</x:v>
      </x:c>
      <x:c r="M116" s="36" t="str">
        <x:v>Formulae, inequalities and simultaneous equations</x:v>
      </x:c>
    </x:row>
    <x:row r="117" ht="54" customHeight="1">
      <x:c r="A117" s="35" t="str">
        <x:v>NEO-MATH-Y8-03-ALG-05</x:v>
      </x:c>
      <x:c r="B117" s="28" t="str">
        <x:v>NEO-MATH-Y8-03</x:v>
      </x:c>
      <x:c r="C117" s="28" t="str">
        <x:v>Year 8 Connections</x:v>
      </x:c>
      <x:c r="D117" s="28" t="str">
        <x:v>Year 8</x:v>
      </x:c>
      <x:c r="E117" s="28" t="str">
        <x:v>Structure &amp; Generalisation</x:v>
      </x:c>
      <x:c r="F117" s="28" t="str">
        <x:v>Equations: Keeping a Relationship in Balance</x:v>
      </x:c>
      <x:c r="G117" s="28" t="str">
        <x:v>Check by substitution</x:v>
      </x:c>
      <x:c r="H117" s="28" t="str">
        <x:v>Reflection</x:v>
      </x:c>
      <x:c r="I117" s="28" t="str">
        <x:v>Connection, Rest</x:v>
      </x:c>
      <x:c r="J117" s="28" t="str">
        <x:v>Live, Asynchronous, Independent</x:v>
      </x:c>
      <x:c r="K117" s="28" t="str">
        <x:v>Explanation; interactive choices; Scratchpad working; portfolio evidence</x:v>
      </x:c>
      <x:c r="L117" s="28" t="str">
        <x:v>Algebraic expressions</x:v>
      </x:c>
      <x:c r="M117" s="36" t="str">
        <x:v>Formulae, inequalities and simultaneous equations</x:v>
      </x:c>
    </x:row>
    <x:row r="118" ht="54" customHeight="1">
      <x:c r="A118" s="35" t="str">
        <x:v>NEO-MATH-Y8-04-FUN-01</x:v>
      </x:c>
      <x:c r="B118" s="28" t="str">
        <x:v>NEO-MATH-Y8-04</x:v>
      </x:c>
      <x:c r="C118" s="28" t="str">
        <x:v>Year 8 Connections</x:v>
      </x:c>
      <x:c r="D118" s="28" t="str">
        <x:v>Year 8</x:v>
      </x:c>
      <x:c r="E118" s="28" t="str">
        <x:v>Change &amp; Functions</x:v>
      </x:c>
      <x:c r="F118" s="28" t="str">
        <x:v>Lines Tell Stories of Change</x:v>
      </x:c>
      <x:c r="G118" s="28" t="str">
        <x:v>Connect equations, tables and graphs</x:v>
      </x:c>
      <x:c r="H118" s="28" t="str">
        <x:v>Movement</x:v>
      </x:c>
      <x:c r="I118" s="28" t="str">
        <x:v>Connection, Reflection; Creativity contextual</x:v>
      </x:c>
      <x:c r="J118" s="28" t="str">
        <x:v>Live, Asynchronous, Independent</x:v>
      </x:c>
      <x:c r="K118" s="28" t="str">
        <x:v>Explanation; interactive choices; Scratchpad working; portfolio evidence</x:v>
      </x:c>
      <x:c r="L118" s="28" t="str">
        <x:v>Equations and coordinates</x:v>
      </x:c>
      <x:c r="M118" s="36" t="str">
        <x:v>Simultaneous equations, motion graphs and functions</x:v>
      </x:c>
    </x:row>
    <x:row r="119" ht="54" customHeight="1">
      <x:c r="A119" s="35" t="str">
        <x:v>NEO-MATH-Y8-04-FUN-02</x:v>
      </x:c>
      <x:c r="B119" s="28" t="str">
        <x:v>NEO-MATH-Y8-04</x:v>
      </x:c>
      <x:c r="C119" s="28" t="str">
        <x:v>Year 8 Connections</x:v>
      </x:c>
      <x:c r="D119" s="28" t="str">
        <x:v>Year 8</x:v>
      </x:c>
      <x:c r="E119" s="28" t="str">
        <x:v>Change &amp; Functions</x:v>
      </x:c>
      <x:c r="F119" s="28" t="str">
        <x:v>Lines Tell Stories of Change</x:v>
      </x:c>
      <x:c r="G119" s="28" t="str">
        <x:v>Interpret gradient</x:v>
      </x:c>
      <x:c r="H119" s="28" t="str">
        <x:v>Movement</x:v>
      </x:c>
      <x:c r="I119" s="28" t="str">
        <x:v>Connection, Reflection; Creativity contextual</x:v>
      </x:c>
      <x:c r="J119" s="28" t="str">
        <x:v>Live, Asynchronous, Independent</x:v>
      </x:c>
      <x:c r="K119" s="28" t="str">
        <x:v>Explanation; interactive choices; Scratchpad working; portfolio evidence</x:v>
      </x:c>
      <x:c r="L119" s="28" t="str">
        <x:v>Equations and coordinates</x:v>
      </x:c>
      <x:c r="M119" s="36" t="str">
        <x:v>Simultaneous equations, motion graphs and functions</x:v>
      </x:c>
    </x:row>
    <x:row r="120" ht="54" customHeight="1">
      <x:c r="A120" s="35" t="str">
        <x:v>NEO-MATH-Y8-04-FUN-03</x:v>
      </x:c>
      <x:c r="B120" s="28" t="str">
        <x:v>NEO-MATH-Y8-04</x:v>
      </x:c>
      <x:c r="C120" s="28" t="str">
        <x:v>Year 8 Connections</x:v>
      </x:c>
      <x:c r="D120" s="28" t="str">
        <x:v>Year 8</x:v>
      </x:c>
      <x:c r="E120" s="28" t="str">
        <x:v>Change &amp; Functions</x:v>
      </x:c>
      <x:c r="F120" s="28" t="str">
        <x:v>Lines Tell Stories of Change</x:v>
      </x:c>
      <x:c r="G120" s="28" t="str">
        <x:v>Interpret y-intercept</x:v>
      </x:c>
      <x:c r="H120" s="28" t="str">
        <x:v>Movement</x:v>
      </x:c>
      <x:c r="I120" s="28" t="str">
        <x:v>Connection, Reflection; Creativity contextual</x:v>
      </x:c>
      <x:c r="J120" s="28" t="str">
        <x:v>Live, Asynchronous, Independent</x:v>
      </x:c>
      <x:c r="K120" s="28" t="str">
        <x:v>Explanation; interactive choices; Scratchpad working; portfolio evidence</x:v>
      </x:c>
      <x:c r="L120" s="28" t="str">
        <x:v>Equations and coordinates</x:v>
      </x:c>
      <x:c r="M120" s="36" t="str">
        <x:v>Simultaneous equations, motion graphs and functions</x:v>
      </x:c>
    </x:row>
    <x:row r="121" ht="54" customHeight="1">
      <x:c r="A121" s="35" t="str">
        <x:v>NEO-MATH-Y8-04-FUN-04</x:v>
      </x:c>
      <x:c r="B121" s="28" t="str">
        <x:v>NEO-MATH-Y8-04</x:v>
      </x:c>
      <x:c r="C121" s="28" t="str">
        <x:v>Year 8 Connections</x:v>
      </x:c>
      <x:c r="D121" s="28" t="str">
        <x:v>Year 8</x:v>
      </x:c>
      <x:c r="E121" s="28" t="str">
        <x:v>Change &amp; Functions</x:v>
      </x:c>
      <x:c r="F121" s="28" t="str">
        <x:v>Lines Tell Stories of Change</x:v>
      </x:c>
      <x:c r="G121" s="28" t="str">
        <x:v>Recognise positive/negative/zero gradients</x:v>
      </x:c>
      <x:c r="H121" s="28" t="str">
        <x:v>Movement</x:v>
      </x:c>
      <x:c r="I121" s="28" t="str">
        <x:v>Connection, Reflection; Creativity contextual</x:v>
      </x:c>
      <x:c r="J121" s="28" t="str">
        <x:v>Live, Asynchronous, Independent</x:v>
      </x:c>
      <x:c r="K121" s="28" t="str">
        <x:v>Explanation; interactive choices; Scratchpad working; portfolio evidence</x:v>
      </x:c>
      <x:c r="L121" s="28" t="str">
        <x:v>Equations and coordinates</x:v>
      </x:c>
      <x:c r="M121" s="36" t="str">
        <x:v>Simultaneous equations, motion graphs and functions</x:v>
      </x:c>
    </x:row>
    <x:row r="122" ht="54" customHeight="1">
      <x:c r="A122" s="35" t="str">
        <x:v>NEO-MATH-Y8-04-FUN-05</x:v>
      </x:c>
      <x:c r="B122" s="28" t="str">
        <x:v>NEO-MATH-Y8-04</x:v>
      </x:c>
      <x:c r="C122" s="28" t="str">
        <x:v>Year 8 Connections</x:v>
      </x:c>
      <x:c r="D122" s="28" t="str">
        <x:v>Year 8</x:v>
      </x:c>
      <x:c r="E122" s="28" t="str">
        <x:v>Change &amp; Functions</x:v>
      </x:c>
      <x:c r="F122" s="28" t="str">
        <x:v>Lines Tell Stories of Change</x:v>
      </x:c>
      <x:c r="G122" s="28" t="str">
        <x:v>Form linear equations</x:v>
      </x:c>
      <x:c r="H122" s="28" t="str">
        <x:v>Movement</x:v>
      </x:c>
      <x:c r="I122" s="28" t="str">
        <x:v>Connection, Reflection; Creativity contextual</x:v>
      </x:c>
      <x:c r="J122" s="28" t="str">
        <x:v>Live, Asynchronous, Independent</x:v>
      </x:c>
      <x:c r="K122" s="28" t="str">
        <x:v>Explanation; interactive choices; Scratchpad working; portfolio evidence</x:v>
      </x:c>
      <x:c r="L122" s="28" t="str">
        <x:v>Equations and coordinates</x:v>
      </x:c>
      <x:c r="M122" s="36" t="str">
        <x:v>Simultaneous equations, motion graphs and functions</x:v>
      </x:c>
    </x:row>
    <x:row r="123" ht="54" customHeight="1">
      <x:c r="A123" s="35" t="str">
        <x:v>NEO-MATH-Y8-04-FUN-06</x:v>
      </x:c>
      <x:c r="B123" s="28" t="str">
        <x:v>NEO-MATH-Y8-04</x:v>
      </x:c>
      <x:c r="C123" s="28" t="str">
        <x:v>Year 8 Connections</x:v>
      </x:c>
      <x:c r="D123" s="28" t="str">
        <x:v>Year 8</x:v>
      </x:c>
      <x:c r="E123" s="28" t="str">
        <x:v>Change &amp; Functions</x:v>
      </x:c>
      <x:c r="F123" s="28" t="str">
        <x:v>Lines Tell Stories of Change</x:v>
      </x:c>
      <x:c r="G123" s="28" t="str">
        <x:v>Evaluate linear models</x:v>
      </x:c>
      <x:c r="H123" s="28" t="str">
        <x:v>Movement</x:v>
      </x:c>
      <x:c r="I123" s="28" t="str">
        <x:v>Connection, Reflection; Creativity contextual</x:v>
      </x:c>
      <x:c r="J123" s="28" t="str">
        <x:v>Live, Asynchronous, Independent</x:v>
      </x:c>
      <x:c r="K123" s="28" t="str">
        <x:v>Explanation; interactive choices; Scratchpad working; portfolio evidence</x:v>
      </x:c>
      <x:c r="L123" s="28" t="str">
        <x:v>Equations and coordinates</x:v>
      </x:c>
      <x:c r="M123" s="36" t="str">
        <x:v>Simultaneous equations, motion graphs and functions</x:v>
      </x:c>
    </x:row>
    <x:row r="124" ht="54" customHeight="1">
      <x:c r="A124" s="35" t="str">
        <x:v>NEO-MATH-Y8-05-ALG-01</x:v>
      </x:c>
      <x:c r="B124" s="28" t="str">
        <x:v>NEO-MATH-Y8-05</x:v>
      </x:c>
      <x:c r="C124" s="28" t="str">
        <x:v>Year 8 Connections</x:v>
      </x:c>
      <x:c r="D124" s="28" t="str">
        <x:v>Year 8</x:v>
      </x:c>
      <x:c r="E124" s="28" t="str">
        <x:v>Structure &amp; Generalisation</x:v>
      </x:c>
      <x:c r="F124" s="28" t="str">
        <x:v>Sequences: From Steps to Rules</x:v>
      </x:c>
      <x:c r="G124" s="28" t="str">
        <x:v>Generate arithmetic sequences</x:v>
      </x:c>
      <x:c r="H124" s="28" t="str">
        <x:v>Creativity</x:v>
      </x:c>
      <x:c r="I124" s="28" t="str">
        <x:v>Connection, Reflection</x:v>
      </x:c>
      <x:c r="J124" s="28" t="str">
        <x:v>Live, Asynchronous, Independent</x:v>
      </x:c>
      <x:c r="K124" s="28" t="str">
        <x:v>Explanation; interactive choices; Scratchpad working; portfolio evidence</x:v>
      </x:c>
      <x:c r="L124" s="28" t="str">
        <x:v>Patterns and algebra</x:v>
      </x:c>
      <x:c r="M124" s="36" t="str">
        <x:v>Quadratic sequences and functions</x:v>
      </x:c>
    </x:row>
    <x:row r="125" ht="54" customHeight="1">
      <x:c r="A125" s="35" t="str">
        <x:v>NEO-MATH-Y8-05-ALG-02</x:v>
      </x:c>
      <x:c r="B125" s="28" t="str">
        <x:v>NEO-MATH-Y8-05</x:v>
      </x:c>
      <x:c r="C125" s="28" t="str">
        <x:v>Year 8 Connections</x:v>
      </x:c>
      <x:c r="D125" s="28" t="str">
        <x:v>Year 8</x:v>
      </x:c>
      <x:c r="E125" s="28" t="str">
        <x:v>Structure &amp; Generalisation</x:v>
      </x:c>
      <x:c r="F125" s="28" t="str">
        <x:v>Sequences: From Steps to Rules</x:v>
      </x:c>
      <x:c r="G125" s="28" t="str">
        <x:v>Find term-to-term rules</x:v>
      </x:c>
      <x:c r="H125" s="28" t="str">
        <x:v>Creativity</x:v>
      </x:c>
      <x:c r="I125" s="28" t="str">
        <x:v>Connection, Reflection</x:v>
      </x:c>
      <x:c r="J125" s="28" t="str">
        <x:v>Live, Asynchronous, Independent</x:v>
      </x:c>
      <x:c r="K125" s="28" t="str">
        <x:v>Explanation; interactive choices; Scratchpad working; portfolio evidence</x:v>
      </x:c>
      <x:c r="L125" s="28" t="str">
        <x:v>Patterns and algebra</x:v>
      </x:c>
      <x:c r="M125" s="36" t="str">
        <x:v>Quadratic sequences and functions</x:v>
      </x:c>
    </x:row>
    <x:row r="126" ht="54" customHeight="1">
      <x:c r="A126" s="35" t="str">
        <x:v>NEO-MATH-Y8-05-ALG-03</x:v>
      </x:c>
      <x:c r="B126" s="28" t="str">
        <x:v>NEO-MATH-Y8-05</x:v>
      </x:c>
      <x:c r="C126" s="28" t="str">
        <x:v>Year 8 Connections</x:v>
      </x:c>
      <x:c r="D126" s="28" t="str">
        <x:v>Year 8</x:v>
      </x:c>
      <x:c r="E126" s="28" t="str">
        <x:v>Structure &amp; Generalisation</x:v>
      </x:c>
      <x:c r="F126" s="28" t="str">
        <x:v>Sequences: From Steps to Rules</x:v>
      </x:c>
      <x:c r="G126" s="28" t="str">
        <x:v>Find nth terms</x:v>
      </x:c>
      <x:c r="H126" s="28" t="str">
        <x:v>Creativity</x:v>
      </x:c>
      <x:c r="I126" s="28" t="str">
        <x:v>Connection, Reflection</x:v>
      </x:c>
      <x:c r="J126" s="28" t="str">
        <x:v>Live, Asynchronous, Independent</x:v>
      </x:c>
      <x:c r="K126" s="28" t="str">
        <x:v>Explanation; interactive choices; Scratchpad working; portfolio evidence</x:v>
      </x:c>
      <x:c r="L126" s="28" t="str">
        <x:v>Patterns and algebra</x:v>
      </x:c>
      <x:c r="M126" s="36" t="str">
        <x:v>Quadratic sequences and functions</x:v>
      </x:c>
    </x:row>
    <x:row r="127" ht="54" customHeight="1">
      <x:c r="A127" s="35" t="str">
        <x:v>NEO-MATH-Y8-05-ALG-04</x:v>
      </x:c>
      <x:c r="B127" s="28" t="str">
        <x:v>NEO-MATH-Y8-05</x:v>
      </x:c>
      <x:c r="C127" s="28" t="str">
        <x:v>Year 8 Connections</x:v>
      </x:c>
      <x:c r="D127" s="28" t="str">
        <x:v>Year 8</x:v>
      </x:c>
      <x:c r="E127" s="28" t="str">
        <x:v>Structure &amp; Generalisation</x:v>
      </x:c>
      <x:c r="F127" s="28" t="str">
        <x:v>Sequences: From Steps to Rules</x:v>
      </x:c>
      <x:c r="G127" s="28" t="str">
        <x:v>Use position-to-term rules</x:v>
      </x:c>
      <x:c r="H127" s="28" t="str">
        <x:v>Creativity</x:v>
      </x:c>
      <x:c r="I127" s="28" t="str">
        <x:v>Connection, Reflection</x:v>
      </x:c>
      <x:c r="J127" s="28" t="str">
        <x:v>Live, Asynchronous, Independent</x:v>
      </x:c>
      <x:c r="K127" s="28" t="str">
        <x:v>Explanation; interactive choices; Scratchpad working; portfolio evidence</x:v>
      </x:c>
      <x:c r="L127" s="28" t="str">
        <x:v>Patterns and algebra</x:v>
      </x:c>
      <x:c r="M127" s="36" t="str">
        <x:v>Quadratic sequences and functions</x:v>
      </x:c>
    </x:row>
    <x:row r="128" ht="54" customHeight="1">
      <x:c r="A128" s="35" t="str">
        <x:v>NEO-MATH-Y8-05-ALG-05</x:v>
      </x:c>
      <x:c r="B128" s="28" t="str">
        <x:v>NEO-MATH-Y8-05</x:v>
      </x:c>
      <x:c r="C128" s="28" t="str">
        <x:v>Year 8 Connections</x:v>
      </x:c>
      <x:c r="D128" s="28" t="str">
        <x:v>Year 8</x:v>
      </x:c>
      <x:c r="E128" s="28" t="str">
        <x:v>Structure &amp; Generalisation</x:v>
      </x:c>
      <x:c r="F128" s="28" t="str">
        <x:v>Sequences: From Steps to Rules</x:v>
      </x:c>
      <x:c r="G128" s="28" t="str">
        <x:v>Compare sequence and graph representations</x:v>
      </x:c>
      <x:c r="H128" s="28" t="str">
        <x:v>Creativity</x:v>
      </x:c>
      <x:c r="I128" s="28" t="str">
        <x:v>Connection, Reflection</x:v>
      </x:c>
      <x:c r="J128" s="28" t="str">
        <x:v>Live, Asynchronous, Independent</x:v>
      </x:c>
      <x:c r="K128" s="28" t="str">
        <x:v>Explanation; interactive choices; Scratchpad working; portfolio evidence</x:v>
      </x:c>
      <x:c r="L128" s="28" t="str">
        <x:v>Patterns and algebra</x:v>
      </x:c>
      <x:c r="M128" s="36" t="str">
        <x:v>Quadratic sequences and functions</x:v>
      </x:c>
    </x:row>
    <x:row r="129" ht="54" customHeight="1">
      <x:c r="A129" s="35" t="str">
        <x:v>NEO-MATH-Y8-06-GEO-01</x:v>
      </x:c>
      <x:c r="B129" s="28" t="str">
        <x:v>NEO-MATH-Y8-06</x:v>
      </x:c>
      <x:c r="C129" s="28" t="str">
        <x:v>Year 8 Connections</x:v>
      </x:c>
      <x:c r="D129" s="28" t="str">
        <x:v>Year 8</x:v>
      </x:c>
      <x:c r="E129" s="28" t="str">
        <x:v>Spatial Reasoning</x:v>
      </x:c>
      <x:c r="F129" s="28" t="str">
        <x:v>Parallel Lines and Polygon Logic</x:v>
      </x:c>
      <x:c r="G129" s="28" t="str">
        <x:v>Use parallel-line angle facts</x:v>
      </x:c>
      <x:c r="H129" s="28" t="str">
        <x:v>Reflection</x:v>
      </x:c>
      <x:c r="I129" s="28" t="str">
        <x:v>Connection, Movement</x:v>
      </x:c>
      <x:c r="J129" s="28" t="str">
        <x:v>Live, Asynchronous, Independent</x:v>
      </x:c>
      <x:c r="K129" s="28" t="str">
        <x:v>Explanation; interactive choices; Scratchpad working; portfolio evidence</x:v>
      </x:c>
      <x:c r="L129" s="28" t="str">
        <x:v>Year 7 angle facts</x:v>
      </x:c>
      <x:c r="M129" s="36" t="str">
        <x:v>Circle theorems and proof</x:v>
      </x:c>
    </x:row>
    <x:row r="130" ht="54" customHeight="1">
      <x:c r="A130" s="35" t="str">
        <x:v>NEO-MATH-Y8-06-GEO-02</x:v>
      </x:c>
      <x:c r="B130" s="28" t="str">
        <x:v>NEO-MATH-Y8-06</x:v>
      </x:c>
      <x:c r="C130" s="28" t="str">
        <x:v>Year 8 Connections</x:v>
      </x:c>
      <x:c r="D130" s="28" t="str">
        <x:v>Year 8</x:v>
      </x:c>
      <x:c r="E130" s="28" t="str">
        <x:v>Spatial Reasoning</x:v>
      </x:c>
      <x:c r="F130" s="28" t="str">
        <x:v>Parallel Lines and Polygon Logic</x:v>
      </x:c>
      <x:c r="G130" s="28" t="str">
        <x:v>Derive polygon angle sums</x:v>
      </x:c>
      <x:c r="H130" s="28" t="str">
        <x:v>Reflection</x:v>
      </x:c>
      <x:c r="I130" s="28" t="str">
        <x:v>Connection, Movement</x:v>
      </x:c>
      <x:c r="J130" s="28" t="str">
        <x:v>Live, Asynchronous, Independent</x:v>
      </x:c>
      <x:c r="K130" s="28" t="str">
        <x:v>Explanation; interactive choices; Scratchpad working; portfolio evidence</x:v>
      </x:c>
      <x:c r="L130" s="28" t="str">
        <x:v>Year 7 angle facts</x:v>
      </x:c>
      <x:c r="M130" s="36" t="str">
        <x:v>Circle theorems and proof</x:v>
      </x:c>
    </x:row>
    <x:row r="131" ht="54" customHeight="1">
      <x:c r="A131" s="35" t="str">
        <x:v>NEO-MATH-Y8-06-GEO-03</x:v>
      </x:c>
      <x:c r="B131" s="28" t="str">
        <x:v>NEO-MATH-Y8-06</x:v>
      </x:c>
      <x:c r="C131" s="28" t="str">
        <x:v>Year 8 Connections</x:v>
      </x:c>
      <x:c r="D131" s="28" t="str">
        <x:v>Year 8</x:v>
      </x:c>
      <x:c r="E131" s="28" t="str">
        <x:v>Spatial Reasoning</x:v>
      </x:c>
      <x:c r="F131" s="28" t="str">
        <x:v>Parallel Lines and Polygon Logic</x:v>
      </x:c>
      <x:c r="G131" s="28" t="str">
        <x:v>Solve multi-step angle problems</x:v>
      </x:c>
      <x:c r="H131" s="28" t="str">
        <x:v>Reflection</x:v>
      </x:c>
      <x:c r="I131" s="28" t="str">
        <x:v>Connection, Movement</x:v>
      </x:c>
      <x:c r="J131" s="28" t="str">
        <x:v>Live, Asynchronous, Independent</x:v>
      </x:c>
      <x:c r="K131" s="28" t="str">
        <x:v>Explanation; interactive choices; Scratchpad working; portfolio evidence</x:v>
      </x:c>
      <x:c r="L131" s="28" t="str">
        <x:v>Year 7 angle facts</x:v>
      </x:c>
      <x:c r="M131" s="36" t="str">
        <x:v>Circle theorems and proof</x:v>
      </x:c>
    </x:row>
    <x:row r="132" ht="54" customHeight="1">
      <x:c r="A132" s="35" t="str">
        <x:v>NEO-MATH-Y8-06-GEO-04</x:v>
      </x:c>
      <x:c r="B132" s="28" t="str">
        <x:v>NEO-MATH-Y8-06</x:v>
      </x:c>
      <x:c r="C132" s="28" t="str">
        <x:v>Year 8 Connections</x:v>
      </x:c>
      <x:c r="D132" s="28" t="str">
        <x:v>Year 8</x:v>
      </x:c>
      <x:c r="E132" s="28" t="str">
        <x:v>Spatial Reasoning</x:v>
      </x:c>
      <x:c r="F132" s="28" t="str">
        <x:v>Parallel Lines and Polygon Logic</x:v>
      </x:c>
      <x:c r="G132" s="28" t="str">
        <x:v>Justify each step</x:v>
      </x:c>
      <x:c r="H132" s="28" t="str">
        <x:v>Reflection</x:v>
      </x:c>
      <x:c r="I132" s="28" t="str">
        <x:v>Connection, Movement</x:v>
      </x:c>
      <x:c r="J132" s="28" t="str">
        <x:v>Live, Asynchronous, Independent</x:v>
      </x:c>
      <x:c r="K132" s="28" t="str">
        <x:v>Explanation; interactive choices; Scratchpad working; portfolio evidence</x:v>
      </x:c>
      <x:c r="L132" s="28" t="str">
        <x:v>Year 7 angle facts</x:v>
      </x:c>
      <x:c r="M132" s="36" t="str">
        <x:v>Circle theorems and proof</x:v>
      </x:c>
    </x:row>
    <x:row r="133" ht="54" customHeight="1">
      <x:c r="A133" s="35" t="str">
        <x:v>NEO-MATH-Y8-06-GEO-05</x:v>
      </x:c>
      <x:c r="B133" s="28" t="str">
        <x:v>NEO-MATH-Y8-06</x:v>
      </x:c>
      <x:c r="C133" s="28" t="str">
        <x:v>Year 8 Connections</x:v>
      </x:c>
      <x:c r="D133" s="28" t="str">
        <x:v>Year 8</x:v>
      </x:c>
      <x:c r="E133" s="28" t="str">
        <x:v>Spatial Reasoning</x:v>
      </x:c>
      <x:c r="F133" s="28" t="str">
        <x:v>Parallel Lines and Polygon Logic</x:v>
      </x:c>
      <x:c r="G133" s="28" t="str">
        <x:v>Recognise conditions for rules</x:v>
      </x:c>
      <x:c r="H133" s="28" t="str">
        <x:v>Reflection</x:v>
      </x:c>
      <x:c r="I133" s="28" t="str">
        <x:v>Connection, Movement</x:v>
      </x:c>
      <x:c r="J133" s="28" t="str">
        <x:v>Live, Asynchronous, Independent</x:v>
      </x:c>
      <x:c r="K133" s="28" t="str">
        <x:v>Explanation; interactive choices; Scratchpad working; portfolio evidence</x:v>
      </x:c>
      <x:c r="L133" s="28" t="str">
        <x:v>Year 7 angle facts</x:v>
      </x:c>
      <x:c r="M133" s="36" t="str">
        <x:v>Circle theorems and proof</x:v>
      </x:c>
    </x:row>
    <x:row r="134" ht="54" customHeight="1">
      <x:c r="A134" s="35" t="str">
        <x:v>NEO-MATH-Y8-07-GEO-01</x:v>
      </x:c>
      <x:c r="B134" s="28" t="str">
        <x:v>NEO-MATH-Y8-07</x:v>
      </x:c>
      <x:c r="C134" s="28" t="str">
        <x:v>Year 8 Connections</x:v>
      </x:c>
      <x:c r="D134" s="28" t="str">
        <x:v>Year 8</x:v>
      </x:c>
      <x:c r="E134" s="28" t="str">
        <x:v>Spatial Reasoning</x:v>
      </x:c>
      <x:c r="F134" s="28" t="str">
        <x:v>Circles, Prisms and Packaging</x:v>
      </x:c>
      <x:c r="G134" s="28" t="str">
        <x:v>Use circle vocabulary</x:v>
      </x:c>
      <x:c r="H134" s="28" t="str">
        <x:v>Creativity</x:v>
      </x:c>
      <x:c r="I134" s="28" t="str">
        <x:v>Connection, Nutrition contextual</x:v>
      </x:c>
      <x:c r="J134" s="28" t="str">
        <x:v>Live, Asynchronous, Independent</x:v>
      </x:c>
      <x:c r="K134" s="28" t="str">
        <x:v>Explanation; interactive choices; Scratchpad working; portfolio evidence</x:v>
      </x:c>
      <x:c r="L134" s="28" t="str">
        <x:v>Area and units</x:v>
      </x:c>
      <x:c r="M134" s="36" t="str">
        <x:v>Similarity, 3D measures and optimisation</x:v>
      </x:c>
    </x:row>
    <x:row r="135" ht="54" customHeight="1">
      <x:c r="A135" s="35" t="str">
        <x:v>NEO-MATH-Y8-07-GEO-02</x:v>
      </x:c>
      <x:c r="B135" s="28" t="str">
        <x:v>NEO-MATH-Y8-07</x:v>
      </x:c>
      <x:c r="C135" s="28" t="str">
        <x:v>Year 8 Connections</x:v>
      </x:c>
      <x:c r="D135" s="28" t="str">
        <x:v>Year 8</x:v>
      </x:c>
      <x:c r="E135" s="28" t="str">
        <x:v>Spatial Reasoning</x:v>
      </x:c>
      <x:c r="F135" s="28" t="str">
        <x:v>Circles, Prisms and Packaging</x:v>
      </x:c>
      <x:c r="G135" s="28" t="str">
        <x:v>Calculate circumference/area</x:v>
      </x:c>
      <x:c r="H135" s="28" t="str">
        <x:v>Creativity</x:v>
      </x:c>
      <x:c r="I135" s="28" t="str">
        <x:v>Connection, Nutrition contextual</x:v>
      </x:c>
      <x:c r="J135" s="28" t="str">
        <x:v>Live, Asynchronous, Independent</x:v>
      </x:c>
      <x:c r="K135" s="28" t="str">
        <x:v>Explanation; interactive choices; Scratchpad working; portfolio evidence</x:v>
      </x:c>
      <x:c r="L135" s="28" t="str">
        <x:v>Area and units</x:v>
      </x:c>
      <x:c r="M135" s="36" t="str">
        <x:v>Similarity, 3D measures and optimisation</x:v>
      </x:c>
    </x:row>
    <x:row r="136" ht="54" customHeight="1">
      <x:c r="A136" s="35" t="str">
        <x:v>NEO-MATH-Y8-07-GEO-03</x:v>
      </x:c>
      <x:c r="B136" s="28" t="str">
        <x:v>NEO-MATH-Y8-07</x:v>
      </x:c>
      <x:c r="C136" s="28" t="str">
        <x:v>Year 8 Connections</x:v>
      </x:c>
      <x:c r="D136" s="28" t="str">
        <x:v>Year 8</x:v>
      </x:c>
      <x:c r="E136" s="28" t="str">
        <x:v>Spatial Reasoning</x:v>
      </x:c>
      <x:c r="F136" s="28" t="str">
        <x:v>Circles, Prisms and Packaging</x:v>
      </x:c>
      <x:c r="G136" s="28" t="str">
        <x:v>Find prism/cylinder volume</x:v>
      </x:c>
      <x:c r="H136" s="28" t="str">
        <x:v>Creativity</x:v>
      </x:c>
      <x:c r="I136" s="28" t="str">
        <x:v>Connection, Nutrition contextual</x:v>
      </x:c>
      <x:c r="J136" s="28" t="str">
        <x:v>Live, Asynchronous, Independent</x:v>
      </x:c>
      <x:c r="K136" s="28" t="str">
        <x:v>Explanation; interactive choices; Scratchpad working; portfolio evidence</x:v>
      </x:c>
      <x:c r="L136" s="28" t="str">
        <x:v>Area and units</x:v>
      </x:c>
      <x:c r="M136" s="36" t="str">
        <x:v>Similarity, 3D measures and optimisation</x:v>
      </x:c>
    </x:row>
    <x:row r="137" ht="54" customHeight="1">
      <x:c r="A137" s="35" t="str">
        <x:v>NEO-MATH-Y8-07-GEO-04</x:v>
      </x:c>
      <x:c r="B137" s="28" t="str">
        <x:v>NEO-MATH-Y8-07</x:v>
      </x:c>
      <x:c r="C137" s="28" t="str">
        <x:v>Year 8 Connections</x:v>
      </x:c>
      <x:c r="D137" s="28" t="str">
        <x:v>Year 8</x:v>
      </x:c>
      <x:c r="E137" s="28" t="str">
        <x:v>Spatial Reasoning</x:v>
      </x:c>
      <x:c r="F137" s="28" t="str">
        <x:v>Circles, Prisms and Packaging</x:v>
      </x:c>
      <x:c r="G137" s="28" t="str">
        <x:v>Calculate surface area</x:v>
      </x:c>
      <x:c r="H137" s="28" t="str">
        <x:v>Creativity</x:v>
      </x:c>
      <x:c r="I137" s="28" t="str">
        <x:v>Connection, Nutrition contextual</x:v>
      </x:c>
      <x:c r="J137" s="28" t="str">
        <x:v>Live, Asynchronous, Independent</x:v>
      </x:c>
      <x:c r="K137" s="28" t="str">
        <x:v>Explanation; interactive choices; Scratchpad working; portfolio evidence</x:v>
      </x:c>
      <x:c r="L137" s="28" t="str">
        <x:v>Area and units</x:v>
      </x:c>
      <x:c r="M137" s="36" t="str">
        <x:v>Similarity, 3D measures and optimisation</x:v>
      </x:c>
    </x:row>
    <x:row r="138" ht="54" customHeight="1">
      <x:c r="A138" s="35" t="str">
        <x:v>NEO-MATH-Y8-07-GEO-05</x:v>
      </x:c>
      <x:c r="B138" s="28" t="str">
        <x:v>NEO-MATH-Y8-07</x:v>
      </x:c>
      <x:c r="C138" s="28" t="str">
        <x:v>Year 8 Connections</x:v>
      </x:c>
      <x:c r="D138" s="28" t="str">
        <x:v>Year 8</x:v>
      </x:c>
      <x:c r="E138" s="28" t="str">
        <x:v>Spatial Reasoning</x:v>
      </x:c>
      <x:c r="F138" s="28" t="str">
        <x:v>Circles, Prisms and Packaging</x:v>
      </x:c>
      <x:c r="G138" s="28" t="str">
        <x:v>Convert units</x:v>
      </x:c>
      <x:c r="H138" s="28" t="str">
        <x:v>Creativity</x:v>
      </x:c>
      <x:c r="I138" s="28" t="str">
        <x:v>Connection, Nutrition contextual</x:v>
      </x:c>
      <x:c r="J138" s="28" t="str">
        <x:v>Live, Asynchronous, Independent</x:v>
      </x:c>
      <x:c r="K138" s="28" t="str">
        <x:v>Explanation; interactive choices; Scratchpad working; portfolio evidence</x:v>
      </x:c>
      <x:c r="L138" s="28" t="str">
        <x:v>Area and units</x:v>
      </x:c>
      <x:c r="M138" s="36" t="str">
        <x:v>Similarity, 3D measures and optimisation</x:v>
      </x:c>
    </x:row>
    <x:row r="139" ht="54" customHeight="1">
      <x:c r="A139" s="35" t="str">
        <x:v>NEO-MATH-Y8-07-GEO-06</x:v>
      </x:c>
      <x:c r="B139" s="28" t="str">
        <x:v>NEO-MATH-Y8-07</x:v>
      </x:c>
      <x:c r="C139" s="28" t="str">
        <x:v>Year 8 Connections</x:v>
      </x:c>
      <x:c r="D139" s="28" t="str">
        <x:v>Year 8</x:v>
      </x:c>
      <x:c r="E139" s="28" t="str">
        <x:v>Spatial Reasoning</x:v>
      </x:c>
      <x:c r="F139" s="28" t="str">
        <x:v>Circles, Prisms and Packaging</x:v>
      </x:c>
      <x:c r="G139" s="28" t="str">
        <x:v>Optimise within constraints</x:v>
      </x:c>
      <x:c r="H139" s="28" t="str">
        <x:v>Creativity</x:v>
      </x:c>
      <x:c r="I139" s="28" t="str">
        <x:v>Connection, Nutrition contextual</x:v>
      </x:c>
      <x:c r="J139" s="28" t="str">
        <x:v>Live, Asynchronous, Independent</x:v>
      </x:c>
      <x:c r="K139" s="28" t="str">
        <x:v>Explanation; interactive choices; Scratchpad working; portfolio evidence</x:v>
      </x:c>
      <x:c r="L139" s="28" t="str">
        <x:v>Area and units</x:v>
      </x:c>
      <x:c r="M139" s="36" t="str">
        <x:v>Similarity, 3D measures and optimisation</x:v>
      </x:c>
    </x:row>
    <x:row r="140" ht="54" customHeight="1">
      <x:c r="A140" s="35" t="str">
        <x:v>NEO-MATH-Y8-08-PR-01</x:v>
      </x:c>
      <x:c r="B140" s="28" t="str">
        <x:v>NEO-MATH-Y8-08</x:v>
      </x:c>
      <x:c r="C140" s="28" t="str">
        <x:v>Year 8 Connections</x:v>
      </x:c>
      <x:c r="D140" s="28" t="str">
        <x:v>Year 8</x:v>
      </x:c>
      <x:c r="E140" s="28" t="str">
        <x:v>Proportional Reasoning</x:v>
      </x:c>
      <x:c r="F140" s="28" t="str">
        <x:v>Rates, Best Value and Direct Proportion</x:v>
      </x:c>
      <x:c r="G140" s="28" t="str">
        <x:v>Calculate unit rates</x:v>
      </x:c>
      <x:c r="H140" s="28" t="str">
        <x:v>Connection</x:v>
      </x:c>
      <x:c r="I140" s="28" t="str">
        <x:v>Reflection, Nutrition contextual</x:v>
      </x:c>
      <x:c r="J140" s="28" t="str">
        <x:v>Live, Asynchronous, Independent</x:v>
      </x:c>
      <x:c r="K140" s="28" t="str">
        <x:v>Explanation; interactive choices; Scratchpad working; portfolio evidence</x:v>
      </x:c>
      <x:c r="L140" s="28" t="str">
        <x:v>Ratio and percentages</x:v>
      </x:c>
      <x:c r="M140" s="36" t="str">
        <x:v>Inverse proportion and compound measures</x:v>
      </x:c>
    </x:row>
    <x:row r="141" ht="54" customHeight="1">
      <x:c r="A141" s="35" t="str">
        <x:v>NEO-MATH-Y8-08-PR-02</x:v>
      </x:c>
      <x:c r="B141" s="28" t="str">
        <x:v>NEO-MATH-Y8-08</x:v>
      </x:c>
      <x:c r="C141" s="28" t="str">
        <x:v>Year 8 Connections</x:v>
      </x:c>
      <x:c r="D141" s="28" t="str">
        <x:v>Year 8</x:v>
      </x:c>
      <x:c r="E141" s="28" t="str">
        <x:v>Proportional Reasoning</x:v>
      </x:c>
      <x:c r="F141" s="28" t="str">
        <x:v>Rates, Best Value and Direct Proportion</x:v>
      </x:c>
      <x:c r="G141" s="28" t="str">
        <x:v>Use speed/density</x:v>
      </x:c>
      <x:c r="H141" s="28" t="str">
        <x:v>Connection</x:v>
      </x:c>
      <x:c r="I141" s="28" t="str">
        <x:v>Reflection, Nutrition contextual</x:v>
      </x:c>
      <x:c r="J141" s="28" t="str">
        <x:v>Live, Asynchronous, Independent</x:v>
      </x:c>
      <x:c r="K141" s="28" t="str">
        <x:v>Explanation; interactive choices; Scratchpad working; portfolio evidence</x:v>
      </x:c>
      <x:c r="L141" s="28" t="str">
        <x:v>Ratio and percentages</x:v>
      </x:c>
      <x:c r="M141" s="36" t="str">
        <x:v>Inverse proportion and compound measures</x:v>
      </x:c>
    </x:row>
    <x:row r="142" ht="54" customHeight="1">
      <x:c r="A142" s="35" t="str">
        <x:v>NEO-MATH-Y8-08-PR-03</x:v>
      </x:c>
      <x:c r="B142" s="28" t="str">
        <x:v>NEO-MATH-Y8-08</x:v>
      </x:c>
      <x:c r="C142" s="28" t="str">
        <x:v>Year 8 Connections</x:v>
      </x:c>
      <x:c r="D142" s="28" t="str">
        <x:v>Year 8</x:v>
      </x:c>
      <x:c r="E142" s="28" t="str">
        <x:v>Proportional Reasoning</x:v>
      </x:c>
      <x:c r="F142" s="28" t="str">
        <x:v>Rates, Best Value and Direct Proportion</x:v>
      </x:c>
      <x:c r="G142" s="28" t="str">
        <x:v>Solve direct proportion</x:v>
      </x:c>
      <x:c r="H142" s="28" t="str">
        <x:v>Connection</x:v>
      </x:c>
      <x:c r="I142" s="28" t="str">
        <x:v>Reflection, Nutrition contextual</x:v>
      </x:c>
      <x:c r="J142" s="28" t="str">
        <x:v>Live, Asynchronous, Independent</x:v>
      </x:c>
      <x:c r="K142" s="28" t="str">
        <x:v>Explanation; interactive choices; Scratchpad working; portfolio evidence</x:v>
      </x:c>
      <x:c r="L142" s="28" t="str">
        <x:v>Ratio and percentages</x:v>
      </x:c>
      <x:c r="M142" s="36" t="str">
        <x:v>Inverse proportion and compound measures</x:v>
      </x:c>
    </x:row>
    <x:row r="143" ht="54" customHeight="1">
      <x:c r="A143" s="35" t="str">
        <x:v>NEO-MATH-Y8-08-PR-04</x:v>
      </x:c>
      <x:c r="B143" s="28" t="str">
        <x:v>NEO-MATH-Y8-08</x:v>
      </x:c>
      <x:c r="C143" s="28" t="str">
        <x:v>Year 8 Connections</x:v>
      </x:c>
      <x:c r="D143" s="28" t="str">
        <x:v>Year 8</x:v>
      </x:c>
      <x:c r="E143" s="28" t="str">
        <x:v>Proportional Reasoning</x:v>
      </x:c>
      <x:c r="F143" s="28" t="str">
        <x:v>Rates, Best Value and Direct Proportion</x:v>
      </x:c>
      <x:c r="G143" s="28" t="str">
        <x:v>Recognise proportional graphs through origin</x:v>
      </x:c>
      <x:c r="H143" s="28" t="str">
        <x:v>Connection</x:v>
      </x:c>
      <x:c r="I143" s="28" t="str">
        <x:v>Reflection, Nutrition contextual</x:v>
      </x:c>
      <x:c r="J143" s="28" t="str">
        <x:v>Live, Asynchronous, Independent</x:v>
      </x:c>
      <x:c r="K143" s="28" t="str">
        <x:v>Explanation; interactive choices; Scratchpad working; portfolio evidence</x:v>
      </x:c>
      <x:c r="L143" s="28" t="str">
        <x:v>Ratio and percentages</x:v>
      </x:c>
      <x:c r="M143" s="36" t="str">
        <x:v>Inverse proportion and compound measures</x:v>
      </x:c>
    </x:row>
    <x:row r="144" ht="54" customHeight="1">
      <x:c r="A144" s="35" t="str">
        <x:v>NEO-MATH-Y8-08-PR-05</x:v>
      </x:c>
      <x:c r="B144" s="28" t="str">
        <x:v>NEO-MATH-Y8-08</x:v>
      </x:c>
      <x:c r="C144" s="28" t="str">
        <x:v>Year 8 Connections</x:v>
      </x:c>
      <x:c r="D144" s="28" t="str">
        <x:v>Year 8</x:v>
      </x:c>
      <x:c r="E144" s="28" t="str">
        <x:v>Proportional Reasoning</x:v>
      </x:c>
      <x:c r="F144" s="28" t="str">
        <x:v>Rates, Best Value and Direct Proportion</x:v>
      </x:c>
      <x:c r="G144" s="28" t="str">
        <x:v>Compare methods</x:v>
      </x:c>
      <x:c r="H144" s="28" t="str">
        <x:v>Connection</x:v>
      </x:c>
      <x:c r="I144" s="28" t="str">
        <x:v>Reflection, Nutrition contextual</x:v>
      </x:c>
      <x:c r="J144" s="28" t="str">
        <x:v>Live, Asynchronous, Independent</x:v>
      </x:c>
      <x:c r="K144" s="28" t="str">
        <x:v>Explanation; interactive choices; Scratchpad working; portfolio evidence</x:v>
      </x:c>
      <x:c r="L144" s="28" t="str">
        <x:v>Ratio and percentages</x:v>
      </x:c>
      <x:c r="M144" s="36" t="str">
        <x:v>Inverse proportion and compound measures</x:v>
      </x:c>
    </x:row>
    <x:row r="145" ht="54" customHeight="1">
      <x:c r="A145" s="35" t="str">
        <x:v>NEO-MATH-Y8-08-PR-06</x:v>
      </x:c>
      <x:c r="B145" s="28" t="str">
        <x:v>NEO-MATH-Y8-08</x:v>
      </x:c>
      <x:c r="C145" s="28" t="str">
        <x:v>Year 8 Connections</x:v>
      </x:c>
      <x:c r="D145" s="28" t="str">
        <x:v>Year 8</x:v>
      </x:c>
      <x:c r="E145" s="28" t="str">
        <x:v>Proportional Reasoning</x:v>
      </x:c>
      <x:c r="F145" s="28" t="str">
        <x:v>Rates, Best Value and Direct Proportion</x:v>
      </x:c>
      <x:c r="G145" s="28" t="str">
        <x:v>Justify best value</x:v>
      </x:c>
      <x:c r="H145" s="28" t="str">
        <x:v>Connection</x:v>
      </x:c>
      <x:c r="I145" s="28" t="str">
        <x:v>Reflection, Nutrition contextual</x:v>
      </x:c>
      <x:c r="J145" s="28" t="str">
        <x:v>Live, Asynchronous, Independent</x:v>
      </x:c>
      <x:c r="K145" s="28" t="str">
        <x:v>Explanation; interactive choices; Scratchpad working; portfolio evidence</x:v>
      </x:c>
      <x:c r="L145" s="28" t="str">
        <x:v>Ratio and percentages</x:v>
      </x:c>
      <x:c r="M145" s="36" t="str">
        <x:v>Inverse proportion and compound measures</x:v>
      </x:c>
    </x:row>
    <x:row r="146" ht="54" customHeight="1">
      <x:c r="A146" s="35" t="str">
        <x:v>NEO-MATH-Y8-09-DAT-01</x:v>
      </x:c>
      <x:c r="B146" s="28" t="str">
        <x:v>NEO-MATH-Y8-09</x:v>
      </x:c>
      <x:c r="C146" s="28" t="str">
        <x:v>Year 8 Connections</x:v>
      </x:c>
      <x:c r="D146" s="28" t="str">
        <x:v>Year 8</x:v>
      </x:c>
      <x:c r="E146" s="28" t="str">
        <x:v>Data &amp; Uncertainty</x:v>
      </x:c>
      <x:c r="F146" s="28" t="str">
        <x:v>Comparing Data Without Hiding the Story</x:v>
      </x:c>
      <x:c r="G146" s="28" t="str">
        <x:v>Compare distributions</x:v>
      </x:c>
      <x:c r="H146" s="28" t="str">
        <x:v>Reflection</x:v>
      </x:c>
      <x:c r="I146" s="28" t="str">
        <x:v>Connection, Creativity</x:v>
      </x:c>
      <x:c r="J146" s="28" t="str">
        <x:v>Live, Asynchronous, Independent</x:v>
      </x:c>
      <x:c r="K146" s="28" t="str">
        <x:v>Explanation; interactive choices; Scratchpad working; portfolio evidence</x:v>
      </x:c>
      <x:c r="L146" s="28" t="str">
        <x:v>Year 7 averages</x:v>
      </x:c>
      <x:c r="M146" s="36" t="str">
        <x:v>Sampling, grouped data and inference</x:v>
      </x:c>
    </x:row>
    <x:row r="147" ht="54" customHeight="1">
      <x:c r="A147" s="35" t="str">
        <x:v>NEO-MATH-Y8-09-DAT-02</x:v>
      </x:c>
      <x:c r="B147" s="28" t="str">
        <x:v>NEO-MATH-Y8-09</x:v>
      </x:c>
      <x:c r="C147" s="28" t="str">
        <x:v>Year 8 Connections</x:v>
      </x:c>
      <x:c r="D147" s="28" t="str">
        <x:v>Year 8</x:v>
      </x:c>
      <x:c r="E147" s="28" t="str">
        <x:v>Data &amp; Uncertainty</x:v>
      </x:c>
      <x:c r="F147" s="28" t="str">
        <x:v>Comparing Data Without Hiding the Story</x:v>
      </x:c>
      <x:c r="G147" s="28" t="str">
        <x:v>Choose averages/spread</x:v>
      </x:c>
      <x:c r="H147" s="28" t="str">
        <x:v>Reflection</x:v>
      </x:c>
      <x:c r="I147" s="28" t="str">
        <x:v>Connection, Creativity</x:v>
      </x:c>
      <x:c r="J147" s="28" t="str">
        <x:v>Live, Asynchronous, Independent</x:v>
      </x:c>
      <x:c r="K147" s="28" t="str">
        <x:v>Explanation; interactive choices; Scratchpad working; portfolio evidence</x:v>
      </x:c>
      <x:c r="L147" s="28" t="str">
        <x:v>Year 7 averages</x:v>
      </x:c>
      <x:c r="M147" s="36" t="str">
        <x:v>Sampling, grouped data and inference</x:v>
      </x:c>
    </x:row>
    <x:row r="148" ht="54" customHeight="1">
      <x:c r="A148" s="35" t="str">
        <x:v>NEO-MATH-Y8-09-DAT-03</x:v>
      </x:c>
      <x:c r="B148" s="28" t="str">
        <x:v>NEO-MATH-Y8-09</x:v>
      </x:c>
      <x:c r="C148" s="28" t="str">
        <x:v>Year 8 Connections</x:v>
      </x:c>
      <x:c r="D148" s="28" t="str">
        <x:v>Year 8</x:v>
      </x:c>
      <x:c r="E148" s="28" t="str">
        <x:v>Data &amp; Uncertainty</x:v>
      </x:c>
      <x:c r="F148" s="28" t="str">
        <x:v>Comparing Data Without Hiding the Story</x:v>
      </x:c>
      <x:c r="G148" s="28" t="str">
        <x:v>Recognise outliers</x:v>
      </x:c>
      <x:c r="H148" s="28" t="str">
        <x:v>Reflection</x:v>
      </x:c>
      <x:c r="I148" s="28" t="str">
        <x:v>Connection, Creativity</x:v>
      </x:c>
      <x:c r="J148" s="28" t="str">
        <x:v>Live, Asynchronous, Independent</x:v>
      </x:c>
      <x:c r="K148" s="28" t="str">
        <x:v>Explanation; interactive choices; Scratchpad working; portfolio evidence</x:v>
      </x:c>
      <x:c r="L148" s="28" t="str">
        <x:v>Year 7 averages</x:v>
      </x:c>
      <x:c r="M148" s="36" t="str">
        <x:v>Sampling, grouped data and inference</x:v>
      </x:c>
    </x:row>
    <x:row r="149" ht="54" customHeight="1">
      <x:c r="A149" s="35" t="str">
        <x:v>NEO-MATH-Y8-09-DAT-04</x:v>
      </x:c>
      <x:c r="B149" s="28" t="str">
        <x:v>NEO-MATH-Y8-09</x:v>
      </x:c>
      <x:c r="C149" s="28" t="str">
        <x:v>Year 8 Connections</x:v>
      </x:c>
      <x:c r="D149" s="28" t="str">
        <x:v>Year 8</x:v>
      </x:c>
      <x:c r="E149" s="28" t="str">
        <x:v>Data &amp; Uncertainty</x:v>
      </x:c>
      <x:c r="F149" s="28" t="str">
        <x:v>Comparing Data Without Hiding the Story</x:v>
      </x:c>
      <x:c r="G149" s="28" t="str">
        <x:v>Interpret scatter graphs</x:v>
      </x:c>
      <x:c r="H149" s="28" t="str">
        <x:v>Reflection</x:v>
      </x:c>
      <x:c r="I149" s="28" t="str">
        <x:v>Connection, Creativity</x:v>
      </x:c>
      <x:c r="J149" s="28" t="str">
        <x:v>Live, Asynchronous, Independent</x:v>
      </x:c>
      <x:c r="K149" s="28" t="str">
        <x:v>Explanation; interactive choices; Scratchpad working; portfolio evidence</x:v>
      </x:c>
      <x:c r="L149" s="28" t="str">
        <x:v>Year 7 averages</x:v>
      </x:c>
      <x:c r="M149" s="36" t="str">
        <x:v>Sampling, grouped data and inference</x:v>
      </x:c>
    </x:row>
    <x:row r="150" ht="54" customHeight="1">
      <x:c r="A150" s="35" t="str">
        <x:v>NEO-MATH-Y8-09-DAT-05</x:v>
      </x:c>
      <x:c r="B150" s="28" t="str">
        <x:v>NEO-MATH-Y8-09</x:v>
      </x:c>
      <x:c r="C150" s="28" t="str">
        <x:v>Year 8 Connections</x:v>
      </x:c>
      <x:c r="D150" s="28" t="str">
        <x:v>Year 8</x:v>
      </x:c>
      <x:c r="E150" s="28" t="str">
        <x:v>Data &amp; Uncertainty</x:v>
      </x:c>
      <x:c r="F150" s="28" t="str">
        <x:v>Comparing Data Without Hiding the Story</x:v>
      </x:c>
      <x:c r="G150" s="28" t="str">
        <x:v>Distinguish correlation and causation</x:v>
      </x:c>
      <x:c r="H150" s="28" t="str">
        <x:v>Reflection</x:v>
      </x:c>
      <x:c r="I150" s="28" t="str">
        <x:v>Connection, Creativity</x:v>
      </x:c>
      <x:c r="J150" s="28" t="str">
        <x:v>Live, Asynchronous, Independent</x:v>
      </x:c>
      <x:c r="K150" s="28" t="str">
        <x:v>Explanation; interactive choices; Scratchpad working; portfolio evidence</x:v>
      </x:c>
      <x:c r="L150" s="28" t="str">
        <x:v>Year 7 averages</x:v>
      </x:c>
      <x:c r="M150" s="36" t="str">
        <x:v>Sampling, grouped data and inference</x:v>
      </x:c>
    </x:row>
    <x:row r="151" ht="54" customHeight="1">
      <x:c r="A151" s="35" t="str">
        <x:v>NEO-MATH-Y8-09-DAT-06</x:v>
      </x:c>
      <x:c r="B151" s="28" t="str">
        <x:v>NEO-MATH-Y8-09</x:v>
      </x:c>
      <x:c r="C151" s="28" t="str">
        <x:v>Year 8 Connections</x:v>
      </x:c>
      <x:c r="D151" s="28" t="str">
        <x:v>Year 8</x:v>
      </x:c>
      <x:c r="E151" s="28" t="str">
        <x:v>Data &amp; Uncertainty</x:v>
      </x:c>
      <x:c r="F151" s="28" t="str">
        <x:v>Comparing Data Without Hiding the Story</x:v>
      </x:c>
      <x:c r="G151" s="28" t="str">
        <x:v>Critique claims</x:v>
      </x:c>
      <x:c r="H151" s="28" t="str">
        <x:v>Reflection</x:v>
      </x:c>
      <x:c r="I151" s="28" t="str">
        <x:v>Connection, Creativity</x:v>
      </x:c>
      <x:c r="J151" s="28" t="str">
        <x:v>Live, Asynchronous, Independent</x:v>
      </x:c>
      <x:c r="K151" s="28" t="str">
        <x:v>Explanation; interactive choices; Scratchpad working; portfolio evidence</x:v>
      </x:c>
      <x:c r="L151" s="28" t="str">
        <x:v>Year 7 averages</x:v>
      </x:c>
      <x:c r="M151" s="36" t="str">
        <x:v>Sampling, grouped data and inference</x:v>
      </x:c>
    </x:row>
    <x:row r="152" ht="54" customHeight="1">
      <x:c r="A152" s="35" t="str">
        <x:v>NEO-MATH-Y8-10-DAT-01</x:v>
      </x:c>
      <x:c r="B152" s="28" t="str">
        <x:v>NEO-MATH-Y8-10</x:v>
      </x:c>
      <x:c r="C152" s="28" t="str">
        <x:v>Year 8 Connections</x:v>
      </x:c>
      <x:c r="D152" s="28" t="str">
        <x:v>Year 8</x:v>
      </x:c>
      <x:c r="E152" s="28" t="str">
        <x:v>Data &amp; Uncertainty</x:v>
      </x:c>
      <x:c r="F152" s="28" t="str">
        <x:v>Building Probability Models</x:v>
      </x:c>
      <x:c r="G152" s="28" t="str">
        <x:v>Enumerate sample spaces</x:v>
      </x:c>
      <x:c r="H152" s="28" t="str">
        <x:v>Reflection</x:v>
      </x:c>
      <x:c r="I152" s="28" t="str">
        <x:v>Creativity, Connection</x:v>
      </x:c>
      <x:c r="J152" s="28" t="str">
        <x:v>Live, Asynchronous, Independent</x:v>
      </x:c>
      <x:c r="K152" s="28" t="str">
        <x:v>Explanation; interactive choices; Scratchpad working; portfolio evidence</x:v>
      </x:c>
      <x:c r="L152" s="28" t="str">
        <x:v>Simple probability</x:v>
      </x:c>
      <x:c r="M152" s="36" t="str">
        <x:v>Tree diagrams and dependent events</x:v>
      </x:c>
    </x:row>
    <x:row r="153" ht="54" customHeight="1">
      <x:c r="A153" s="35" t="str">
        <x:v>NEO-MATH-Y8-10-DAT-02</x:v>
      </x:c>
      <x:c r="B153" s="28" t="str">
        <x:v>NEO-MATH-Y8-10</x:v>
      </x:c>
      <x:c r="C153" s="28" t="str">
        <x:v>Year 8 Connections</x:v>
      </x:c>
      <x:c r="D153" s="28" t="str">
        <x:v>Year 8</x:v>
      </x:c>
      <x:c r="E153" s="28" t="str">
        <x:v>Data &amp; Uncertainty</x:v>
      </x:c>
      <x:c r="F153" s="28" t="str">
        <x:v>Building Probability Models</x:v>
      </x:c>
      <x:c r="G153" s="28" t="str">
        <x:v>Use two-way tables/Venn when appropriate</x:v>
      </x:c>
      <x:c r="H153" s="28" t="str">
        <x:v>Reflection</x:v>
      </x:c>
      <x:c r="I153" s="28" t="str">
        <x:v>Creativity, Connection</x:v>
      </x:c>
      <x:c r="J153" s="28" t="str">
        <x:v>Live, Asynchronous, Independent</x:v>
      </x:c>
      <x:c r="K153" s="28" t="str">
        <x:v>Explanation; interactive choices; Scratchpad working; portfolio evidence</x:v>
      </x:c>
      <x:c r="L153" s="28" t="str">
        <x:v>Simple probability</x:v>
      </x:c>
      <x:c r="M153" s="36" t="str">
        <x:v>Tree diagrams and dependent events</x:v>
      </x:c>
    </x:row>
    <x:row r="154" ht="54" customHeight="1">
      <x:c r="A154" s="35" t="str">
        <x:v>NEO-MATH-Y8-10-DAT-03</x:v>
      </x:c>
      <x:c r="B154" s="28" t="str">
        <x:v>NEO-MATH-Y8-10</x:v>
      </x:c>
      <x:c r="C154" s="28" t="str">
        <x:v>Year 8 Connections</x:v>
      </x:c>
      <x:c r="D154" s="28" t="str">
        <x:v>Year 8</x:v>
      </x:c>
      <x:c r="E154" s="28" t="str">
        <x:v>Data &amp; Uncertainty</x:v>
      </x:c>
      <x:c r="F154" s="28" t="str">
        <x:v>Building Probability Models</x:v>
      </x:c>
      <x:c r="G154" s="28" t="str">
        <x:v>Calculate probabilities</x:v>
      </x:c>
      <x:c r="H154" s="28" t="str">
        <x:v>Reflection</x:v>
      </x:c>
      <x:c r="I154" s="28" t="str">
        <x:v>Creativity, Connection</x:v>
      </x:c>
      <x:c r="J154" s="28" t="str">
        <x:v>Live, Asynchronous, Independent</x:v>
      </x:c>
      <x:c r="K154" s="28" t="str">
        <x:v>Explanation; interactive choices; Scratchpad working; portfolio evidence</x:v>
      </x:c>
      <x:c r="L154" s="28" t="str">
        <x:v>Simple probability</x:v>
      </x:c>
      <x:c r="M154" s="36" t="str">
        <x:v>Tree diagrams and dependent events</x:v>
      </x:c>
    </x:row>
    <x:row r="155" ht="54" customHeight="1">
      <x:c r="A155" s="35" t="str">
        <x:v>NEO-MATH-Y8-10-DAT-04</x:v>
      </x:c>
      <x:c r="B155" s="28" t="str">
        <x:v>NEO-MATH-Y8-10</x:v>
      </x:c>
      <x:c r="C155" s="28" t="str">
        <x:v>Year 8 Connections</x:v>
      </x:c>
      <x:c r="D155" s="28" t="str">
        <x:v>Year 8</x:v>
      </x:c>
      <x:c r="E155" s="28" t="str">
        <x:v>Data &amp; Uncertainty</x:v>
      </x:c>
      <x:c r="F155" s="28" t="str">
        <x:v>Building Probability Models</x:v>
      </x:c>
      <x:c r="G155" s="28" t="str">
        <x:v>Compare theory and experiment</x:v>
      </x:c>
      <x:c r="H155" s="28" t="str">
        <x:v>Reflection</x:v>
      </x:c>
      <x:c r="I155" s="28" t="str">
        <x:v>Creativity, Connection</x:v>
      </x:c>
      <x:c r="J155" s="28" t="str">
        <x:v>Live, Asynchronous, Independent</x:v>
      </x:c>
      <x:c r="K155" s="28" t="str">
        <x:v>Explanation; interactive choices; Scratchpad working; portfolio evidence</x:v>
      </x:c>
      <x:c r="L155" s="28" t="str">
        <x:v>Simple probability</x:v>
      </x:c>
      <x:c r="M155" s="36" t="str">
        <x:v>Tree diagrams and dependent events</x:v>
      </x:c>
    </x:row>
    <x:row r="156" ht="54" customHeight="1">
      <x:c r="A156" s="35" t="str">
        <x:v>NEO-MATH-Y8-10-DAT-05</x:v>
      </x:c>
      <x:c r="B156" s="28" t="str">
        <x:v>NEO-MATH-Y8-10</x:v>
      </x:c>
      <x:c r="C156" s="28" t="str">
        <x:v>Year 8 Connections</x:v>
      </x:c>
      <x:c r="D156" s="28" t="str">
        <x:v>Year 8</x:v>
      </x:c>
      <x:c r="E156" s="28" t="str">
        <x:v>Data &amp; Uncertainty</x:v>
      </x:c>
      <x:c r="F156" s="28" t="str">
        <x:v>Building Probability Models</x:v>
      </x:c>
      <x:c r="G156" s="28" t="str">
        <x:v>Explain fairness</x:v>
      </x:c>
      <x:c r="H156" s="28" t="str">
        <x:v>Reflection</x:v>
      </x:c>
      <x:c r="I156" s="28" t="str">
        <x:v>Creativity, Connection</x:v>
      </x:c>
      <x:c r="J156" s="28" t="str">
        <x:v>Live, Asynchronous, Independent</x:v>
      </x:c>
      <x:c r="K156" s="28" t="str">
        <x:v>Explanation; interactive choices; Scratchpad working; portfolio evidence</x:v>
      </x:c>
      <x:c r="L156" s="28" t="str">
        <x:v>Simple probability</x:v>
      </x:c>
      <x:c r="M156" s="36" t="str">
        <x:v>Tree diagrams and dependent events</x:v>
      </x:c>
    </x:row>
    <x:row r="157" ht="54" customHeight="1">
      <x:c r="A157" s="35" t="str">
        <x:v>NEO-MATH-Y9-01-NUM-01</x:v>
      </x:c>
      <x:c r="B157" s="28" t="str">
        <x:v>NEO-MATH-Y9-01</x:v>
      </x:c>
      <x:c r="C157" s="28" t="str">
        <x:v>Year 9 Bridge</x:v>
      </x:c>
      <x:c r="D157" s="28" t="str">
        <x:v>Year 9</x:v>
      </x:c>
      <x:c r="E157" s="28" t="str">
        <x:v>Number Sense</x:v>
      </x:c>
      <x:c r="F157" s="28" t="str">
        <x:v>Accuracy, Powers and Scale</x:v>
      </x:c>
      <x:c r="G157" s="28" t="str">
        <x:v>Round to significant figures</x:v>
      </x:c>
      <x:c r="H157" s="28" t="str">
        <x:v>Movement</x:v>
      </x:c>
      <x:c r="I157" s="28" t="str">
        <x:v>Reflection, Connection</x:v>
      </x:c>
      <x:c r="J157" s="28" t="str">
        <x:v>Live, Asynchronous, Independent</x:v>
      </x:c>
      <x:c r="K157" s="28" t="str">
        <x:v>Explanation; interactive choices; Scratchpad working; portfolio evidence</x:v>
      </x:c>
      <x:c r="L157" s="28" t="str">
        <x:v>Powers and place value</x:v>
      </x:c>
      <x:c r="M157" s="36" t="str">
        <x:v>Bounds, surds and advanced indices</x:v>
      </x:c>
    </x:row>
    <x:row r="158" ht="54" customHeight="1">
      <x:c r="A158" s="35" t="str">
        <x:v>NEO-MATH-Y9-01-NUM-02</x:v>
      </x:c>
      <x:c r="B158" s="28" t="str">
        <x:v>NEO-MATH-Y9-01</x:v>
      </x:c>
      <x:c r="C158" s="28" t="str">
        <x:v>Year 9 Bridge</x:v>
      </x:c>
      <x:c r="D158" s="28" t="str">
        <x:v>Year 9</x:v>
      </x:c>
      <x:c r="E158" s="28" t="str">
        <x:v>Number Sense</x:v>
      </x:c>
      <x:c r="F158" s="28" t="str">
        <x:v>Accuracy, Powers and Scale</x:v>
      </x:c>
      <x:c r="G158" s="28" t="str">
        <x:v>Estimate</x:v>
      </x:c>
      <x:c r="H158" s="28" t="str">
        <x:v>Movement</x:v>
      </x:c>
      <x:c r="I158" s="28" t="str">
        <x:v>Reflection, Connection</x:v>
      </x:c>
      <x:c r="J158" s="28" t="str">
        <x:v>Live, Asynchronous, Independent</x:v>
      </x:c>
      <x:c r="K158" s="28" t="str">
        <x:v>Explanation; interactive choices; Scratchpad working; portfolio evidence</x:v>
      </x:c>
      <x:c r="L158" s="28" t="str">
        <x:v>Powers and place value</x:v>
      </x:c>
      <x:c r="M158" s="36" t="str">
        <x:v>Bounds, surds and advanced indices</x:v>
      </x:c>
    </x:row>
    <x:row r="159" ht="54" customHeight="1">
      <x:c r="A159" s="35" t="str">
        <x:v>NEO-MATH-Y9-01-NUM-03</x:v>
      </x:c>
      <x:c r="B159" s="28" t="str">
        <x:v>NEO-MATH-Y9-01</x:v>
      </x:c>
      <x:c r="C159" s="28" t="str">
        <x:v>Year 9 Bridge</x:v>
      </x:c>
      <x:c r="D159" s="28" t="str">
        <x:v>Year 9</x:v>
      </x:c>
      <x:c r="E159" s="28" t="str">
        <x:v>Number Sense</x:v>
      </x:c>
      <x:c r="F159" s="28" t="str">
        <x:v>Accuracy, Powers and Scale</x:v>
      </x:c>
      <x:c r="G159" s="28" t="str">
        <x:v>Use index laws</x:v>
      </x:c>
      <x:c r="H159" s="28" t="str">
        <x:v>Movement</x:v>
      </x:c>
      <x:c r="I159" s="28" t="str">
        <x:v>Reflection, Connection</x:v>
      </x:c>
      <x:c r="J159" s="28" t="str">
        <x:v>Live, Asynchronous, Independent</x:v>
      </x:c>
      <x:c r="K159" s="28" t="str">
        <x:v>Explanation; interactive choices; Scratchpad working; portfolio evidence</x:v>
      </x:c>
      <x:c r="L159" s="28" t="str">
        <x:v>Powers and place value</x:v>
      </x:c>
      <x:c r="M159" s="36" t="str">
        <x:v>Bounds, surds and advanced indices</x:v>
      </x:c>
    </x:row>
    <x:row r="160" ht="54" customHeight="1">
      <x:c r="A160" s="35" t="str">
        <x:v>NEO-MATH-Y9-01-NUM-04</x:v>
      </x:c>
      <x:c r="B160" s="28" t="str">
        <x:v>NEO-MATH-Y9-01</x:v>
      </x:c>
      <x:c r="C160" s="28" t="str">
        <x:v>Year 9 Bridge</x:v>
      </x:c>
      <x:c r="D160" s="28" t="str">
        <x:v>Year 9</x:v>
      </x:c>
      <x:c r="E160" s="28" t="str">
        <x:v>Number Sense</x:v>
      </x:c>
      <x:c r="F160" s="28" t="str">
        <x:v>Accuracy, Powers and Scale</x:v>
      </x:c>
      <x:c r="G160" s="28" t="str">
        <x:v>Write/order standard form</x:v>
      </x:c>
      <x:c r="H160" s="28" t="str">
        <x:v>Movement</x:v>
      </x:c>
      <x:c r="I160" s="28" t="str">
        <x:v>Reflection, Connection</x:v>
      </x:c>
      <x:c r="J160" s="28" t="str">
        <x:v>Live, Asynchronous, Independent</x:v>
      </x:c>
      <x:c r="K160" s="28" t="str">
        <x:v>Explanation; interactive choices; Scratchpad working; portfolio evidence</x:v>
      </x:c>
      <x:c r="L160" s="28" t="str">
        <x:v>Powers and place value</x:v>
      </x:c>
      <x:c r="M160" s="36" t="str">
        <x:v>Bounds, surds and advanced indices</x:v>
      </x:c>
    </x:row>
    <x:row r="161" ht="54" customHeight="1">
      <x:c r="A161" s="35" t="str">
        <x:v>NEO-MATH-Y9-01-NUM-05</x:v>
      </x:c>
      <x:c r="B161" s="28" t="str">
        <x:v>NEO-MATH-Y9-01</x:v>
      </x:c>
      <x:c r="C161" s="28" t="str">
        <x:v>Year 9 Bridge</x:v>
      </x:c>
      <x:c r="D161" s="28" t="str">
        <x:v>Year 9</x:v>
      </x:c>
      <x:c r="E161" s="28" t="str">
        <x:v>Number Sense</x:v>
      </x:c>
      <x:c r="F161" s="28" t="str">
        <x:v>Accuracy, Powers and Scale</x:v>
      </x:c>
      <x:c r="G161" s="28" t="str">
        <x:v>Calculate in standard form</x:v>
      </x:c>
      <x:c r="H161" s="28" t="str">
        <x:v>Movement</x:v>
      </x:c>
      <x:c r="I161" s="28" t="str">
        <x:v>Reflection, Connection</x:v>
      </x:c>
      <x:c r="J161" s="28" t="str">
        <x:v>Live, Asynchronous, Independent</x:v>
      </x:c>
      <x:c r="K161" s="28" t="str">
        <x:v>Explanation; interactive choices; Scratchpad working; portfolio evidence</x:v>
      </x:c>
      <x:c r="L161" s="28" t="str">
        <x:v>Powers and place value</x:v>
      </x:c>
      <x:c r="M161" s="36" t="str">
        <x:v>Bounds, surds and advanced indices</x:v>
      </x:c>
    </x:row>
    <x:row r="162" ht="54" customHeight="1">
      <x:c r="A162" s="35" t="str">
        <x:v>NEO-MATH-Y9-01-NUM-06</x:v>
      </x:c>
      <x:c r="B162" s="28" t="str">
        <x:v>NEO-MATH-Y9-01</x:v>
      </x:c>
      <x:c r="C162" s="28" t="str">
        <x:v>Year 9 Bridge</x:v>
      </x:c>
      <x:c r="D162" s="28" t="str">
        <x:v>Year 9</x:v>
      </x:c>
      <x:c r="E162" s="28" t="str">
        <x:v>Number Sense</x:v>
      </x:c>
      <x:c r="F162" s="28" t="str">
        <x:v>Accuracy, Powers and Scale</x:v>
      </x:c>
      <x:c r="G162" s="28" t="str">
        <x:v>Choose sensible accuracy</x:v>
      </x:c>
      <x:c r="H162" s="28" t="str">
        <x:v>Movement</x:v>
      </x:c>
      <x:c r="I162" s="28" t="str">
        <x:v>Reflection, Connection</x:v>
      </x:c>
      <x:c r="J162" s="28" t="str">
        <x:v>Live, Asynchronous, Independent</x:v>
      </x:c>
      <x:c r="K162" s="28" t="str">
        <x:v>Explanation; interactive choices; Scratchpad working; portfolio evidence</x:v>
      </x:c>
      <x:c r="L162" s="28" t="str">
        <x:v>Powers and place value</x:v>
      </x:c>
      <x:c r="M162" s="36" t="str">
        <x:v>Bounds, surds and advanced indices</x:v>
      </x:c>
    </x:row>
    <x:row r="163" ht="54" customHeight="1">
      <x:c r="A163" s="35" t="str">
        <x:v>NEO-MATH-Y9-02-GEO-01</x:v>
      </x:c>
      <x:c r="B163" s="28" t="str">
        <x:v>NEO-MATH-Y9-02</x:v>
      </x:c>
      <x:c r="C163" s="28" t="str">
        <x:v>Year 9 Bridge</x:v>
      </x:c>
      <x:c r="D163" s="28" t="str">
        <x:v>Year 9</x:v>
      </x:c>
      <x:c r="E163" s="28" t="str">
        <x:v>Spatial Reasoning</x:v>
      </x:c>
      <x:c r="F163" s="28" t="str">
        <x:v>Solids, Cross-Sections and Space</x:v>
      </x:c>
      <x:c r="G163" s="28" t="str">
        <x:v>Analyse 2D/3D properties</x:v>
      </x:c>
      <x:c r="H163" s="28" t="str">
        <x:v>Movement</x:v>
      </x:c>
      <x:c r="I163" s="28" t="str">
        <x:v>Creativity, Reflection</x:v>
      </x:c>
      <x:c r="J163" s="28" t="str">
        <x:v>Live, Asynchronous, Independent</x:v>
      </x:c>
      <x:c r="K163" s="28" t="str">
        <x:v>Explanation; interactive choices; Scratchpad working; portfolio evidence</x:v>
      </x:c>
      <x:c r="L163" s="28" t="str">
        <x:v>Circles, prisms and packaging</x:v>
      </x:c>
      <x:c r="M163" s="36" t="str">
        <x:v>3D trig and similarity</x:v>
      </x:c>
    </x:row>
    <x:row r="164" ht="54" customHeight="1">
      <x:c r="A164" s="35" t="str">
        <x:v>NEO-MATH-Y9-02-GEO-02</x:v>
      </x:c>
      <x:c r="B164" s="28" t="str">
        <x:v>NEO-MATH-Y9-02</x:v>
      </x:c>
      <x:c r="C164" s="28" t="str">
        <x:v>Year 9 Bridge</x:v>
      </x:c>
      <x:c r="D164" s="28" t="str">
        <x:v>Year 9</x:v>
      </x:c>
      <x:c r="E164" s="28" t="str">
        <x:v>Spatial Reasoning</x:v>
      </x:c>
      <x:c r="F164" s="28" t="str">
        <x:v>Solids, Cross-Sections and Space</x:v>
      </x:c>
      <x:c r="G164" s="28" t="str">
        <x:v>Calculate surface area/volume</x:v>
      </x:c>
      <x:c r="H164" s="28" t="str">
        <x:v>Movement</x:v>
      </x:c>
      <x:c r="I164" s="28" t="str">
        <x:v>Creativity, Reflection</x:v>
      </x:c>
      <x:c r="J164" s="28" t="str">
        <x:v>Live, Asynchronous, Independent</x:v>
      </x:c>
      <x:c r="K164" s="28" t="str">
        <x:v>Explanation; interactive choices; Scratchpad working; portfolio evidence</x:v>
      </x:c>
      <x:c r="L164" s="28" t="str">
        <x:v>Circles, prisms and packaging</x:v>
      </x:c>
      <x:c r="M164" s="36" t="str">
        <x:v>3D trig and similarity</x:v>
      </x:c>
    </x:row>
    <x:row r="165" ht="54" customHeight="1">
      <x:c r="A165" s="35" t="str">
        <x:v>NEO-MATH-Y9-02-GEO-03</x:v>
      </x:c>
      <x:c r="B165" s="28" t="str">
        <x:v>NEO-MATH-Y9-02</x:v>
      </x:c>
      <x:c r="C165" s="28" t="str">
        <x:v>Year 9 Bridge</x:v>
      </x:c>
      <x:c r="D165" s="28" t="str">
        <x:v>Year 9</x:v>
      </x:c>
      <x:c r="E165" s="28" t="str">
        <x:v>Spatial Reasoning</x:v>
      </x:c>
      <x:c r="F165" s="28" t="str">
        <x:v>Solids, Cross-Sections and Space</x:v>
      </x:c>
      <x:c r="G165" s="28" t="str">
        <x:v>Use cross-sections</x:v>
      </x:c>
      <x:c r="H165" s="28" t="str">
        <x:v>Movement</x:v>
      </x:c>
      <x:c r="I165" s="28" t="str">
        <x:v>Creativity, Reflection</x:v>
      </x:c>
      <x:c r="J165" s="28" t="str">
        <x:v>Live, Asynchronous, Independent</x:v>
      </x:c>
      <x:c r="K165" s="28" t="str">
        <x:v>Explanation; interactive choices; Scratchpad working; portfolio evidence</x:v>
      </x:c>
      <x:c r="L165" s="28" t="str">
        <x:v>Circles, prisms and packaging</x:v>
      </x:c>
      <x:c r="M165" s="36" t="str">
        <x:v>3D trig and similarity</x:v>
      </x:c>
    </x:row>
    <x:row r="166" ht="54" customHeight="1">
      <x:c r="A166" s="35" t="str">
        <x:v>NEO-MATH-Y9-02-GEO-04</x:v>
      </x:c>
      <x:c r="B166" s="28" t="str">
        <x:v>NEO-MATH-Y9-02</x:v>
      </x:c>
      <x:c r="C166" s="28" t="str">
        <x:v>Year 9 Bridge</x:v>
      </x:c>
      <x:c r="D166" s="28" t="str">
        <x:v>Year 9</x:v>
      </x:c>
      <x:c r="E166" s="28" t="str">
        <x:v>Spatial Reasoning</x:v>
      </x:c>
      <x:c r="F166" s="28" t="str">
        <x:v>Solids, Cross-Sections and Space</x:v>
      </x:c>
      <x:c r="G166" s="28" t="str">
        <x:v>Use polygon angles</x:v>
      </x:c>
      <x:c r="H166" s="28" t="str">
        <x:v>Movement</x:v>
      </x:c>
      <x:c r="I166" s="28" t="str">
        <x:v>Creativity, Reflection</x:v>
      </x:c>
      <x:c r="J166" s="28" t="str">
        <x:v>Live, Asynchronous, Independent</x:v>
      </x:c>
      <x:c r="K166" s="28" t="str">
        <x:v>Explanation; interactive choices; Scratchpad working; portfolio evidence</x:v>
      </x:c>
      <x:c r="L166" s="28" t="str">
        <x:v>Circles, prisms and packaging</x:v>
      </x:c>
      <x:c r="M166" s="36" t="str">
        <x:v>3D trig and similarity</x:v>
      </x:c>
    </x:row>
    <x:row r="167" ht="54" customHeight="1">
      <x:c r="A167" s="35" t="str">
        <x:v>NEO-MATH-Y9-02-GEO-05</x:v>
      </x:c>
      <x:c r="B167" s="28" t="str">
        <x:v>NEO-MATH-Y9-02</x:v>
      </x:c>
      <x:c r="C167" s="28" t="str">
        <x:v>Year 9 Bridge</x:v>
      </x:c>
      <x:c r="D167" s="28" t="str">
        <x:v>Year 9</x:v>
      </x:c>
      <x:c r="E167" s="28" t="str">
        <x:v>Spatial Reasoning</x:v>
      </x:c>
      <x:c r="F167" s="28" t="str">
        <x:v>Solids, Cross-Sections and Space</x:v>
      </x:c>
      <x:c r="G167" s="28" t="str">
        <x:v>Convert spatial units</x:v>
      </x:c>
      <x:c r="H167" s="28" t="str">
        <x:v>Movement</x:v>
      </x:c>
      <x:c r="I167" s="28" t="str">
        <x:v>Creativity, Reflection</x:v>
      </x:c>
      <x:c r="J167" s="28" t="str">
        <x:v>Live, Asynchronous, Independent</x:v>
      </x:c>
      <x:c r="K167" s="28" t="str">
        <x:v>Explanation; interactive choices; Scratchpad working; portfolio evidence</x:v>
      </x:c>
      <x:c r="L167" s="28" t="str">
        <x:v>Circles, prisms and packaging</x:v>
      </x:c>
      <x:c r="M167" s="36" t="str">
        <x:v>3D trig and similarity</x:v>
      </x:c>
    </x:row>
    <x:row r="168" ht="54" customHeight="1">
      <x:c r="A168" s="35" t="str">
        <x:v>NEO-MATH-Y9-02-GEO-06</x:v>
      </x:c>
      <x:c r="B168" s="28" t="str">
        <x:v>NEO-MATH-Y9-02</x:v>
      </x:c>
      <x:c r="C168" s="28" t="str">
        <x:v>Year 9 Bridge</x:v>
      </x:c>
      <x:c r="D168" s="28" t="str">
        <x:v>Year 9</x:v>
      </x:c>
      <x:c r="E168" s="28" t="str">
        <x:v>Spatial Reasoning</x:v>
      </x:c>
      <x:c r="F168" s="28" t="str">
        <x:v>Solids, Cross-Sections and Space</x:v>
      </x:c>
      <x:c r="G168" s="28" t="str">
        <x:v>Reason from nets</x:v>
      </x:c>
      <x:c r="H168" s="28" t="str">
        <x:v>Movement</x:v>
      </x:c>
      <x:c r="I168" s="28" t="str">
        <x:v>Creativity, Reflection</x:v>
      </x:c>
      <x:c r="J168" s="28" t="str">
        <x:v>Live, Asynchronous, Independent</x:v>
      </x:c>
      <x:c r="K168" s="28" t="str">
        <x:v>Explanation; interactive choices; Scratchpad working; portfolio evidence</x:v>
      </x:c>
      <x:c r="L168" s="28" t="str">
        <x:v>Circles, prisms and packaging</x:v>
      </x:c>
      <x:c r="M168" s="36" t="str">
        <x:v>3D trig and similarity</x:v>
      </x:c>
    </x:row>
    <x:row r="169" ht="54" customHeight="1">
      <x:c r="A169" s="35" t="str">
        <x:v>NEO-MATH-Y9-03-ALG-01</x:v>
      </x:c>
      <x:c r="B169" s="28" t="str">
        <x:v>NEO-MATH-Y9-03</x:v>
      </x:c>
      <x:c r="C169" s="28" t="str">
        <x:v>Year 9 Bridge</x:v>
      </x:c>
      <x:c r="D169" s="28" t="str">
        <x:v>Year 9</x:v>
      </x:c>
      <x:c r="E169" s="28" t="str">
        <x:v>Structure &amp; Generalisation</x:v>
      </x:c>
      <x:c r="F169" s="28" t="str">
        <x:v>Quadratics: When Change Itself Changes</x:v>
      </x:c>
      <x:c r="G169" s="28" t="str">
        <x:v>Recognise quadratic patterns</x:v>
      </x:c>
      <x:c r="H169" s="28" t="str">
        <x:v>Movement</x:v>
      </x:c>
      <x:c r="I169" s="28" t="str">
        <x:v>Connection, Creativity</x:v>
      </x:c>
      <x:c r="J169" s="28" t="str">
        <x:v>Live, Asynchronous, Independent</x:v>
      </x:c>
      <x:c r="K169" s="28" t="str">
        <x:v>Explanation; interactive choices; Scratchpad working; portfolio evidence</x:v>
      </x:c>
      <x:c r="L169" s="28" t="str">
        <x:v>Sequences and linear graphs</x:v>
      </x:c>
      <x:c r="M169" s="36" t="str">
        <x:v>Quadratic equations and functions</x:v>
      </x:c>
    </x:row>
    <x:row r="170" ht="54" customHeight="1">
      <x:c r="A170" s="35" t="str">
        <x:v>NEO-MATH-Y9-03-ALG-02</x:v>
      </x:c>
      <x:c r="B170" s="28" t="str">
        <x:v>NEO-MATH-Y9-03</x:v>
      </x:c>
      <x:c r="C170" s="28" t="str">
        <x:v>Year 9 Bridge</x:v>
      </x:c>
      <x:c r="D170" s="28" t="str">
        <x:v>Year 9</x:v>
      </x:c>
      <x:c r="E170" s="28" t="str">
        <x:v>Structure &amp; Generalisation</x:v>
      </x:c>
      <x:c r="F170" s="28" t="str">
        <x:v>Quadratics: When Change Itself Changes</x:v>
      </x:c>
      <x:c r="G170" s="28" t="str">
        <x:v>Use second differences</x:v>
      </x:c>
      <x:c r="H170" s="28" t="str">
        <x:v>Movement</x:v>
      </x:c>
      <x:c r="I170" s="28" t="str">
        <x:v>Connection, Creativity</x:v>
      </x:c>
      <x:c r="J170" s="28" t="str">
        <x:v>Live, Asynchronous, Independent</x:v>
      </x:c>
      <x:c r="K170" s="28" t="str">
        <x:v>Explanation; interactive choices; Scratchpad working; portfolio evidence</x:v>
      </x:c>
      <x:c r="L170" s="28" t="str">
        <x:v>Sequences and linear graphs</x:v>
      </x:c>
      <x:c r="M170" s="36" t="str">
        <x:v>Quadratic equations and functions</x:v>
      </x:c>
    </x:row>
    <x:row r="171" ht="54" customHeight="1">
      <x:c r="A171" s="35" t="str">
        <x:v>NEO-MATH-Y9-03-ALG-03</x:v>
      </x:c>
      <x:c r="B171" s="28" t="str">
        <x:v>NEO-MATH-Y9-03</x:v>
      </x:c>
      <x:c r="C171" s="28" t="str">
        <x:v>Year 9 Bridge</x:v>
      </x:c>
      <x:c r="D171" s="28" t="str">
        <x:v>Year 9</x:v>
      </x:c>
      <x:c r="E171" s="28" t="str">
        <x:v>Structure &amp; Generalisation</x:v>
      </x:c>
      <x:c r="F171" s="28" t="str">
        <x:v>Quadratics: When Change Itself Changes</x:v>
      </x:c>
      <x:c r="G171" s="28" t="str">
        <x:v>Expand/factorise simple quadratics</x:v>
      </x:c>
      <x:c r="H171" s="28" t="str">
        <x:v>Movement</x:v>
      </x:c>
      <x:c r="I171" s="28" t="str">
        <x:v>Connection, Creativity</x:v>
      </x:c>
      <x:c r="J171" s="28" t="str">
        <x:v>Live, Asynchronous, Independent</x:v>
      </x:c>
      <x:c r="K171" s="28" t="str">
        <x:v>Explanation; interactive choices; Scratchpad working; portfolio evidence</x:v>
      </x:c>
      <x:c r="L171" s="28" t="str">
        <x:v>Sequences and linear graphs</x:v>
      </x:c>
      <x:c r="M171" s="36" t="str">
        <x:v>Quadratic equations and functions</x:v>
      </x:c>
    </x:row>
    <x:row r="172" ht="54" customHeight="1">
      <x:c r="A172" s="35" t="str">
        <x:v>NEO-MATH-Y9-03-ALG-04</x:v>
      </x:c>
      <x:c r="B172" s="28" t="str">
        <x:v>NEO-MATH-Y9-03</x:v>
      </x:c>
      <x:c r="C172" s="28" t="str">
        <x:v>Year 9 Bridge</x:v>
      </x:c>
      <x:c r="D172" s="28" t="str">
        <x:v>Year 9</x:v>
      </x:c>
      <x:c r="E172" s="28" t="str">
        <x:v>Structure &amp; Generalisation</x:v>
      </x:c>
      <x:c r="F172" s="28" t="str">
        <x:v>Quadratics: When Change Itself Changes</x:v>
      </x:c>
      <x:c r="G172" s="28" t="str">
        <x:v>Plot quadratic graphs</x:v>
      </x:c>
      <x:c r="H172" s="28" t="str">
        <x:v>Movement</x:v>
      </x:c>
      <x:c r="I172" s="28" t="str">
        <x:v>Connection, Creativity</x:v>
      </x:c>
      <x:c r="J172" s="28" t="str">
        <x:v>Live, Asynchronous, Independent</x:v>
      </x:c>
      <x:c r="K172" s="28" t="str">
        <x:v>Explanation; interactive choices; Scratchpad working; portfolio evidence</x:v>
      </x:c>
      <x:c r="L172" s="28" t="str">
        <x:v>Sequences and linear graphs</x:v>
      </x:c>
      <x:c r="M172" s="36" t="str">
        <x:v>Quadratic equations and functions</x:v>
      </x:c>
    </x:row>
    <x:row r="173" ht="54" customHeight="1">
      <x:c r="A173" s="35" t="str">
        <x:v>NEO-MATH-Y9-03-ALG-05</x:v>
      </x:c>
      <x:c r="B173" s="28" t="str">
        <x:v>NEO-MATH-Y9-03</x:v>
      </x:c>
      <x:c r="C173" s="28" t="str">
        <x:v>Year 9 Bridge</x:v>
      </x:c>
      <x:c r="D173" s="28" t="str">
        <x:v>Year 9</x:v>
      </x:c>
      <x:c r="E173" s="28" t="str">
        <x:v>Structure &amp; Generalisation</x:v>
      </x:c>
      <x:c r="F173" s="28" t="str">
        <x:v>Quadratics: When Change Itself Changes</x:v>
      </x:c>
      <x:c r="G173" s="28" t="str">
        <x:v>Identify turning points</x:v>
      </x:c>
      <x:c r="H173" s="28" t="str">
        <x:v>Movement</x:v>
      </x:c>
      <x:c r="I173" s="28" t="str">
        <x:v>Connection, Creativity</x:v>
      </x:c>
      <x:c r="J173" s="28" t="str">
        <x:v>Live, Asynchronous, Independent</x:v>
      </x:c>
      <x:c r="K173" s="28" t="str">
        <x:v>Explanation; interactive choices; Scratchpad working; portfolio evidence</x:v>
      </x:c>
      <x:c r="L173" s="28" t="str">
        <x:v>Sequences and linear graphs</x:v>
      </x:c>
      <x:c r="M173" s="36" t="str">
        <x:v>Quadratic equations and functions</x:v>
      </x:c>
    </x:row>
    <x:row r="174" ht="54" customHeight="1">
      <x:c r="A174" s="35" t="str">
        <x:v>NEO-MATH-Y9-03-ALG-06</x:v>
      </x:c>
      <x:c r="B174" s="28" t="str">
        <x:v>NEO-MATH-Y9-03</x:v>
      </x:c>
      <x:c r="C174" s="28" t="str">
        <x:v>Year 9 Bridge</x:v>
      </x:c>
      <x:c r="D174" s="28" t="str">
        <x:v>Year 9</x:v>
      </x:c>
      <x:c r="E174" s="28" t="str">
        <x:v>Structure &amp; Generalisation</x:v>
      </x:c>
      <x:c r="F174" s="28" t="str">
        <x:v>Quadratics: When Change Itself Changes</x:v>
      </x:c>
      <x:c r="G174" s="28" t="str">
        <x:v>Compare transformations</x:v>
      </x:c>
      <x:c r="H174" s="28" t="str">
        <x:v>Movement</x:v>
      </x:c>
      <x:c r="I174" s="28" t="str">
        <x:v>Connection, Creativity</x:v>
      </x:c>
      <x:c r="J174" s="28" t="str">
        <x:v>Live, Asynchronous, Independent</x:v>
      </x:c>
      <x:c r="K174" s="28" t="str">
        <x:v>Explanation; interactive choices; Scratchpad working; portfolio evidence</x:v>
      </x:c>
      <x:c r="L174" s="28" t="str">
        <x:v>Sequences and linear graphs</x:v>
      </x:c>
      <x:c r="M174" s="36" t="str">
        <x:v>Quadratic equations and functions</x:v>
      </x:c>
    </x:row>
    <x:row r="175" ht="54" customHeight="1">
      <x:c r="A175" s="35" t="str">
        <x:v>NEO-MATH-Y9-04-GEO-01</x:v>
      </x:c>
      <x:c r="B175" s="28" t="str">
        <x:v>NEO-MATH-Y9-04</x:v>
      </x:c>
      <x:c r="C175" s="28" t="str">
        <x:v>Year 9 Bridge</x:v>
      </x:c>
      <x:c r="D175" s="28" t="str">
        <x:v>Year 9</x:v>
      </x:c>
      <x:c r="E175" s="28" t="str">
        <x:v>Spatial Reasoning</x:v>
      </x:c>
      <x:c r="F175" s="28" t="str">
        <x:v>Precision, Loci and Safe Routes</x:v>
      </x:c>
      <x:c r="G175" s="28" t="str">
        <x:v>Use ruler/compass constructions</x:v>
      </x:c>
      <x:c r="H175" s="28" t="str">
        <x:v>Movement</x:v>
      </x:c>
      <x:c r="I175" s="28" t="str">
        <x:v>Reflection, Connection</x:v>
      </x:c>
      <x:c r="J175" s="28" t="str">
        <x:v>Live, Asynchronous, Independent</x:v>
      </x:c>
      <x:c r="K175" s="28" t="str">
        <x:v>Explanation; interactive choices; Scratchpad working; portfolio evidence</x:v>
      </x:c>
      <x:c r="L175" s="28" t="str">
        <x:v>Angle reasoning and scale</x:v>
      </x:c>
      <x:c r="M175" s="36" t="str">
        <x:v>Geometric proof and trigonometry</x:v>
      </x:c>
    </x:row>
    <x:row r="176" ht="54" customHeight="1">
      <x:c r="A176" s="35" t="str">
        <x:v>NEO-MATH-Y9-04-GEO-02</x:v>
      </x:c>
      <x:c r="B176" s="28" t="str">
        <x:v>NEO-MATH-Y9-04</x:v>
      </x:c>
      <x:c r="C176" s="28" t="str">
        <x:v>Year 9 Bridge</x:v>
      </x:c>
      <x:c r="D176" s="28" t="str">
        <x:v>Year 9</x:v>
      </x:c>
      <x:c r="E176" s="28" t="str">
        <x:v>Spatial Reasoning</x:v>
      </x:c>
      <x:c r="F176" s="28" t="str">
        <x:v>Precision, Loci and Safe Routes</x:v>
      </x:c>
      <x:c r="G176" s="28" t="str">
        <x:v>Construct bisectors</x:v>
      </x:c>
      <x:c r="H176" s="28" t="str">
        <x:v>Movement</x:v>
      </x:c>
      <x:c r="I176" s="28" t="str">
        <x:v>Reflection, Connection</x:v>
      </x:c>
      <x:c r="J176" s="28" t="str">
        <x:v>Live, Asynchronous, Independent</x:v>
      </x:c>
      <x:c r="K176" s="28" t="str">
        <x:v>Explanation; interactive choices; Scratchpad working; portfolio evidence</x:v>
      </x:c>
      <x:c r="L176" s="28" t="str">
        <x:v>Angle reasoning and scale</x:v>
      </x:c>
      <x:c r="M176" s="36" t="str">
        <x:v>Geometric proof and trigonometry</x:v>
      </x:c>
    </x:row>
    <x:row r="177" ht="54" customHeight="1">
      <x:c r="A177" s="35" t="str">
        <x:v>NEO-MATH-Y9-04-GEO-03</x:v>
      </x:c>
      <x:c r="B177" s="28" t="str">
        <x:v>NEO-MATH-Y9-04</x:v>
      </x:c>
      <x:c r="C177" s="28" t="str">
        <x:v>Year 9 Bridge</x:v>
      </x:c>
      <x:c r="D177" s="28" t="str">
        <x:v>Year 9</x:v>
      </x:c>
      <x:c r="E177" s="28" t="str">
        <x:v>Spatial Reasoning</x:v>
      </x:c>
      <x:c r="F177" s="28" t="str">
        <x:v>Precision, Loci and Safe Routes</x:v>
      </x:c>
      <x:c r="G177" s="28" t="str">
        <x:v>Describe loci</x:v>
      </x:c>
      <x:c r="H177" s="28" t="str">
        <x:v>Movement</x:v>
      </x:c>
      <x:c r="I177" s="28" t="str">
        <x:v>Reflection, Connection</x:v>
      </x:c>
      <x:c r="J177" s="28" t="str">
        <x:v>Live, Asynchronous, Independent</x:v>
      </x:c>
      <x:c r="K177" s="28" t="str">
        <x:v>Explanation; interactive choices; Scratchpad working; portfolio evidence</x:v>
      </x:c>
      <x:c r="L177" s="28" t="str">
        <x:v>Angle reasoning and scale</x:v>
      </x:c>
      <x:c r="M177" s="36" t="str">
        <x:v>Geometric proof and trigonometry</x:v>
      </x:c>
    </x:row>
    <x:row r="178" ht="54" customHeight="1">
      <x:c r="A178" s="35" t="str">
        <x:v>NEO-MATH-Y9-04-GEO-04</x:v>
      </x:c>
      <x:c r="B178" s="28" t="str">
        <x:v>NEO-MATH-Y9-04</x:v>
      </x:c>
      <x:c r="C178" s="28" t="str">
        <x:v>Year 9 Bridge</x:v>
      </x:c>
      <x:c r="D178" s="28" t="str">
        <x:v>Year 9</x:v>
      </x:c>
      <x:c r="E178" s="28" t="str">
        <x:v>Spatial Reasoning</x:v>
      </x:c>
      <x:c r="F178" s="28" t="str">
        <x:v>Precision, Loci and Safe Routes</x:v>
      </x:c>
      <x:c r="G178" s="28" t="str">
        <x:v>Use bearings</x:v>
      </x:c>
      <x:c r="H178" s="28" t="str">
        <x:v>Movement</x:v>
      </x:c>
      <x:c r="I178" s="28" t="str">
        <x:v>Reflection, Connection</x:v>
      </x:c>
      <x:c r="J178" s="28" t="str">
        <x:v>Live, Asynchronous, Independent</x:v>
      </x:c>
      <x:c r="K178" s="28" t="str">
        <x:v>Explanation; interactive choices; Scratchpad working; portfolio evidence</x:v>
      </x:c>
      <x:c r="L178" s="28" t="str">
        <x:v>Angle reasoning and scale</x:v>
      </x:c>
      <x:c r="M178" s="36" t="str">
        <x:v>Geometric proof and trigonometry</x:v>
      </x:c>
    </x:row>
    <x:row r="179" ht="54" customHeight="1">
      <x:c r="A179" s="35" t="str">
        <x:v>NEO-MATH-Y9-04-GEO-05</x:v>
      </x:c>
      <x:c r="B179" s="28" t="str">
        <x:v>NEO-MATH-Y9-04</x:v>
      </x:c>
      <x:c r="C179" s="28" t="str">
        <x:v>Year 9 Bridge</x:v>
      </x:c>
      <x:c r="D179" s="28" t="str">
        <x:v>Year 9</x:v>
      </x:c>
      <x:c r="E179" s="28" t="str">
        <x:v>Spatial Reasoning</x:v>
      </x:c>
      <x:c r="F179" s="28" t="str">
        <x:v>Precision, Loci and Safe Routes</x:v>
      </x:c>
      <x:c r="G179" s="28" t="str">
        <x:v>Interpret scale drawings</x:v>
      </x:c>
      <x:c r="H179" s="28" t="str">
        <x:v>Movement</x:v>
      </x:c>
      <x:c r="I179" s="28" t="str">
        <x:v>Reflection, Connection</x:v>
      </x:c>
      <x:c r="J179" s="28" t="str">
        <x:v>Live, Asynchronous, Independent</x:v>
      </x:c>
      <x:c r="K179" s="28" t="str">
        <x:v>Explanation; interactive choices; Scratchpad working; portfolio evidence</x:v>
      </x:c>
      <x:c r="L179" s="28" t="str">
        <x:v>Angle reasoning and scale</x:v>
      </x:c>
      <x:c r="M179" s="36" t="str">
        <x:v>Geometric proof and trigonometry</x:v>
      </x:c>
    </x:row>
    <x:row r="180" ht="54" customHeight="1">
      <x:c r="A180" s="35" t="str">
        <x:v>NEO-MATH-Y9-04-GEO-06</x:v>
      </x:c>
      <x:c r="B180" s="28" t="str">
        <x:v>NEO-MATH-Y9-04</x:v>
      </x:c>
      <x:c r="C180" s="28" t="str">
        <x:v>Year 9 Bridge</x:v>
      </x:c>
      <x:c r="D180" s="28" t="str">
        <x:v>Year 9</x:v>
      </x:c>
      <x:c r="E180" s="28" t="str">
        <x:v>Spatial Reasoning</x:v>
      </x:c>
      <x:c r="F180" s="28" t="str">
        <x:v>Precision, Loci and Safe Routes</x:v>
      </x:c>
      <x:c r="G180" s="28" t="str">
        <x:v>Justify precision</x:v>
      </x:c>
      <x:c r="H180" s="28" t="str">
        <x:v>Movement</x:v>
      </x:c>
      <x:c r="I180" s="28" t="str">
        <x:v>Reflection, Connection</x:v>
      </x:c>
      <x:c r="J180" s="28" t="str">
        <x:v>Live, Asynchronous, Independent</x:v>
      </x:c>
      <x:c r="K180" s="28" t="str">
        <x:v>Explanation; interactive choices; Scratchpad working; portfolio evidence</x:v>
      </x:c>
      <x:c r="L180" s="28" t="str">
        <x:v>Angle reasoning and scale</x:v>
      </x:c>
      <x:c r="M180" s="36" t="str">
        <x:v>Geometric proof and trigonometry</x:v>
      </x:c>
    </x:row>
    <x:row r="181" ht="54" customHeight="1">
      <x:c r="A181" s="35" t="str">
        <x:v>NEO-MATH-Y9-05-ALG-01</x:v>
      </x:c>
      <x:c r="B181" s="28" t="str">
        <x:v>NEO-MATH-Y9-05</x:v>
      </x:c>
      <x:c r="C181" s="28" t="str">
        <x:v>Year 9 Bridge</x:v>
      </x:c>
      <x:c r="D181" s="28" t="str">
        <x:v>Year 9</x:v>
      </x:c>
      <x:c r="E181" s="28" t="str">
        <x:v>Structure &amp; Generalisation</x:v>
      </x:c>
      <x:c r="F181" s="28" t="str">
        <x:v>Inequalities: Mathematics with Boundaries</x:v>
      </x:c>
      <x:c r="G181" s="28" t="str">
        <x:v>Solve linear inequalities</x:v>
      </x:c>
      <x:c r="H181" s="28" t="str">
        <x:v>Connection</x:v>
      </x:c>
      <x:c r="I181" s="28" t="str">
        <x:v>Reflection, Creativity</x:v>
      </x:c>
      <x:c r="J181" s="28" t="str">
        <x:v>Live, Asynchronous, Independent</x:v>
      </x:c>
      <x:c r="K181" s="28" t="str">
        <x:v>Explanation; interactive choices; Scratchpad working; portfolio evidence</x:v>
      </x:c>
      <x:c r="L181" s="28" t="str">
        <x:v>Linear equations</x:v>
      </x:c>
      <x:c r="M181" s="36" t="str">
        <x:v>Optimisation and advanced algebra</x:v>
      </x:c>
    </x:row>
    <x:row r="182" ht="54" customHeight="1">
      <x:c r="A182" s="35" t="str">
        <x:v>NEO-MATH-Y9-05-ALG-02</x:v>
      </x:c>
      <x:c r="B182" s="28" t="str">
        <x:v>NEO-MATH-Y9-05</x:v>
      </x:c>
      <x:c r="C182" s="28" t="str">
        <x:v>Year 9 Bridge</x:v>
      </x:c>
      <x:c r="D182" s="28" t="str">
        <x:v>Year 9</x:v>
      </x:c>
      <x:c r="E182" s="28" t="str">
        <x:v>Structure &amp; Generalisation</x:v>
      </x:c>
      <x:c r="F182" s="28" t="str">
        <x:v>Inequalities: Mathematics with Boundaries</x:v>
      </x:c>
      <x:c r="G182" s="28" t="str">
        <x:v>Represent solution sets</x:v>
      </x:c>
      <x:c r="H182" s="28" t="str">
        <x:v>Connection</x:v>
      </x:c>
      <x:c r="I182" s="28" t="str">
        <x:v>Reflection, Creativity</x:v>
      </x:c>
      <x:c r="J182" s="28" t="str">
        <x:v>Live, Asynchronous, Independent</x:v>
      </x:c>
      <x:c r="K182" s="28" t="str">
        <x:v>Explanation; interactive choices; Scratchpad working; portfolio evidence</x:v>
      </x:c>
      <x:c r="L182" s="28" t="str">
        <x:v>Linear equations</x:v>
      </x:c>
      <x:c r="M182" s="36" t="str">
        <x:v>Optimisation and advanced algebra</x:v>
      </x:c>
    </x:row>
    <x:row r="183" ht="54" customHeight="1">
      <x:c r="A183" s="35" t="str">
        <x:v>NEO-MATH-Y9-05-ALG-03</x:v>
      </x:c>
      <x:c r="B183" s="28" t="str">
        <x:v>NEO-MATH-Y9-05</x:v>
      </x:c>
      <x:c r="C183" s="28" t="str">
        <x:v>Year 9 Bridge</x:v>
      </x:c>
      <x:c r="D183" s="28" t="str">
        <x:v>Year 9</x:v>
      </x:c>
      <x:c r="E183" s="28" t="str">
        <x:v>Structure &amp; Generalisation</x:v>
      </x:c>
      <x:c r="F183" s="28" t="str">
        <x:v>Inequalities: Mathematics with Boundaries</x:v>
      </x:c>
      <x:c r="G183" s="28" t="str">
        <x:v>Use open/closed endpoints</x:v>
      </x:c>
      <x:c r="H183" s="28" t="str">
        <x:v>Connection</x:v>
      </x:c>
      <x:c r="I183" s="28" t="str">
        <x:v>Reflection, Creativity</x:v>
      </x:c>
      <x:c r="J183" s="28" t="str">
        <x:v>Live, Asynchronous, Independent</x:v>
      </x:c>
      <x:c r="K183" s="28" t="str">
        <x:v>Explanation; interactive choices; Scratchpad working; portfolio evidence</x:v>
      </x:c>
      <x:c r="L183" s="28" t="str">
        <x:v>Linear equations</x:v>
      </x:c>
      <x:c r="M183" s="36" t="str">
        <x:v>Optimisation and advanced algebra</x:v>
      </x:c>
    </x:row>
    <x:row r="184" ht="54" customHeight="1">
      <x:c r="A184" s="35" t="str">
        <x:v>NEO-MATH-Y9-05-ALG-04</x:v>
      </x:c>
      <x:c r="B184" s="28" t="str">
        <x:v>NEO-MATH-Y9-05</x:v>
      </x:c>
      <x:c r="C184" s="28" t="str">
        <x:v>Year 9 Bridge</x:v>
      </x:c>
      <x:c r="D184" s="28" t="str">
        <x:v>Year 9</x:v>
      </x:c>
      <x:c r="E184" s="28" t="str">
        <x:v>Structure &amp; Generalisation</x:v>
      </x:c>
      <x:c r="F184" s="28" t="str">
        <x:v>Inequalities: Mathematics with Boundaries</x:v>
      </x:c>
      <x:c r="G184" s="28" t="str">
        <x:v>Form inequalities</x:v>
      </x:c>
      <x:c r="H184" s="28" t="str">
        <x:v>Connection</x:v>
      </x:c>
      <x:c r="I184" s="28" t="str">
        <x:v>Reflection, Creativity</x:v>
      </x:c>
      <x:c r="J184" s="28" t="str">
        <x:v>Live, Asynchronous, Independent</x:v>
      </x:c>
      <x:c r="K184" s="28" t="str">
        <x:v>Explanation; interactive choices; Scratchpad working; portfolio evidence</x:v>
      </x:c>
      <x:c r="L184" s="28" t="str">
        <x:v>Linear equations</x:v>
      </x:c>
      <x:c r="M184" s="36" t="str">
        <x:v>Optimisation and advanced algebra</x:v>
      </x:c>
    </x:row>
    <x:row r="185" ht="54" customHeight="1">
      <x:c r="A185" s="35" t="str">
        <x:v>NEO-MATH-Y9-05-ALG-05</x:v>
      </x:c>
      <x:c r="B185" s="28" t="str">
        <x:v>NEO-MATH-Y9-05</x:v>
      </x:c>
      <x:c r="C185" s="28" t="str">
        <x:v>Year 9 Bridge</x:v>
      </x:c>
      <x:c r="D185" s="28" t="str">
        <x:v>Year 9</x:v>
      </x:c>
      <x:c r="E185" s="28" t="str">
        <x:v>Structure &amp; Generalisation</x:v>
      </x:c>
      <x:c r="F185" s="28" t="str">
        <x:v>Inequalities: Mathematics with Boundaries</x:v>
      </x:c>
      <x:c r="G185" s="28" t="str">
        <x:v>Interpret regions</x:v>
      </x:c>
      <x:c r="H185" s="28" t="str">
        <x:v>Connection</x:v>
      </x:c>
      <x:c r="I185" s="28" t="str">
        <x:v>Reflection, Creativity</x:v>
      </x:c>
      <x:c r="J185" s="28" t="str">
        <x:v>Live, Asynchronous, Independent</x:v>
      </x:c>
      <x:c r="K185" s="28" t="str">
        <x:v>Explanation; interactive choices; Scratchpad working; portfolio evidence</x:v>
      </x:c>
      <x:c r="L185" s="28" t="str">
        <x:v>Linear equations</x:v>
      </x:c>
      <x:c r="M185" s="36" t="str">
        <x:v>Optimisation and advanced algebra</x:v>
      </x:c>
    </x:row>
    <x:row r="186" ht="54" customHeight="1">
      <x:c r="A186" s="35" t="str">
        <x:v>NEO-MATH-Y9-05-ALG-06</x:v>
      </x:c>
      <x:c r="B186" s="28" t="str">
        <x:v>NEO-MATH-Y9-05</x:v>
      </x:c>
      <x:c r="C186" s="28" t="str">
        <x:v>Year 9 Bridge</x:v>
      </x:c>
      <x:c r="D186" s="28" t="str">
        <x:v>Year 9</x:v>
      </x:c>
      <x:c r="E186" s="28" t="str">
        <x:v>Structure &amp; Generalisation</x:v>
      </x:c>
      <x:c r="F186" s="28" t="str">
        <x:v>Inequalities: Mathematics with Boundaries</x:v>
      </x:c>
      <x:c r="G186" s="28" t="str">
        <x:v>Check boundary meaning</x:v>
      </x:c>
      <x:c r="H186" s="28" t="str">
        <x:v>Connection</x:v>
      </x:c>
      <x:c r="I186" s="28" t="str">
        <x:v>Reflection, Creativity</x:v>
      </x:c>
      <x:c r="J186" s="28" t="str">
        <x:v>Live, Asynchronous, Independent</x:v>
      </x:c>
      <x:c r="K186" s="28" t="str">
        <x:v>Explanation; interactive choices; Scratchpad working; portfolio evidence</x:v>
      </x:c>
      <x:c r="L186" s="28" t="str">
        <x:v>Linear equations</x:v>
      </x:c>
      <x:c r="M186" s="36" t="str">
        <x:v>Optimisation and advanced algebra</x:v>
      </x:c>
    </x:row>
    <x:row r="187" ht="54" customHeight="1">
      <x:c r="A187" s="35" t="str">
        <x:v>NEO-MATH-Y9-06-ALG-01</x:v>
      </x:c>
      <x:c r="B187" s="28" t="str">
        <x:v>NEO-MATH-Y9-06</x:v>
      </x:c>
      <x:c r="C187" s="28" t="str">
        <x:v>Year 9 Bridge</x:v>
      </x:c>
      <x:c r="D187" s="28" t="str">
        <x:v>Year 9</x:v>
      </x:c>
      <x:c r="E187" s="28" t="str">
        <x:v>Structure &amp; Generalisation</x:v>
      </x:c>
      <x:c r="F187" s="28" t="str">
        <x:v>Formulae and Rearranging: Changing the Subject</x:v>
      </x:c>
      <x:c r="G187" s="28" t="str">
        <x:v>Substitute</x:v>
      </x:c>
      <x:c r="H187" s="28" t="str">
        <x:v>Connection</x:v>
      </x:c>
      <x:c r="I187" s="28" t="str">
        <x:v>Reflection, Rest</x:v>
      </x:c>
      <x:c r="J187" s="28" t="str">
        <x:v>Live, Asynchronous, Independent</x:v>
      </x:c>
      <x:c r="K187" s="28" t="str">
        <x:v>Explanation; interactive choices; Scratchpad working; portfolio evidence</x:v>
      </x:c>
      <x:c r="L187" s="28" t="str">
        <x:v>Equations</x:v>
      </x:c>
      <x:c r="M187" s="36" t="str">
        <x:v>Advanced rearranging and modelling</x:v>
      </x:c>
    </x:row>
    <x:row r="188" ht="54" customHeight="1">
      <x:c r="A188" s="35" t="str">
        <x:v>NEO-MATH-Y9-06-ALG-02</x:v>
      </x:c>
      <x:c r="B188" s="28" t="str">
        <x:v>NEO-MATH-Y9-06</x:v>
      </x:c>
      <x:c r="C188" s="28" t="str">
        <x:v>Year 9 Bridge</x:v>
      </x:c>
      <x:c r="D188" s="28" t="str">
        <x:v>Year 9</x:v>
      </x:c>
      <x:c r="E188" s="28" t="str">
        <x:v>Structure &amp; Generalisation</x:v>
      </x:c>
      <x:c r="F188" s="28" t="str">
        <x:v>Formulae and Rearranging: Changing the Subject</x:v>
      </x:c>
      <x:c r="G188" s="28" t="str">
        <x:v>Rearrange simple formulae</x:v>
      </x:c>
      <x:c r="H188" s="28" t="str">
        <x:v>Connection</x:v>
      </x:c>
      <x:c r="I188" s="28" t="str">
        <x:v>Reflection, Rest</x:v>
      </x:c>
      <x:c r="J188" s="28" t="str">
        <x:v>Live, Asynchronous, Independent</x:v>
      </x:c>
      <x:c r="K188" s="28" t="str">
        <x:v>Explanation; interactive choices; Scratchpad working; portfolio evidence</x:v>
      </x:c>
      <x:c r="L188" s="28" t="str">
        <x:v>Equations</x:v>
      </x:c>
      <x:c r="M188" s="36" t="str">
        <x:v>Advanced rearranging and modelling</x:v>
      </x:c>
    </x:row>
    <x:row r="189" ht="54" customHeight="1">
      <x:c r="A189" s="35" t="str">
        <x:v>NEO-MATH-Y9-06-ALG-03</x:v>
      </x:c>
      <x:c r="B189" s="28" t="str">
        <x:v>NEO-MATH-Y9-06</x:v>
      </x:c>
      <x:c r="C189" s="28" t="str">
        <x:v>Year 9 Bridge</x:v>
      </x:c>
      <x:c r="D189" s="28" t="str">
        <x:v>Year 9</x:v>
      </x:c>
      <x:c r="E189" s="28" t="str">
        <x:v>Structure &amp; Generalisation</x:v>
      </x:c>
      <x:c r="F189" s="28" t="str">
        <x:v>Formulae and Rearranging: Changing the Subject</x:v>
      </x:c>
      <x:c r="G189" s="28" t="str">
        <x:v>Use inverse operations</x:v>
      </x:c>
      <x:c r="H189" s="28" t="str">
        <x:v>Connection</x:v>
      </x:c>
      <x:c r="I189" s="28" t="str">
        <x:v>Reflection, Rest</x:v>
      </x:c>
      <x:c r="J189" s="28" t="str">
        <x:v>Live, Asynchronous, Independent</x:v>
      </x:c>
      <x:c r="K189" s="28" t="str">
        <x:v>Explanation; interactive choices; Scratchpad working; portfolio evidence</x:v>
      </x:c>
      <x:c r="L189" s="28" t="str">
        <x:v>Equations</x:v>
      </x:c>
      <x:c r="M189" s="36" t="str">
        <x:v>Advanced rearranging and modelling</x:v>
      </x:c>
    </x:row>
    <x:row r="190" ht="54" customHeight="1">
      <x:c r="A190" s="35" t="str">
        <x:v>NEO-MATH-Y9-06-ALG-04</x:v>
      </x:c>
      <x:c r="B190" s="28" t="str">
        <x:v>NEO-MATH-Y9-06</x:v>
      </x:c>
      <x:c r="C190" s="28" t="str">
        <x:v>Year 9 Bridge</x:v>
      </x:c>
      <x:c r="D190" s="28" t="str">
        <x:v>Year 9</x:v>
      </x:c>
      <x:c r="E190" s="28" t="str">
        <x:v>Structure &amp; Generalisation</x:v>
      </x:c>
      <x:c r="F190" s="28" t="str">
        <x:v>Formulae and Rearranging: Changing the Subject</x:v>
      </x:c>
      <x:c r="G190" s="28" t="str">
        <x:v>Make a subject</x:v>
      </x:c>
      <x:c r="H190" s="28" t="str">
        <x:v>Connection</x:v>
      </x:c>
      <x:c r="I190" s="28" t="str">
        <x:v>Reflection, Rest</x:v>
      </x:c>
      <x:c r="J190" s="28" t="str">
        <x:v>Live, Asynchronous, Independent</x:v>
      </x:c>
      <x:c r="K190" s="28" t="str">
        <x:v>Explanation; interactive choices; Scratchpad working; portfolio evidence</x:v>
      </x:c>
      <x:c r="L190" s="28" t="str">
        <x:v>Equations</x:v>
      </x:c>
      <x:c r="M190" s="36" t="str">
        <x:v>Advanced rearranging and modelling</x:v>
      </x:c>
    </x:row>
    <x:row r="191" ht="54" customHeight="1">
      <x:c r="A191" s="35" t="str">
        <x:v>NEO-MATH-Y9-06-ALG-05</x:v>
      </x:c>
      <x:c r="B191" s="28" t="str">
        <x:v>NEO-MATH-Y9-06</x:v>
      </x:c>
      <x:c r="C191" s="28" t="str">
        <x:v>Year 9 Bridge</x:v>
      </x:c>
      <x:c r="D191" s="28" t="str">
        <x:v>Year 9</x:v>
      </x:c>
      <x:c r="E191" s="28" t="str">
        <x:v>Structure &amp; Generalisation</x:v>
      </x:c>
      <x:c r="F191" s="28" t="str">
        <x:v>Formulae and Rearranging: Changing the Subject</x:v>
      </x:c>
      <x:c r="G191" s="28" t="str">
        <x:v>Form formulae from contexts</x:v>
      </x:c>
      <x:c r="H191" s="28" t="str">
        <x:v>Connection</x:v>
      </x:c>
      <x:c r="I191" s="28" t="str">
        <x:v>Reflection, Rest</x:v>
      </x:c>
      <x:c r="J191" s="28" t="str">
        <x:v>Live, Asynchronous, Independent</x:v>
      </x:c>
      <x:c r="K191" s="28" t="str">
        <x:v>Explanation; interactive choices; Scratchpad working; portfolio evidence</x:v>
      </x:c>
      <x:c r="L191" s="28" t="str">
        <x:v>Equations</x:v>
      </x:c>
      <x:c r="M191" s="36" t="str">
        <x:v>Advanced rearranging and modelling</x:v>
      </x:c>
    </x:row>
    <x:row r="192" ht="54" customHeight="1">
      <x:c r="A192" s="35" t="str">
        <x:v>NEO-MATH-Y9-06-ALG-06</x:v>
      </x:c>
      <x:c r="B192" s="28" t="str">
        <x:v>NEO-MATH-Y9-06</x:v>
      </x:c>
      <x:c r="C192" s="28" t="str">
        <x:v>Year 9 Bridge</x:v>
      </x:c>
      <x:c r="D192" s="28" t="str">
        <x:v>Year 9</x:v>
      </x:c>
      <x:c r="E192" s="28" t="str">
        <x:v>Structure &amp; Generalisation</x:v>
      </x:c>
      <x:c r="F192" s="28" t="str">
        <x:v>Formulae and Rearranging: Changing the Subject</x:v>
      </x:c>
      <x:c r="G192" s="28" t="str">
        <x:v>Verify by substitution</x:v>
      </x:c>
      <x:c r="H192" s="28" t="str">
        <x:v>Connection</x:v>
      </x:c>
      <x:c r="I192" s="28" t="str">
        <x:v>Reflection, Rest</x:v>
      </x:c>
      <x:c r="J192" s="28" t="str">
        <x:v>Live, Asynchronous, Independent</x:v>
      </x:c>
      <x:c r="K192" s="28" t="str">
        <x:v>Explanation; interactive choices; Scratchpad working; portfolio evidence</x:v>
      </x:c>
      <x:c r="L192" s="28" t="str">
        <x:v>Equations</x:v>
      </x:c>
      <x:c r="M192" s="36" t="str">
        <x:v>Advanced rearranging and modelling</x:v>
      </x:c>
    </x:row>
    <x:row r="193" ht="54" customHeight="1">
      <x:c r="A193" s="35" t="str">
        <x:v>NEO-MATH-Y9-07-GEO-01</x:v>
      </x:c>
      <x:c r="B193" s="28" t="str">
        <x:v>NEO-MATH-Y9-07</x:v>
      </x:c>
      <x:c r="C193" s="28" t="str">
        <x:v>Year 9 Bridge</x:v>
      </x:c>
      <x:c r="D193" s="28" t="str">
        <x:v>Year 9</x:v>
      </x:c>
      <x:c r="E193" s="28" t="str">
        <x:v>Spatial Reasoning</x:v>
      </x:c>
      <x:c r="F193" s="28" t="str">
        <x:v>Pythagoras and the Hidden Length</x:v>
      </x:c>
      <x:c r="G193" s="28" t="str">
        <x:v>Identify right triangles</x:v>
      </x:c>
      <x:c r="H193" s="28" t="str">
        <x:v>Connection</x:v>
      </x:c>
      <x:c r="I193" s="28" t="str">
        <x:v>Reflection, Movement</x:v>
      </x:c>
      <x:c r="J193" s="28" t="str">
        <x:v>Live, Asynchronous, Independent</x:v>
      </x:c>
      <x:c r="K193" s="28" t="str">
        <x:v>Explanation; interactive choices; Scratchpad working; portfolio evidence</x:v>
      </x:c>
      <x:c r="L193" s="28" t="str">
        <x:v>Squares, roots and geometry</x:v>
      </x:c>
      <x:c r="M193" s="36" t="str">
        <x:v>Trigonometry and 3D measure</x:v>
      </x:c>
    </x:row>
    <x:row r="194" ht="54" customHeight="1">
      <x:c r="A194" s="35" t="str">
        <x:v>NEO-MATH-Y9-07-GEO-02</x:v>
      </x:c>
      <x:c r="B194" s="28" t="str">
        <x:v>NEO-MATH-Y9-07</x:v>
      </x:c>
      <x:c r="C194" s="28" t="str">
        <x:v>Year 9 Bridge</x:v>
      </x:c>
      <x:c r="D194" s="28" t="str">
        <x:v>Year 9</x:v>
      </x:c>
      <x:c r="E194" s="28" t="str">
        <x:v>Spatial Reasoning</x:v>
      </x:c>
      <x:c r="F194" s="28" t="str">
        <x:v>Pythagoras and the Hidden Length</x:v>
      </x:c>
      <x:c r="G194" s="28" t="str">
        <x:v>Use Pythagoras</x:v>
      </x:c>
      <x:c r="H194" s="28" t="str">
        <x:v>Connection</x:v>
      </x:c>
      <x:c r="I194" s="28" t="str">
        <x:v>Reflection, Movement</x:v>
      </x:c>
      <x:c r="J194" s="28" t="str">
        <x:v>Live, Asynchronous, Independent</x:v>
      </x:c>
      <x:c r="K194" s="28" t="str">
        <x:v>Explanation; interactive choices; Scratchpad working; portfolio evidence</x:v>
      </x:c>
      <x:c r="L194" s="28" t="str">
        <x:v>Squares, roots and geometry</x:v>
      </x:c>
      <x:c r="M194" s="36" t="str">
        <x:v>Trigonometry and 3D measure</x:v>
      </x:c>
    </x:row>
    <x:row r="195" ht="54" customHeight="1">
      <x:c r="A195" s="35" t="str">
        <x:v>NEO-MATH-Y9-07-GEO-03</x:v>
      </x:c>
      <x:c r="B195" s="28" t="str">
        <x:v>NEO-MATH-Y9-07</x:v>
      </x:c>
      <x:c r="C195" s="28" t="str">
        <x:v>Year 9 Bridge</x:v>
      </x:c>
      <x:c r="D195" s="28" t="str">
        <x:v>Year 9</x:v>
      </x:c>
      <x:c r="E195" s="28" t="str">
        <x:v>Spatial Reasoning</x:v>
      </x:c>
      <x:c r="F195" s="28" t="str">
        <x:v>Pythagoras and the Hidden Length</x:v>
      </x:c>
      <x:c r="G195" s="28" t="str">
        <x:v>Choose unknown side</x:v>
      </x:c>
      <x:c r="H195" s="28" t="str">
        <x:v>Connection</x:v>
      </x:c>
      <x:c r="I195" s="28" t="str">
        <x:v>Reflection, Movement</x:v>
      </x:c>
      <x:c r="J195" s="28" t="str">
        <x:v>Live, Asynchronous, Independent</x:v>
      </x:c>
      <x:c r="K195" s="28" t="str">
        <x:v>Explanation; interactive choices; Scratchpad working; portfolio evidence</x:v>
      </x:c>
      <x:c r="L195" s="28" t="str">
        <x:v>Squares, roots and geometry</x:v>
      </x:c>
      <x:c r="M195" s="36" t="str">
        <x:v>Trigonometry and 3D measure</x:v>
      </x:c>
    </x:row>
    <x:row r="196" ht="54" customHeight="1">
      <x:c r="A196" s="35" t="str">
        <x:v>NEO-MATH-Y9-07-GEO-04</x:v>
      </x:c>
      <x:c r="B196" s="28" t="str">
        <x:v>NEO-MATH-Y9-07</x:v>
      </x:c>
      <x:c r="C196" s="28" t="str">
        <x:v>Year 9 Bridge</x:v>
      </x:c>
      <x:c r="D196" s="28" t="str">
        <x:v>Year 9</x:v>
      </x:c>
      <x:c r="E196" s="28" t="str">
        <x:v>Spatial Reasoning</x:v>
      </x:c>
      <x:c r="F196" s="28" t="str">
        <x:v>Pythagoras and the Hidden Length</x:v>
      </x:c>
      <x:c r="G196" s="28" t="str">
        <x:v>Solve contextual problems</x:v>
      </x:c>
      <x:c r="H196" s="28" t="str">
        <x:v>Connection</x:v>
      </x:c>
      <x:c r="I196" s="28" t="str">
        <x:v>Reflection, Movement</x:v>
      </x:c>
      <x:c r="J196" s="28" t="str">
        <x:v>Live, Asynchronous, Independent</x:v>
      </x:c>
      <x:c r="K196" s="28" t="str">
        <x:v>Explanation; interactive choices; Scratchpad working; portfolio evidence</x:v>
      </x:c>
      <x:c r="L196" s="28" t="str">
        <x:v>Squares, roots and geometry</x:v>
      </x:c>
      <x:c r="M196" s="36" t="str">
        <x:v>Trigonometry and 3D measure</x:v>
      </x:c>
    </x:row>
    <x:row r="197" ht="54" customHeight="1">
      <x:c r="A197" s="35" t="str">
        <x:v>NEO-MATH-Y9-07-GEO-05</x:v>
      </x:c>
      <x:c r="B197" s="28" t="str">
        <x:v>NEO-MATH-Y9-07</x:v>
      </x:c>
      <x:c r="C197" s="28" t="str">
        <x:v>Year 9 Bridge</x:v>
      </x:c>
      <x:c r="D197" s="28" t="str">
        <x:v>Year 9</x:v>
      </x:c>
      <x:c r="E197" s="28" t="str">
        <x:v>Spatial Reasoning</x:v>
      </x:c>
      <x:c r="F197" s="28" t="str">
        <x:v>Pythagoras and the Hidden Length</x:v>
      </x:c>
      <x:c r="G197" s="28" t="str">
        <x:v>Check reasonableness</x:v>
      </x:c>
      <x:c r="H197" s="28" t="str">
        <x:v>Connection</x:v>
      </x:c>
      <x:c r="I197" s="28" t="str">
        <x:v>Reflection, Movement</x:v>
      </x:c>
      <x:c r="J197" s="28" t="str">
        <x:v>Live, Asynchronous, Independent</x:v>
      </x:c>
      <x:c r="K197" s="28" t="str">
        <x:v>Explanation; interactive choices; Scratchpad working; portfolio evidence</x:v>
      </x:c>
      <x:c r="L197" s="28" t="str">
        <x:v>Squares, roots and geometry</x:v>
      </x:c>
      <x:c r="M197" s="36" t="str">
        <x:v>Trigonometry and 3D measure</x:v>
      </x:c>
    </x:row>
    <x:row r="198" ht="54" customHeight="1">
      <x:c r="A198" s="35" t="str">
        <x:v>NEO-MATH-Y9-07-GEO-06</x:v>
      </x:c>
      <x:c r="B198" s="28" t="str">
        <x:v>NEO-MATH-Y9-07</x:v>
      </x:c>
      <x:c r="C198" s="28" t="str">
        <x:v>Year 9 Bridge</x:v>
      </x:c>
      <x:c r="D198" s="28" t="str">
        <x:v>Year 9</x:v>
      </x:c>
      <x:c r="E198" s="28" t="str">
        <x:v>Spatial Reasoning</x:v>
      </x:c>
      <x:c r="F198" s="28" t="str">
        <x:v>Pythagoras and the Hidden Length</x:v>
      </x:c>
      <x:c r="G198" s="28" t="str">
        <x:v>Begin 3D connections</x:v>
      </x:c>
      <x:c r="H198" s="28" t="str">
        <x:v>Connection</x:v>
      </x:c>
      <x:c r="I198" s="28" t="str">
        <x:v>Reflection, Movement</x:v>
      </x:c>
      <x:c r="J198" s="28" t="str">
        <x:v>Live, Asynchronous, Independent</x:v>
      </x:c>
      <x:c r="K198" s="28" t="str">
        <x:v>Explanation; interactive choices; Scratchpad working; portfolio evidence</x:v>
      </x:c>
      <x:c r="L198" s="28" t="str">
        <x:v>Squares, roots and geometry</x:v>
      </x:c>
      <x:c r="M198" s="36" t="str">
        <x:v>Trigonometry and 3D measure</x:v>
      </x:c>
    </x:row>
    <x:row r="199" ht="54" customHeight="1">
      <x:c r="A199" s="35" t="str">
        <x:v>NEO-MATH-Y9-08-PR-01</x:v>
      </x:c>
      <x:c r="B199" s="28" t="str">
        <x:v>NEO-MATH-Y9-08</x:v>
      </x:c>
      <x:c r="C199" s="28" t="str">
        <x:v>Year 9 Bridge</x:v>
      </x:c>
      <x:c r="D199" s="28" t="str">
        <x:v>Year 9</x:v>
      </x:c>
      <x:c r="E199" s="28" t="str">
        <x:v>Proportional Reasoning</x:v>
      </x:c>
      <x:c r="F199" s="28" t="str">
        <x:v>Similarity and Scale: Same Shape, New Size</x:v>
      </x:c>
      <x:c r="G199" s="28" t="str">
        <x:v>Recognise similar figures</x:v>
      </x:c>
      <x:c r="H199" s="28" t="str">
        <x:v>Connection</x:v>
      </x:c>
      <x:c r="I199" s="28" t="str">
        <x:v>Movement, Creativity</x:v>
      </x:c>
      <x:c r="J199" s="28" t="str">
        <x:v>Live, Asynchronous, Independent</x:v>
      </x:c>
      <x:c r="K199" s="28" t="str">
        <x:v>Explanation; interactive choices; Scratchpad working; portfolio evidence</x:v>
      </x:c>
      <x:c r="L199" s="28" t="str">
        <x:v>Ratio and geometry</x:v>
      </x:c>
      <x:c r="M199" s="36" t="str">
        <x:v>Trig, area/volume scale factors</x:v>
      </x:c>
    </x:row>
    <x:row r="200" ht="54" customHeight="1">
      <x:c r="A200" s="35" t="str">
        <x:v>NEO-MATH-Y9-08-PR-02</x:v>
      </x:c>
      <x:c r="B200" s="28" t="str">
        <x:v>NEO-MATH-Y9-08</x:v>
      </x:c>
      <x:c r="C200" s="28" t="str">
        <x:v>Year 9 Bridge</x:v>
      </x:c>
      <x:c r="D200" s="28" t="str">
        <x:v>Year 9</x:v>
      </x:c>
      <x:c r="E200" s="28" t="str">
        <x:v>Proportional Reasoning</x:v>
      </x:c>
      <x:c r="F200" s="28" t="str">
        <x:v>Similarity and Scale: Same Shape, New Size</x:v>
      </x:c>
      <x:c r="G200" s="28" t="str">
        <x:v>Use length scale factors</x:v>
      </x:c>
      <x:c r="H200" s="28" t="str">
        <x:v>Connection</x:v>
      </x:c>
      <x:c r="I200" s="28" t="str">
        <x:v>Movement, Creativity</x:v>
      </x:c>
      <x:c r="J200" s="28" t="str">
        <x:v>Live, Asynchronous, Independent</x:v>
      </x:c>
      <x:c r="K200" s="28" t="str">
        <x:v>Explanation; interactive choices; Scratchpad working; portfolio evidence</x:v>
      </x:c>
      <x:c r="L200" s="28" t="str">
        <x:v>Ratio and geometry</x:v>
      </x:c>
      <x:c r="M200" s="36" t="str">
        <x:v>Trig, area/volume scale factors</x:v>
      </x:c>
    </x:row>
    <x:row r="201" ht="54" customHeight="1">
      <x:c r="A201" s="35" t="str">
        <x:v>NEO-MATH-Y9-08-PR-03</x:v>
      </x:c>
      <x:c r="B201" s="28" t="str">
        <x:v>NEO-MATH-Y9-08</x:v>
      </x:c>
      <x:c r="C201" s="28" t="str">
        <x:v>Year 9 Bridge</x:v>
      </x:c>
      <x:c r="D201" s="28" t="str">
        <x:v>Year 9</x:v>
      </x:c>
      <x:c r="E201" s="28" t="str">
        <x:v>Proportional Reasoning</x:v>
      </x:c>
      <x:c r="F201" s="28" t="str">
        <x:v>Similarity and Scale: Same Shape, New Size</x:v>
      </x:c>
      <x:c r="G201" s="28" t="str">
        <x:v>Solve missing lengths</x:v>
      </x:c>
      <x:c r="H201" s="28" t="str">
        <x:v>Connection</x:v>
      </x:c>
      <x:c r="I201" s="28" t="str">
        <x:v>Movement, Creativity</x:v>
      </x:c>
      <x:c r="J201" s="28" t="str">
        <x:v>Live, Asynchronous, Independent</x:v>
      </x:c>
      <x:c r="K201" s="28" t="str">
        <x:v>Explanation; interactive choices; Scratchpad working; portfolio evidence</x:v>
      </x:c>
      <x:c r="L201" s="28" t="str">
        <x:v>Ratio and geometry</x:v>
      </x:c>
      <x:c r="M201" s="36" t="str">
        <x:v>Trig, area/volume scale factors</x:v>
      </x:c>
    </x:row>
    <x:row r="202" ht="54" customHeight="1">
      <x:c r="A202" s="35" t="str">
        <x:v>NEO-MATH-Y9-08-PR-04</x:v>
      </x:c>
      <x:c r="B202" s="28" t="str">
        <x:v>NEO-MATH-Y9-08</x:v>
      </x:c>
      <x:c r="C202" s="28" t="str">
        <x:v>Year 9 Bridge</x:v>
      </x:c>
      <x:c r="D202" s="28" t="str">
        <x:v>Year 9</x:v>
      </x:c>
      <x:c r="E202" s="28" t="str">
        <x:v>Proportional Reasoning</x:v>
      </x:c>
      <x:c r="F202" s="28" t="str">
        <x:v>Similarity and Scale: Same Shape, New Size</x:v>
      </x:c>
      <x:c r="G202" s="28" t="str">
        <x:v>Interpret maps</x:v>
      </x:c>
      <x:c r="H202" s="28" t="str">
        <x:v>Connection</x:v>
      </x:c>
      <x:c r="I202" s="28" t="str">
        <x:v>Movement, Creativity</x:v>
      </x:c>
      <x:c r="J202" s="28" t="str">
        <x:v>Live, Asynchronous, Independent</x:v>
      </x:c>
      <x:c r="K202" s="28" t="str">
        <x:v>Explanation; interactive choices; Scratchpad working; portfolio evidence</x:v>
      </x:c>
      <x:c r="L202" s="28" t="str">
        <x:v>Ratio and geometry</x:v>
      </x:c>
      <x:c r="M202" s="36" t="str">
        <x:v>Trig, area/volume scale factors</x:v>
      </x:c>
    </x:row>
    <x:row r="203" ht="54" customHeight="1">
      <x:c r="A203" s="35" t="str">
        <x:v>NEO-MATH-Y9-08-PR-05</x:v>
      </x:c>
      <x:c r="B203" s="28" t="str">
        <x:v>NEO-MATH-Y9-08</x:v>
      </x:c>
      <x:c r="C203" s="28" t="str">
        <x:v>Year 9 Bridge</x:v>
      </x:c>
      <x:c r="D203" s="28" t="str">
        <x:v>Year 9</x:v>
      </x:c>
      <x:c r="E203" s="28" t="str">
        <x:v>Proportional Reasoning</x:v>
      </x:c>
      <x:c r="F203" s="28" t="str">
        <x:v>Similarity and Scale: Same Shape, New Size</x:v>
      </x:c>
      <x:c r="G203" s="28" t="str">
        <x:v>Connect similarity and proportion</x:v>
      </x:c>
      <x:c r="H203" s="28" t="str">
        <x:v>Connection</x:v>
      </x:c>
      <x:c r="I203" s="28" t="str">
        <x:v>Movement, Creativity</x:v>
      </x:c>
      <x:c r="J203" s="28" t="str">
        <x:v>Live, Asynchronous, Independent</x:v>
      </x:c>
      <x:c r="K203" s="28" t="str">
        <x:v>Explanation; interactive choices; Scratchpad working; portfolio evidence</x:v>
      </x:c>
      <x:c r="L203" s="28" t="str">
        <x:v>Ratio and geometry</x:v>
      </x:c>
      <x:c r="M203" s="36" t="str">
        <x:v>Trig, area/volume scale factors</x:v>
      </x:c>
    </x:row>
    <x:row r="204" ht="54" customHeight="1">
      <x:c r="A204" s="35" t="str">
        <x:v>NEO-MATH-Y9-08-PR-06</x:v>
      </x:c>
      <x:c r="B204" s="28" t="str">
        <x:v>NEO-MATH-Y9-08</x:v>
      </x:c>
      <x:c r="C204" s="28" t="str">
        <x:v>Year 9 Bridge</x:v>
      </x:c>
      <x:c r="D204" s="28" t="str">
        <x:v>Year 9</x:v>
      </x:c>
      <x:c r="E204" s="28" t="str">
        <x:v>Proportional Reasoning</x:v>
      </x:c>
      <x:c r="F204" s="28" t="str">
        <x:v>Similarity and Scale: Same Shape, New Size</x:v>
      </x:c>
      <x:c r="G204" s="28" t="str">
        <x:v>Explore area scale factor</x:v>
      </x:c>
      <x:c r="H204" s="28" t="str">
        <x:v>Connection</x:v>
      </x:c>
      <x:c r="I204" s="28" t="str">
        <x:v>Movement, Creativity</x:v>
      </x:c>
      <x:c r="J204" s="28" t="str">
        <x:v>Live, Asynchronous, Independent</x:v>
      </x:c>
      <x:c r="K204" s="28" t="str">
        <x:v>Explanation; interactive choices; Scratchpad working; portfolio evidence</x:v>
      </x:c>
      <x:c r="L204" s="28" t="str">
        <x:v>Ratio and geometry</x:v>
      </x:c>
      <x:c r="M204" s="36" t="str">
        <x:v>Trig, area/volume scale factors</x:v>
      </x:c>
    </x:row>
    <x:row r="205" ht="54" customHeight="1">
      <x:c r="A205" s="35" t="str">
        <x:v>NEO-MATH-Y9-09-DAT-01</x:v>
      </x:c>
      <x:c r="B205" s="28" t="str">
        <x:v>NEO-MATH-Y9-09</x:v>
      </x:c>
      <x:c r="C205" s="28" t="str">
        <x:v>Year 9 Bridge</x:v>
      </x:c>
      <x:c r="D205" s="28" t="str">
        <x:v>Year 9</x:v>
      </x:c>
      <x:c r="E205" s="28" t="str">
        <x:v>Data &amp; Uncertainty</x:v>
      </x:c>
      <x:c r="F205" s="28" t="str">
        <x:v>Sampling, Bias and What We Can Infer</x:v>
      </x:c>
      <x:c r="G205" s="28" t="str">
        <x:v>Plan a statistical enquiry</x:v>
      </x:c>
      <x:c r="H205" s="28" t="str">
        <x:v>Connection</x:v>
      </x:c>
      <x:c r="I205" s="28" t="str">
        <x:v>Reflection, Creativity</x:v>
      </x:c>
      <x:c r="J205" s="28" t="str">
        <x:v>Live, Asynchronous, Independent</x:v>
      </x:c>
      <x:c r="K205" s="28" t="str">
        <x:v>Explanation; interactive choices; Scratchpad working; portfolio evidence</x:v>
      </x:c>
      <x:c r="L205" s="28" t="str">
        <x:v>Data comparison</x:v>
      </x:c>
      <x:c r="M205" s="36" t="str">
        <x:v>Histograms, cumulative frequency and advanced statistics</x:v>
      </x:c>
    </x:row>
    <x:row r="206" ht="54" customHeight="1">
      <x:c r="A206" s="35" t="str">
        <x:v>NEO-MATH-Y9-09-DAT-02</x:v>
      </x:c>
      <x:c r="B206" s="28" t="str">
        <x:v>NEO-MATH-Y9-09</x:v>
      </x:c>
      <x:c r="C206" s="28" t="str">
        <x:v>Year 9 Bridge</x:v>
      </x:c>
      <x:c r="D206" s="28" t="str">
        <x:v>Year 9</x:v>
      </x:c>
      <x:c r="E206" s="28" t="str">
        <x:v>Data &amp; Uncertainty</x:v>
      </x:c>
      <x:c r="F206" s="28" t="str">
        <x:v>Sampling, Bias and What We Can Infer</x:v>
      </x:c>
      <x:c r="G206" s="28" t="str">
        <x:v>Recognise bias</x:v>
      </x:c>
      <x:c r="H206" s="28" t="str">
        <x:v>Connection</x:v>
      </x:c>
      <x:c r="I206" s="28" t="str">
        <x:v>Reflection, Creativity</x:v>
      </x:c>
      <x:c r="J206" s="28" t="str">
        <x:v>Live, Asynchronous, Independent</x:v>
      </x:c>
      <x:c r="K206" s="28" t="str">
        <x:v>Explanation; interactive choices; Scratchpad working; portfolio evidence</x:v>
      </x:c>
      <x:c r="L206" s="28" t="str">
        <x:v>Data comparison</x:v>
      </x:c>
      <x:c r="M206" s="36" t="str">
        <x:v>Histograms, cumulative frequency and advanced statistics</x:v>
      </x:c>
    </x:row>
    <x:row r="207" ht="54" customHeight="1">
      <x:c r="A207" s="35" t="str">
        <x:v>NEO-MATH-Y9-09-DAT-03</x:v>
      </x:c>
      <x:c r="B207" s="28" t="str">
        <x:v>NEO-MATH-Y9-09</x:v>
      </x:c>
      <x:c r="C207" s="28" t="str">
        <x:v>Year 9 Bridge</x:v>
      </x:c>
      <x:c r="D207" s="28" t="str">
        <x:v>Year 9</x:v>
      </x:c>
      <x:c r="E207" s="28" t="str">
        <x:v>Data &amp; Uncertainty</x:v>
      </x:c>
      <x:c r="F207" s="28" t="str">
        <x:v>Sampling, Bias and What We Can Infer</x:v>
      </x:c>
      <x:c r="G207" s="28" t="str">
        <x:v>Choose samples</x:v>
      </x:c>
      <x:c r="H207" s="28" t="str">
        <x:v>Connection</x:v>
      </x:c>
      <x:c r="I207" s="28" t="str">
        <x:v>Reflection, Creativity</x:v>
      </x:c>
      <x:c r="J207" s="28" t="str">
        <x:v>Live, Asynchronous, Independent</x:v>
      </x:c>
      <x:c r="K207" s="28" t="str">
        <x:v>Explanation; interactive choices; Scratchpad working; portfolio evidence</x:v>
      </x:c>
      <x:c r="L207" s="28" t="str">
        <x:v>Data comparison</x:v>
      </x:c>
      <x:c r="M207" s="36" t="str">
        <x:v>Histograms, cumulative frequency and advanced statistics</x:v>
      </x:c>
    </x:row>
    <x:row r="208" ht="54" customHeight="1">
      <x:c r="A208" s="35" t="str">
        <x:v>NEO-MATH-Y9-09-DAT-04</x:v>
      </x:c>
      <x:c r="B208" s="28" t="str">
        <x:v>NEO-MATH-Y9-09</x:v>
      </x:c>
      <x:c r="C208" s="28" t="str">
        <x:v>Year 9 Bridge</x:v>
      </x:c>
      <x:c r="D208" s="28" t="str">
        <x:v>Year 9</x:v>
      </x:c>
      <x:c r="E208" s="28" t="str">
        <x:v>Data &amp; Uncertainty</x:v>
      </x:c>
      <x:c r="F208" s="28" t="str">
        <x:v>Sampling, Bias and What We Can Infer</x:v>
      </x:c>
      <x:c r="G208" s="28" t="str">
        <x:v>Group data</x:v>
      </x:c>
      <x:c r="H208" s="28" t="str">
        <x:v>Connection</x:v>
      </x:c>
      <x:c r="I208" s="28" t="str">
        <x:v>Reflection, Creativity</x:v>
      </x:c>
      <x:c r="J208" s="28" t="str">
        <x:v>Live, Asynchronous, Independent</x:v>
      </x:c>
      <x:c r="K208" s="28" t="str">
        <x:v>Explanation; interactive choices; Scratchpad working; portfolio evidence</x:v>
      </x:c>
      <x:c r="L208" s="28" t="str">
        <x:v>Data comparison</x:v>
      </x:c>
      <x:c r="M208" s="36" t="str">
        <x:v>Histograms, cumulative frequency and advanced statistics</x:v>
      </x:c>
    </x:row>
    <x:row r="209" ht="54" customHeight="1">
      <x:c r="A209" s="35" t="str">
        <x:v>NEO-MATH-Y9-09-DAT-05</x:v>
      </x:c>
      <x:c r="B209" s="28" t="str">
        <x:v>NEO-MATH-Y9-09</x:v>
      </x:c>
      <x:c r="C209" s="28" t="str">
        <x:v>Year 9 Bridge</x:v>
      </x:c>
      <x:c r="D209" s="28" t="str">
        <x:v>Year 9</x:v>
      </x:c>
      <x:c r="E209" s="28" t="str">
        <x:v>Data &amp; Uncertainty</x:v>
      </x:c>
      <x:c r="F209" s="28" t="str">
        <x:v>Sampling, Bias and What We Can Infer</x:v>
      </x:c>
      <x:c r="G209" s="28" t="str">
        <x:v>Interpret scatter/correlation</x:v>
      </x:c>
      <x:c r="H209" s="28" t="str">
        <x:v>Connection</x:v>
      </x:c>
      <x:c r="I209" s="28" t="str">
        <x:v>Reflection, Creativity</x:v>
      </x:c>
      <x:c r="J209" s="28" t="str">
        <x:v>Live, Asynchronous, Independent</x:v>
      </x:c>
      <x:c r="K209" s="28" t="str">
        <x:v>Explanation; interactive choices; Scratchpad working; portfolio evidence</x:v>
      </x:c>
      <x:c r="L209" s="28" t="str">
        <x:v>Data comparison</x:v>
      </x:c>
      <x:c r="M209" s="36" t="str">
        <x:v>Histograms, cumulative frequency and advanced statistics</x:v>
      </x:c>
    </x:row>
    <x:row r="210" ht="54" customHeight="1">
      <x:c r="A210" s="35" t="str">
        <x:v>NEO-MATH-Y9-09-DAT-06</x:v>
      </x:c>
      <x:c r="B210" s="28" t="str">
        <x:v>NEO-MATH-Y9-09</x:v>
      </x:c>
      <x:c r="C210" s="28" t="str">
        <x:v>Year 9 Bridge</x:v>
      </x:c>
      <x:c r="D210" s="28" t="str">
        <x:v>Year 9</x:v>
      </x:c>
      <x:c r="E210" s="28" t="str">
        <x:v>Data &amp; Uncertainty</x:v>
      </x:c>
      <x:c r="F210" s="28" t="str">
        <x:v>Sampling, Bias and What We Can Infer</x:v>
      </x:c>
      <x:c r="G210" s="28" t="str">
        <x:v>Distinguish inference and proof</x:v>
      </x:c>
      <x:c r="H210" s="28" t="str">
        <x:v>Connection</x:v>
      </x:c>
      <x:c r="I210" s="28" t="str">
        <x:v>Reflection, Creativity</x:v>
      </x:c>
      <x:c r="J210" s="28" t="str">
        <x:v>Live, Asynchronous, Independent</x:v>
      </x:c>
      <x:c r="K210" s="28" t="str">
        <x:v>Explanation; interactive choices; Scratchpad working; portfolio evidence</x:v>
      </x:c>
      <x:c r="L210" s="28" t="str">
        <x:v>Data comparison</x:v>
      </x:c>
      <x:c r="M210" s="36" t="str">
        <x:v>Histograms, cumulative frequency and advanced statistics</x:v>
      </x:c>
    </x:row>
    <x:row r="211" ht="54" customHeight="1">
      <x:c r="A211" s="35" t="str">
        <x:v>NEO-MATH-Y9-09-DAT-07</x:v>
      </x:c>
      <x:c r="B211" s="28" t="str">
        <x:v>NEO-MATH-Y9-09</x:v>
      </x:c>
      <x:c r="C211" s="28" t="str">
        <x:v>Year 9 Bridge</x:v>
      </x:c>
      <x:c r="D211" s="28" t="str">
        <x:v>Year 9</x:v>
      </x:c>
      <x:c r="E211" s="28" t="str">
        <x:v>Data &amp; Uncertainty</x:v>
      </x:c>
      <x:c r="F211" s="28" t="str">
        <x:v>Sampling, Bias and What We Can Infer</x:v>
      </x:c>
      <x:c r="G211" s="28" t="str">
        <x:v>Critique conclusions</x:v>
      </x:c>
      <x:c r="H211" s="28" t="str">
        <x:v>Connection</x:v>
      </x:c>
      <x:c r="I211" s="28" t="str">
        <x:v>Reflection, Creativity</x:v>
      </x:c>
      <x:c r="J211" s="28" t="str">
        <x:v>Live, Asynchronous, Independent</x:v>
      </x:c>
      <x:c r="K211" s="28" t="str">
        <x:v>Explanation; interactive choices; Scratchpad working; portfolio evidence</x:v>
      </x:c>
      <x:c r="L211" s="28" t="str">
        <x:v>Data comparison</x:v>
      </x:c>
      <x:c r="M211" s="36" t="str">
        <x:v>Histograms, cumulative frequency and advanced statistics</x:v>
      </x:c>
    </x:row>
    <x:row r="212" ht="54" customHeight="1">
      <x:c r="A212" s="35" t="str">
        <x:v>NEO-MATH-Y9-10-DAT-01</x:v>
      </x:c>
      <x:c r="B212" s="28" t="str">
        <x:v>NEO-MATH-Y9-10</x:v>
      </x:c>
      <x:c r="C212" s="28" t="str">
        <x:v>Year 9 Bridge</x:v>
      </x:c>
      <x:c r="D212" s="28" t="str">
        <x:v>Year 9</x:v>
      </x:c>
      <x:c r="E212" s="28" t="str">
        <x:v>Data &amp; Uncertainty</x:v>
      </x:c>
      <x:c r="F212" s="28" t="str">
        <x:v>Probability Trees and Conditional Change</x:v>
      </x:c>
      <x:c r="G212" s="28" t="str">
        <x:v>Use Venn diagrams/set language</x:v>
      </x:c>
      <x:c r="H212" s="28" t="str">
        <x:v>Movement</x:v>
      </x:c>
      <x:c r="I212" s="28" t="str">
        <x:v>Reflection, Connection</x:v>
      </x:c>
      <x:c r="J212" s="28" t="str">
        <x:v>Live, Asynchronous, Independent</x:v>
      </x:c>
      <x:c r="K212" s="28" t="str">
        <x:v>Explanation; interactive choices; Scratchpad working; portfolio evidence</x:v>
      </x:c>
      <x:c r="L212" s="28" t="str">
        <x:v>Sample spaces and Venn</x:v>
      </x:c>
      <x:c r="M212" s="36" t="str">
        <x:v>Conditional probability and expected frequency</x:v>
      </x:c>
    </x:row>
    <x:row r="213" ht="54" customHeight="1">
      <x:c r="A213" s="35" t="str">
        <x:v>NEO-MATH-Y9-10-DAT-02</x:v>
      </x:c>
      <x:c r="B213" s="28" t="str">
        <x:v>NEO-MATH-Y9-10</x:v>
      </x:c>
      <x:c r="C213" s="28" t="str">
        <x:v>Year 9 Bridge</x:v>
      </x:c>
      <x:c r="D213" s="28" t="str">
        <x:v>Year 9</x:v>
      </x:c>
      <x:c r="E213" s="28" t="str">
        <x:v>Data &amp; Uncertainty</x:v>
      </x:c>
      <x:c r="F213" s="28" t="str">
        <x:v>Probability Trees and Conditional Change</x:v>
      </x:c>
      <x:c r="G213" s="28" t="str">
        <x:v>Build tree diagrams</x:v>
      </x:c>
      <x:c r="H213" s="28" t="str">
        <x:v>Movement</x:v>
      </x:c>
      <x:c r="I213" s="28" t="str">
        <x:v>Reflection, Connection</x:v>
      </x:c>
      <x:c r="J213" s="28" t="str">
        <x:v>Live, Asynchronous, Independent</x:v>
      </x:c>
      <x:c r="K213" s="28" t="str">
        <x:v>Explanation; interactive choices; Scratchpad working; portfolio evidence</x:v>
      </x:c>
      <x:c r="L213" s="28" t="str">
        <x:v>Sample spaces and Venn</x:v>
      </x:c>
      <x:c r="M213" s="36" t="str">
        <x:v>Conditional probability and expected frequency</x:v>
      </x:c>
    </x:row>
    <x:row r="214" ht="54" customHeight="1">
      <x:c r="A214" s="35" t="str">
        <x:v>NEO-MATH-Y9-10-DAT-03</x:v>
      </x:c>
      <x:c r="B214" s="28" t="str">
        <x:v>NEO-MATH-Y9-10</x:v>
      </x:c>
      <x:c r="C214" s="28" t="str">
        <x:v>Year 9 Bridge</x:v>
      </x:c>
      <x:c r="D214" s="28" t="str">
        <x:v>Year 9</x:v>
      </x:c>
      <x:c r="E214" s="28" t="str">
        <x:v>Data &amp; Uncertainty</x:v>
      </x:c>
      <x:c r="F214" s="28" t="str">
        <x:v>Probability Trees and Conditional Change</x:v>
      </x:c>
      <x:c r="G214" s="28" t="str">
        <x:v>Calculate combined probabilities</x:v>
      </x:c>
      <x:c r="H214" s="28" t="str">
        <x:v>Movement</x:v>
      </x:c>
      <x:c r="I214" s="28" t="str">
        <x:v>Reflection, Connection</x:v>
      </x:c>
      <x:c r="J214" s="28" t="str">
        <x:v>Live, Asynchronous, Independent</x:v>
      </x:c>
      <x:c r="K214" s="28" t="str">
        <x:v>Explanation; interactive choices; Scratchpad working; portfolio evidence</x:v>
      </x:c>
      <x:c r="L214" s="28" t="str">
        <x:v>Sample spaces and Venn</x:v>
      </x:c>
      <x:c r="M214" s="36" t="str">
        <x:v>Conditional probability and expected frequency</x:v>
      </x:c>
    </x:row>
    <x:row r="215" ht="54" customHeight="1">
      <x:c r="A215" s="35" t="str">
        <x:v>NEO-MATH-Y9-10-DAT-04</x:v>
      </x:c>
      <x:c r="B215" s="28" t="str">
        <x:v>NEO-MATH-Y9-10</x:v>
      </x:c>
      <x:c r="C215" s="28" t="str">
        <x:v>Year 9 Bridge</x:v>
      </x:c>
      <x:c r="D215" s="28" t="str">
        <x:v>Year 9</x:v>
      </x:c>
      <x:c r="E215" s="28" t="str">
        <x:v>Data &amp; Uncertainty</x:v>
      </x:c>
      <x:c r="F215" s="28" t="str">
        <x:v>Probability Trees and Conditional Change</x:v>
      </x:c>
      <x:c r="G215" s="28" t="str">
        <x:v>Compare independent/dependent situations</x:v>
      </x:c>
      <x:c r="H215" s="28" t="str">
        <x:v>Movement</x:v>
      </x:c>
      <x:c r="I215" s="28" t="str">
        <x:v>Reflection, Connection</x:v>
      </x:c>
      <x:c r="J215" s="28" t="str">
        <x:v>Live, Asynchronous, Independent</x:v>
      </x:c>
      <x:c r="K215" s="28" t="str">
        <x:v>Explanation; interactive choices; Scratchpad working; portfolio evidence</x:v>
      </x:c>
      <x:c r="L215" s="28" t="str">
        <x:v>Sample spaces and Venn</x:v>
      </x:c>
      <x:c r="M215" s="36" t="str">
        <x:v>Conditional probability and expected frequency</x:v>
      </x:c>
    </x:row>
    <x:row r="216" ht="54" customHeight="1">
      <x:c r="A216" s="35" t="str">
        <x:v>NEO-MATH-Y9-10-DAT-05</x:v>
      </x:c>
      <x:c r="B216" s="28" t="str">
        <x:v>NEO-MATH-Y9-10</x:v>
      </x:c>
      <x:c r="C216" s="28" t="str">
        <x:v>Year 9 Bridge</x:v>
      </x:c>
      <x:c r="D216" s="28" t="str">
        <x:v>Year 9</x:v>
      </x:c>
      <x:c r="E216" s="28" t="str">
        <x:v>Data &amp; Uncertainty</x:v>
      </x:c>
      <x:c r="F216" s="28" t="str">
        <x:v>Probability Trees and Conditional Change</x:v>
      </x:c>
      <x:c r="G216" s="28" t="str">
        <x:v>Compare experimental/theoretical probability</x:v>
      </x:c>
      <x:c r="H216" s="28" t="str">
        <x:v>Movement</x:v>
      </x:c>
      <x:c r="I216" s="28" t="str">
        <x:v>Reflection, Connection</x:v>
      </x:c>
      <x:c r="J216" s="28" t="str">
        <x:v>Live, Asynchronous, Independent</x:v>
      </x:c>
      <x:c r="K216" s="28" t="str">
        <x:v>Explanation; interactive choices; Scratchpad working; portfolio evidence</x:v>
      </x:c>
      <x:c r="L216" s="28" t="str">
        <x:v>Sample spaces and Venn</x:v>
      </x:c>
      <x:c r="M216" s="36" t="str">
        <x:v>Conditional probability and expected frequency</x:v>
      </x:c>
    </x:row>
    <x:row r="217" ht="54" customHeight="1">
      <x:c r="A217" s="35" t="str">
        <x:v>NEO-MATH-Y10-01-NUM-01</x:v>
      </x:c>
      <x:c r="B217" s="28" t="str">
        <x:v>NEO-MATH-Y10-01</x:v>
      </x:c>
      <x:c r="C217" s="28" t="str">
        <x:v>iGCSE Year 1</x:v>
      </x:c>
      <x:c r="D217" s="28" t="str">
        <x:v>Year 10</x:v>
      </x:c>
      <x:c r="E217" s="28" t="str">
        <x:v>Number Sense</x:v>
      </x:c>
      <x:c r="F217" s="28" t="str">
        <x:v>Number Systems and Calculator Judgement</x:v>
      </x:c>
      <x:c r="G217" s="28" t="str">
        <x:v>Calculate with integers/fractions/decimals</x:v>
      </x:c>
      <x:c r="H217" s="28" t="str">
        <x:v>Reflection</x:v>
      </x:c>
      <x:c r="I217" s="28" t="str">
        <x:v>Rest, Connection</x:v>
      </x:c>
      <x:c r="J217" s="28" t="str">
        <x:v>Live, Asynchronous, Independent</x:v>
      </x:c>
      <x:c r="K217" s="28" t="str">
        <x:v>Explanation; interactive choices; Scratchpad working; portfolio evidence</x:v>
      </x:c>
      <x:c r="L217" s="28" t="str">
        <x:v>Year 9 number fluency</x:v>
      </x:c>
      <x:c r="M217" s="36" t="str">
        <x:v>Standard form and bounds</x:v>
      </x:c>
    </x:row>
    <x:row r="218" ht="54" customHeight="1">
      <x:c r="A218" s="35" t="str">
        <x:v>NEO-MATH-Y10-01-NUM-02</x:v>
      </x:c>
      <x:c r="B218" s="28" t="str">
        <x:v>NEO-MATH-Y10-01</x:v>
      </x:c>
      <x:c r="C218" s="28" t="str">
        <x:v>iGCSE Year 1</x:v>
      </x:c>
      <x:c r="D218" s="28" t="str">
        <x:v>Year 10</x:v>
      </x:c>
      <x:c r="E218" s="28" t="str">
        <x:v>Number Sense</x:v>
      </x:c>
      <x:c r="F218" s="28" t="str">
        <x:v>Number Systems and Calculator Judgement</x:v>
      </x:c>
      <x:c r="G218" s="28" t="str">
        <x:v>Use BIDMAS</x:v>
      </x:c>
      <x:c r="H218" s="28" t="str">
        <x:v>Reflection</x:v>
      </x:c>
      <x:c r="I218" s="28" t="str">
        <x:v>Rest, Connection</x:v>
      </x:c>
      <x:c r="J218" s="28" t="str">
        <x:v>Live, Asynchronous, Independent</x:v>
      </x:c>
      <x:c r="K218" s="28" t="str">
        <x:v>Explanation; interactive choices; Scratchpad working; portfolio evidence</x:v>
      </x:c>
      <x:c r="L218" s="28" t="str">
        <x:v>Year 9 number fluency</x:v>
      </x:c>
      <x:c r="M218" s="36" t="str">
        <x:v>Standard form and bounds</x:v>
      </x:c>
    </x:row>
    <x:row r="219" ht="54" customHeight="1">
      <x:c r="A219" s="35" t="str">
        <x:v>NEO-MATH-Y10-01-NUM-03</x:v>
      </x:c>
      <x:c r="B219" s="28" t="str">
        <x:v>NEO-MATH-Y10-01</x:v>
      </x:c>
      <x:c r="C219" s="28" t="str">
        <x:v>iGCSE Year 1</x:v>
      </x:c>
      <x:c r="D219" s="28" t="str">
        <x:v>Year 10</x:v>
      </x:c>
      <x:c r="E219" s="28" t="str">
        <x:v>Number Sense</x:v>
      </x:c>
      <x:c r="F219" s="28" t="str">
        <x:v>Number Systems and Calculator Judgement</x:v>
      </x:c>
      <x:c r="G219" s="28" t="str">
        <x:v>Round accurately</x:v>
      </x:c>
      <x:c r="H219" s="28" t="str">
        <x:v>Reflection</x:v>
      </x:c>
      <x:c r="I219" s="28" t="str">
        <x:v>Rest, Connection</x:v>
      </x:c>
      <x:c r="J219" s="28" t="str">
        <x:v>Live, Asynchronous, Independent</x:v>
      </x:c>
      <x:c r="K219" s="28" t="str">
        <x:v>Explanation; interactive choices; Scratchpad working; portfolio evidence</x:v>
      </x:c>
      <x:c r="L219" s="28" t="str">
        <x:v>Year 9 number fluency</x:v>
      </x:c>
      <x:c r="M219" s="36" t="str">
        <x:v>Standard form and bounds</x:v>
      </x:c>
    </x:row>
    <x:row r="220" ht="54" customHeight="1">
      <x:c r="A220" s="35" t="str">
        <x:v>NEO-MATH-Y10-01-NUM-04</x:v>
      </x:c>
      <x:c r="B220" s="28" t="str">
        <x:v>NEO-MATH-Y10-01</x:v>
      </x:c>
      <x:c r="C220" s="28" t="str">
        <x:v>iGCSE Year 1</x:v>
      </x:c>
      <x:c r="D220" s="28" t="str">
        <x:v>Year 10</x:v>
      </x:c>
      <x:c r="E220" s="28" t="str">
        <x:v>Number Sense</x:v>
      </x:c>
      <x:c r="F220" s="28" t="str">
        <x:v>Number Systems and Calculator Judgement</x:v>
      </x:c>
      <x:c r="G220" s="28" t="str">
        <x:v>Estimate</x:v>
      </x:c>
      <x:c r="H220" s="28" t="str">
        <x:v>Reflection</x:v>
      </x:c>
      <x:c r="I220" s="28" t="str">
        <x:v>Rest, Connection</x:v>
      </x:c>
      <x:c r="J220" s="28" t="str">
        <x:v>Live, Asynchronous, Independent</x:v>
      </x:c>
      <x:c r="K220" s="28" t="str">
        <x:v>Explanation; interactive choices; Scratchpad working; portfolio evidence</x:v>
      </x:c>
      <x:c r="L220" s="28" t="str">
        <x:v>Year 9 number fluency</x:v>
      </x:c>
      <x:c r="M220" s="36" t="str">
        <x:v>Standard form and bounds</x:v>
      </x:c>
    </x:row>
    <x:row r="221" ht="54" customHeight="1">
      <x:c r="A221" s="35" t="str">
        <x:v>NEO-MATH-Y10-01-NUM-05</x:v>
      </x:c>
      <x:c r="B221" s="28" t="str">
        <x:v>NEO-MATH-Y10-01</x:v>
      </x:c>
      <x:c r="C221" s="28" t="str">
        <x:v>iGCSE Year 1</x:v>
      </x:c>
      <x:c r="D221" s="28" t="str">
        <x:v>Year 10</x:v>
      </x:c>
      <x:c r="E221" s="28" t="str">
        <x:v>Number Sense</x:v>
      </x:c>
      <x:c r="F221" s="28" t="str">
        <x:v>Number Systems and Calculator Judgement</x:v>
      </x:c>
      <x:c r="G221" s="28" t="str">
        <x:v>Use scientific calculator</x:v>
      </x:c>
      <x:c r="H221" s="28" t="str">
        <x:v>Reflection</x:v>
      </x:c>
      <x:c r="I221" s="28" t="str">
        <x:v>Rest, Connection</x:v>
      </x:c>
      <x:c r="J221" s="28" t="str">
        <x:v>Live, Asynchronous, Independent</x:v>
      </x:c>
      <x:c r="K221" s="28" t="str">
        <x:v>Explanation; interactive choices; Scratchpad working; portfolio evidence</x:v>
      </x:c>
      <x:c r="L221" s="28" t="str">
        <x:v>Year 9 number fluency</x:v>
      </x:c>
      <x:c r="M221" s="36" t="str">
        <x:v>Standard form and bounds</x:v>
      </x:c>
    </x:row>
    <x:row r="222" ht="54" customHeight="1">
      <x:c r="A222" s="35" t="str">
        <x:v>NEO-MATH-Y10-01-NUM-06</x:v>
      </x:c>
      <x:c r="B222" s="28" t="str">
        <x:v>NEO-MATH-Y10-01</x:v>
      </x:c>
      <x:c r="C222" s="28" t="str">
        <x:v>iGCSE Year 1</x:v>
      </x:c>
      <x:c r="D222" s="28" t="str">
        <x:v>Year 10</x:v>
      </x:c>
      <x:c r="E222" s="28" t="str">
        <x:v>Number Sense</x:v>
      </x:c>
      <x:c r="F222" s="28" t="str">
        <x:v>Number Systems and Calculator Judgement</x:v>
      </x:c>
      <x:c r="G222" s="28" t="str">
        <x:v>Judge reasonableness</x:v>
      </x:c>
      <x:c r="H222" s="28" t="str">
        <x:v>Reflection</x:v>
      </x:c>
      <x:c r="I222" s="28" t="str">
        <x:v>Rest, Connection</x:v>
      </x:c>
      <x:c r="J222" s="28" t="str">
        <x:v>Live, Asynchronous, Independent</x:v>
      </x:c>
      <x:c r="K222" s="28" t="str">
        <x:v>Explanation; interactive choices; Scratchpad working; portfolio evidence</x:v>
      </x:c>
      <x:c r="L222" s="28" t="str">
        <x:v>Year 9 number fluency</x:v>
      </x:c>
      <x:c r="M222" s="36" t="str">
        <x:v>Standard form and bounds</x:v>
      </x:c>
    </x:row>
    <x:row r="223" ht="54" customHeight="1">
      <x:c r="A223" s="35" t="str">
        <x:v>NEO-MATH-Y10-02-ALG-01</x:v>
      </x:c>
      <x:c r="B223" s="28" t="str">
        <x:v>NEO-MATH-Y10-02</x:v>
      </x:c>
      <x:c r="C223" s="28" t="str">
        <x:v>iGCSE Year 1</x:v>
      </x:c>
      <x:c r="D223" s="28" t="str">
        <x:v>Year 10</x:v>
      </x:c>
      <x:c r="E223" s="28" t="str">
        <x:v>Structure &amp; Generalisation</x:v>
      </x:c>
      <x:c r="F223" s="28" t="str">
        <x:v>Algebraic Expressions and Identities</x:v>
      </x:c>
      <x:c r="G223" s="28" t="str">
        <x:v>Use symbols</x:v>
      </x:c>
      <x:c r="H223" s="28" t="str">
        <x:v>Connection</x:v>
      </x:c>
      <x:c r="I223" s="28" t="str">
        <x:v>Reflection, Creativity</x:v>
      </x:c>
      <x:c r="J223" s="28" t="str">
        <x:v>Live, Asynchronous, Independent</x:v>
      </x:c>
      <x:c r="K223" s="28" t="str">
        <x:v>Explanation; interactive choices; Scratchpad working; portfolio evidence</x:v>
      </x:c>
      <x:c r="L223" s="28" t="str">
        <x:v>KS3 algebra</x:v>
      </x:c>
      <x:c r="M223" s="36" t="str">
        <x:v>Quadratics, equations and proof</x:v>
      </x:c>
    </x:row>
    <x:row r="224" ht="54" customHeight="1">
      <x:c r="A224" s="35" t="str">
        <x:v>NEO-MATH-Y10-02-ALG-02</x:v>
      </x:c>
      <x:c r="B224" s="28" t="str">
        <x:v>NEO-MATH-Y10-02</x:v>
      </x:c>
      <x:c r="C224" s="28" t="str">
        <x:v>iGCSE Year 1</x:v>
      </x:c>
      <x:c r="D224" s="28" t="str">
        <x:v>Year 10</x:v>
      </x:c>
      <x:c r="E224" s="28" t="str">
        <x:v>Structure &amp; Generalisation</x:v>
      </x:c>
      <x:c r="F224" s="28" t="str">
        <x:v>Algebraic Expressions and Identities</x:v>
      </x:c>
      <x:c r="G224" s="28" t="str">
        <x:v>Substitute</x:v>
      </x:c>
      <x:c r="H224" s="28" t="str">
        <x:v>Connection</x:v>
      </x:c>
      <x:c r="I224" s="28" t="str">
        <x:v>Reflection, Creativity</x:v>
      </x:c>
      <x:c r="J224" s="28" t="str">
        <x:v>Live, Asynchronous, Independent</x:v>
      </x:c>
      <x:c r="K224" s="28" t="str">
        <x:v>Explanation; interactive choices; Scratchpad working; portfolio evidence</x:v>
      </x:c>
      <x:c r="L224" s="28" t="str">
        <x:v>KS3 algebra</x:v>
      </x:c>
      <x:c r="M224" s="36" t="str">
        <x:v>Quadratics, equations and proof</x:v>
      </x:c>
    </x:row>
    <x:row r="225" ht="54" customHeight="1">
      <x:c r="A225" s="35" t="str">
        <x:v>NEO-MATH-Y10-02-ALG-03</x:v>
      </x:c>
      <x:c r="B225" s="28" t="str">
        <x:v>NEO-MATH-Y10-02</x:v>
      </x:c>
      <x:c r="C225" s="28" t="str">
        <x:v>iGCSE Year 1</x:v>
      </x:c>
      <x:c r="D225" s="28" t="str">
        <x:v>Year 10</x:v>
      </x:c>
      <x:c r="E225" s="28" t="str">
        <x:v>Structure &amp; Generalisation</x:v>
      </x:c>
      <x:c r="F225" s="28" t="str">
        <x:v>Algebraic Expressions and Identities</x:v>
      </x:c>
      <x:c r="G225" s="28" t="str">
        <x:v>Collect terms</x:v>
      </x:c>
      <x:c r="H225" s="28" t="str">
        <x:v>Connection</x:v>
      </x:c>
      <x:c r="I225" s="28" t="str">
        <x:v>Reflection, Creativity</x:v>
      </x:c>
      <x:c r="J225" s="28" t="str">
        <x:v>Live, Asynchronous, Independent</x:v>
      </x:c>
      <x:c r="K225" s="28" t="str">
        <x:v>Explanation; interactive choices; Scratchpad working; portfolio evidence</x:v>
      </x:c>
      <x:c r="L225" s="28" t="str">
        <x:v>KS3 algebra</x:v>
      </x:c>
      <x:c r="M225" s="36" t="str">
        <x:v>Quadratics, equations and proof</x:v>
      </x:c>
    </x:row>
    <x:row r="226" ht="54" customHeight="1">
      <x:c r="A226" s="35" t="str">
        <x:v>NEO-MATH-Y10-02-ALG-04</x:v>
      </x:c>
      <x:c r="B226" s="28" t="str">
        <x:v>NEO-MATH-Y10-02</x:v>
      </x:c>
      <x:c r="C226" s="28" t="str">
        <x:v>iGCSE Year 1</x:v>
      </x:c>
      <x:c r="D226" s="28" t="str">
        <x:v>Year 10</x:v>
      </x:c>
      <x:c r="E226" s="28" t="str">
        <x:v>Structure &amp; Generalisation</x:v>
      </x:c>
      <x:c r="F226" s="28" t="str">
        <x:v>Algebraic Expressions and Identities</x:v>
      </x:c>
      <x:c r="G226" s="28" t="str">
        <x:v>Expand</x:v>
      </x:c>
      <x:c r="H226" s="28" t="str">
        <x:v>Connection</x:v>
      </x:c>
      <x:c r="I226" s="28" t="str">
        <x:v>Reflection, Creativity</x:v>
      </x:c>
      <x:c r="J226" s="28" t="str">
        <x:v>Live, Asynchronous, Independent</x:v>
      </x:c>
      <x:c r="K226" s="28" t="str">
        <x:v>Explanation; interactive choices; Scratchpad working; portfolio evidence</x:v>
      </x:c>
      <x:c r="L226" s="28" t="str">
        <x:v>KS3 algebra</x:v>
      </x:c>
      <x:c r="M226" s="36" t="str">
        <x:v>Quadratics, equations and proof</x:v>
      </x:c>
    </x:row>
    <x:row r="227" ht="54" customHeight="1">
      <x:c r="A227" s="35" t="str">
        <x:v>NEO-MATH-Y10-02-ALG-05</x:v>
      </x:c>
      <x:c r="B227" s="28" t="str">
        <x:v>NEO-MATH-Y10-02</x:v>
      </x:c>
      <x:c r="C227" s="28" t="str">
        <x:v>iGCSE Year 1</x:v>
      </x:c>
      <x:c r="D227" s="28" t="str">
        <x:v>Year 10</x:v>
      </x:c>
      <x:c r="E227" s="28" t="str">
        <x:v>Structure &amp; Generalisation</x:v>
      </x:c>
      <x:c r="F227" s="28" t="str">
        <x:v>Algebraic Expressions and Identities</x:v>
      </x:c>
      <x:c r="G227" s="28" t="str">
        <x:v>Factorise</x:v>
      </x:c>
      <x:c r="H227" s="28" t="str">
        <x:v>Connection</x:v>
      </x:c>
      <x:c r="I227" s="28" t="str">
        <x:v>Reflection, Creativity</x:v>
      </x:c>
      <x:c r="J227" s="28" t="str">
        <x:v>Live, Asynchronous, Independent</x:v>
      </x:c>
      <x:c r="K227" s="28" t="str">
        <x:v>Explanation; interactive choices; Scratchpad working; portfolio evidence</x:v>
      </x:c>
      <x:c r="L227" s="28" t="str">
        <x:v>KS3 algebra</x:v>
      </x:c>
      <x:c r="M227" s="36" t="str">
        <x:v>Quadratics, equations and proof</x:v>
      </x:c>
    </x:row>
    <x:row r="228" ht="54" customHeight="1">
      <x:c r="A228" s="35" t="str">
        <x:v>NEO-MATH-Y10-02-ALG-06</x:v>
      </x:c>
      <x:c r="B228" s="28" t="str">
        <x:v>NEO-MATH-Y10-02</x:v>
      </x:c>
      <x:c r="C228" s="28" t="str">
        <x:v>iGCSE Year 1</x:v>
      </x:c>
      <x:c r="D228" s="28" t="str">
        <x:v>Year 10</x:v>
      </x:c>
      <x:c r="E228" s="28" t="str">
        <x:v>Structure &amp; Generalisation</x:v>
      </x:c>
      <x:c r="F228" s="28" t="str">
        <x:v>Algebraic Expressions and Identities</x:v>
      </x:c>
      <x:c r="G228" s="28" t="str">
        <x:v>Manipulate algebraic fractions at appropriate tier</x:v>
      </x:c>
      <x:c r="H228" s="28" t="str">
        <x:v>Connection</x:v>
      </x:c>
      <x:c r="I228" s="28" t="str">
        <x:v>Reflection, Creativity</x:v>
      </x:c>
      <x:c r="J228" s="28" t="str">
        <x:v>Live, Asynchronous, Independent</x:v>
      </x:c>
      <x:c r="K228" s="28" t="str">
        <x:v>Explanation; interactive choices; Scratchpad working; portfolio evidence</x:v>
      </x:c>
      <x:c r="L228" s="28" t="str">
        <x:v>KS3 algebra</x:v>
      </x:c>
      <x:c r="M228" s="36" t="str">
        <x:v>Quadratics, equations and proof</x:v>
      </x:c>
    </x:row>
    <x:row r="229" ht="54" customHeight="1">
      <x:c r="A229" s="35" t="str">
        <x:v>NEO-MATH-Y10-02-ALG-07</x:v>
      </x:c>
      <x:c r="B229" s="28" t="str">
        <x:v>NEO-MATH-Y10-02</x:v>
      </x:c>
      <x:c r="C229" s="28" t="str">
        <x:v>iGCSE Year 1</x:v>
      </x:c>
      <x:c r="D229" s="28" t="str">
        <x:v>Year 10</x:v>
      </x:c>
      <x:c r="E229" s="28" t="str">
        <x:v>Structure &amp; Generalisation</x:v>
      </x:c>
      <x:c r="F229" s="28" t="str">
        <x:v>Algebraic Expressions and Identities</x:v>
      </x:c>
      <x:c r="G229" s="28" t="str">
        <x:v>Distinguish expression/equation/identity</x:v>
      </x:c>
      <x:c r="H229" s="28" t="str">
        <x:v>Connection</x:v>
      </x:c>
      <x:c r="I229" s="28" t="str">
        <x:v>Reflection, Creativity</x:v>
      </x:c>
      <x:c r="J229" s="28" t="str">
        <x:v>Live, Asynchronous, Independent</x:v>
      </x:c>
      <x:c r="K229" s="28" t="str">
        <x:v>Explanation; interactive choices; Scratchpad working; portfolio evidence</x:v>
      </x:c>
      <x:c r="L229" s="28" t="str">
        <x:v>KS3 algebra</x:v>
      </x:c>
      <x:c r="M229" s="36" t="str">
        <x:v>Quadratics, equations and proof</x:v>
      </x:c>
    </x:row>
    <x:row r="230" ht="54" customHeight="1">
      <x:c r="A230" s="35" t="str">
        <x:v>NEO-MATH-Y10-03-FUN-01</x:v>
      </x:c>
      <x:c r="B230" s="28" t="str">
        <x:v>NEO-MATH-Y10-03</x:v>
      </x:c>
      <x:c r="C230" s="28" t="str">
        <x:v>iGCSE Year 1</x:v>
      </x:c>
      <x:c r="D230" s="28" t="str">
        <x:v>Year 10</x:v>
      </x:c>
      <x:c r="E230" s="28" t="str">
        <x:v>Change &amp; Functions</x:v>
      </x:c>
      <x:c r="F230" s="28" t="str">
        <x:v>Straight Lines, Sets and Connected Representations</x:v>
      </x:c>
      <x:c r="G230" s="28" t="str">
        <x:v>Use set notation/Venn diagrams</x:v>
      </x:c>
      <x:c r="H230" s="28" t="str">
        <x:v>Connection</x:v>
      </x:c>
      <x:c r="I230" s="28" t="str">
        <x:v>Movement, Reflection</x:v>
      </x:c>
      <x:c r="J230" s="28" t="str">
        <x:v>Live, Asynchronous, Independent</x:v>
      </x:c>
      <x:c r="K230" s="28" t="str">
        <x:v>Explanation; interactive choices; Scratchpad working; portfolio evidence</x:v>
      </x:c>
      <x:c r="L230" s="28" t="str">
        <x:v>Year 8 straight lines; Year 9 probability</x:v>
      </x:c>
      <x:c r="M230" s="36" t="str">
        <x:v>Simultaneous equations and graphical solutions</x:v>
      </x:c>
    </x:row>
    <x:row r="231" ht="54" customHeight="1">
      <x:c r="A231" s="35" t="str">
        <x:v>NEO-MATH-Y10-03-FUN-02</x:v>
      </x:c>
      <x:c r="B231" s="28" t="str">
        <x:v>NEO-MATH-Y10-03</x:v>
      </x:c>
      <x:c r="C231" s="28" t="str">
        <x:v>iGCSE Year 1</x:v>
      </x:c>
      <x:c r="D231" s="28" t="str">
        <x:v>Year 10</x:v>
      </x:c>
      <x:c r="E231" s="28" t="str">
        <x:v>Change &amp; Functions</x:v>
      </x:c>
      <x:c r="F231" s="28" t="str">
        <x:v>Straight Lines, Sets and Connected Representations</x:v>
      </x:c>
      <x:c r="G231" s="28" t="str">
        <x:v>Generate graph points</x:v>
      </x:c>
      <x:c r="H231" s="28" t="str">
        <x:v>Connection</x:v>
      </x:c>
      <x:c r="I231" s="28" t="str">
        <x:v>Movement, Reflection</x:v>
      </x:c>
      <x:c r="J231" s="28" t="str">
        <x:v>Live, Asynchronous, Independent</x:v>
      </x:c>
      <x:c r="K231" s="28" t="str">
        <x:v>Explanation; interactive choices; Scratchpad working; portfolio evidence</x:v>
      </x:c>
      <x:c r="L231" s="28" t="str">
        <x:v>Year 8 straight lines; Year 9 probability</x:v>
      </x:c>
      <x:c r="M231" s="36" t="str">
        <x:v>Simultaneous equations and graphical solutions</x:v>
      </x:c>
    </x:row>
    <x:row r="232" ht="54" customHeight="1">
      <x:c r="A232" s="35" t="str">
        <x:v>NEO-MATH-Y10-03-FUN-03</x:v>
      </x:c>
      <x:c r="B232" s="28" t="str">
        <x:v>NEO-MATH-Y10-03</x:v>
      </x:c>
      <x:c r="C232" s="28" t="str">
        <x:v>iGCSE Year 1</x:v>
      </x:c>
      <x:c r="D232" s="28" t="str">
        <x:v>Year 10</x:v>
      </x:c>
      <x:c r="E232" s="28" t="str">
        <x:v>Change &amp; Functions</x:v>
      </x:c>
      <x:c r="F232" s="28" t="str">
        <x:v>Straight Lines, Sets and Connected Representations</x:v>
      </x:c>
      <x:c r="G232" s="28" t="str">
        <x:v>Find gradient/intercept</x:v>
      </x:c>
      <x:c r="H232" s="28" t="str">
        <x:v>Connection</x:v>
      </x:c>
      <x:c r="I232" s="28" t="str">
        <x:v>Movement, Reflection</x:v>
      </x:c>
      <x:c r="J232" s="28" t="str">
        <x:v>Live, Asynchronous, Independent</x:v>
      </x:c>
      <x:c r="K232" s="28" t="str">
        <x:v>Explanation; interactive choices; Scratchpad working; portfolio evidence</x:v>
      </x:c>
      <x:c r="L232" s="28" t="str">
        <x:v>Year 8 straight lines; Year 9 probability</x:v>
      </x:c>
      <x:c r="M232" s="36" t="str">
        <x:v>Simultaneous equations and graphical solutions</x:v>
      </x:c>
    </x:row>
    <x:row r="233" ht="54" customHeight="1">
      <x:c r="A233" s="35" t="str">
        <x:v>NEO-MATH-Y10-03-FUN-04</x:v>
      </x:c>
      <x:c r="B233" s="28" t="str">
        <x:v>NEO-MATH-Y10-03</x:v>
      </x:c>
      <x:c r="C233" s="28" t="str">
        <x:v>iGCSE Year 1</x:v>
      </x:c>
      <x:c r="D233" s="28" t="str">
        <x:v>Year 10</x:v>
      </x:c>
      <x:c r="E233" s="28" t="str">
        <x:v>Change &amp; Functions</x:v>
      </x:c>
      <x:c r="F233" s="28" t="str">
        <x:v>Straight Lines, Sets and Connected Representations</x:v>
      </x:c>
      <x:c r="G233" s="28" t="str">
        <x:v>Write linear equations</x:v>
      </x:c>
      <x:c r="H233" s="28" t="str">
        <x:v>Connection</x:v>
      </x:c>
      <x:c r="I233" s="28" t="str">
        <x:v>Movement, Reflection</x:v>
      </x:c>
      <x:c r="J233" s="28" t="str">
        <x:v>Live, Asynchronous, Independent</x:v>
      </x:c>
      <x:c r="K233" s="28" t="str">
        <x:v>Explanation; interactive choices; Scratchpad working; portfolio evidence</x:v>
      </x:c>
      <x:c r="L233" s="28" t="str">
        <x:v>Year 8 straight lines; Year 9 probability</x:v>
      </x:c>
      <x:c r="M233" s="36" t="str">
        <x:v>Simultaneous equations and graphical solutions</x:v>
      </x:c>
    </x:row>
    <x:row r="234" ht="54" customHeight="1">
      <x:c r="A234" s="35" t="str">
        <x:v>NEO-MATH-Y10-03-FUN-05</x:v>
      </x:c>
      <x:c r="B234" s="28" t="str">
        <x:v>NEO-MATH-Y10-03</x:v>
      </x:c>
      <x:c r="C234" s="28" t="str">
        <x:v>iGCSE Year 1</x:v>
      </x:c>
      <x:c r="D234" s="28" t="str">
        <x:v>Year 10</x:v>
      </x:c>
      <x:c r="E234" s="28" t="str">
        <x:v>Change &amp; Functions</x:v>
      </x:c>
      <x:c r="F234" s="28" t="str">
        <x:v>Straight Lines, Sets and Connected Representations</x:v>
      </x:c>
      <x:c r="G234" s="28" t="str">
        <x:v>Interpret conversion graphs</x:v>
      </x:c>
      <x:c r="H234" s="28" t="str">
        <x:v>Connection</x:v>
      </x:c>
      <x:c r="I234" s="28" t="str">
        <x:v>Movement, Reflection</x:v>
      </x:c>
      <x:c r="J234" s="28" t="str">
        <x:v>Live, Asynchronous, Independent</x:v>
      </x:c>
      <x:c r="K234" s="28" t="str">
        <x:v>Explanation; interactive choices; Scratchpad working; portfolio evidence</x:v>
      </x:c>
      <x:c r="L234" s="28" t="str">
        <x:v>Year 8 straight lines; Year 9 probability</x:v>
      </x:c>
      <x:c r="M234" s="36" t="str">
        <x:v>Simultaneous equations and graphical solutions</x:v>
      </x:c>
    </x:row>
    <x:row r="235" ht="54" customHeight="1">
      <x:c r="A235" s="35" t="str">
        <x:v>NEO-MATH-Y10-03-FUN-06</x:v>
      </x:c>
      <x:c r="B235" s="28" t="str">
        <x:v>NEO-MATH-Y10-03</x:v>
      </x:c>
      <x:c r="C235" s="28" t="str">
        <x:v>iGCSE Year 1</x:v>
      </x:c>
      <x:c r="D235" s="28" t="str">
        <x:v>Year 10</x:v>
      </x:c>
      <x:c r="E235" s="28" t="str">
        <x:v>Change &amp; Functions</x:v>
      </x:c>
      <x:c r="F235" s="28" t="str">
        <x:v>Straight Lines, Sets and Connected Representations</x:v>
      </x:c>
      <x:c r="G235" s="28" t="str">
        <x:v>Connect representations</x:v>
      </x:c>
      <x:c r="H235" s="28" t="str">
        <x:v>Connection</x:v>
      </x:c>
      <x:c r="I235" s="28" t="str">
        <x:v>Movement, Reflection</x:v>
      </x:c>
      <x:c r="J235" s="28" t="str">
        <x:v>Live, Asynchronous, Independent</x:v>
      </x:c>
      <x:c r="K235" s="28" t="str">
        <x:v>Explanation; interactive choices; Scratchpad working; portfolio evidence</x:v>
      </x:c>
      <x:c r="L235" s="28" t="str">
        <x:v>Year 8 straight lines; Year 9 probability</x:v>
      </x:c>
      <x:c r="M235" s="36" t="str">
        <x:v>Simultaneous equations and graphical solutions</x:v>
      </x:c>
    </x:row>
    <x:row r="236" ht="54" customHeight="1">
      <x:c r="A236" s="35" t="str">
        <x:v>NEO-MATH-Y10-04-PR-01</x:v>
      </x:c>
      <x:c r="B236" s="28" t="str">
        <x:v>NEO-MATH-Y10-04</x:v>
      </x:c>
      <x:c r="C236" s="28" t="str">
        <x:v>iGCSE Year 1</x:v>
      </x:c>
      <x:c r="D236" s="28" t="str">
        <x:v>Year 10</x:v>
      </x:c>
      <x:c r="E236" s="28" t="str">
        <x:v>Proportional Reasoning</x:v>
      </x:c>
      <x:c r="F236" s="28" t="str">
        <x:v>Percentages, Ratio and Growth Models</x:v>
      </x:c>
      <x:c r="G236" s="28" t="str">
        <x:v>Solve ratio/proportion</x:v>
      </x:c>
      <x:c r="H236" s="28" t="str">
        <x:v>Movement</x:v>
      </x:c>
      <x:c r="I236" s="28" t="str">
        <x:v>Connection, Reflection</x:v>
      </x:c>
      <x:c r="J236" s="28" t="str">
        <x:v>Live, Asynchronous, Independent</x:v>
      </x:c>
      <x:c r="K236" s="28" t="str">
        <x:v>Explanation; interactive choices; Scratchpad working; portfolio evidence</x:v>
      </x:c>
      <x:c r="L236" s="28" t="str">
        <x:v>Percent change and ratio</x:v>
      </x:c>
      <x:c r="M236" s="36" t="str">
        <x:v>Exponential graphs, inverse proportion</x:v>
      </x:c>
    </x:row>
    <x:row r="237" ht="54" customHeight="1">
      <x:c r="A237" s="35" t="str">
        <x:v>NEO-MATH-Y10-04-PR-02</x:v>
      </x:c>
      <x:c r="B237" s="28" t="str">
        <x:v>NEO-MATH-Y10-04</x:v>
      </x:c>
      <x:c r="C237" s="28" t="str">
        <x:v>iGCSE Year 1</x:v>
      </x:c>
      <x:c r="D237" s="28" t="str">
        <x:v>Year 10</x:v>
      </x:c>
      <x:c r="E237" s="28" t="str">
        <x:v>Proportional Reasoning</x:v>
      </x:c>
      <x:c r="F237" s="28" t="str">
        <x:v>Percentages, Ratio and Growth Models</x:v>
      </x:c>
      <x:c r="G237" s="28" t="str">
        <x:v>Use percentages</x:v>
      </x:c>
      <x:c r="H237" s="28" t="str">
        <x:v>Movement</x:v>
      </x:c>
      <x:c r="I237" s="28" t="str">
        <x:v>Connection, Reflection</x:v>
      </x:c>
      <x:c r="J237" s="28" t="str">
        <x:v>Live, Asynchronous, Independent</x:v>
      </x:c>
      <x:c r="K237" s="28" t="str">
        <x:v>Explanation; interactive choices; Scratchpad working; portfolio evidence</x:v>
      </x:c>
      <x:c r="L237" s="28" t="str">
        <x:v>Percent change and ratio</x:v>
      </x:c>
      <x:c r="M237" s="36" t="str">
        <x:v>Exponential graphs, inverse proportion</x:v>
      </x:c>
    </x:row>
    <x:row r="238" ht="54" customHeight="1">
      <x:c r="A238" s="35" t="str">
        <x:v>NEO-MATH-Y10-04-PR-03</x:v>
      </x:c>
      <x:c r="B238" s="28" t="str">
        <x:v>NEO-MATH-Y10-04</x:v>
      </x:c>
      <x:c r="C238" s="28" t="str">
        <x:v>iGCSE Year 1</x:v>
      </x:c>
      <x:c r="D238" s="28" t="str">
        <x:v>Year 10</x:v>
      </x:c>
      <x:c r="E238" s="28" t="str">
        <x:v>Proportional Reasoning</x:v>
      </x:c>
      <x:c r="F238" s="28" t="str">
        <x:v>Percentages, Ratio and Growth Models</x:v>
      </x:c>
      <x:c r="G238" s="28" t="str">
        <x:v>Calculate repeated change/compound interest at tier</x:v>
      </x:c>
      <x:c r="H238" s="28" t="str">
        <x:v>Movement</x:v>
      </x:c>
      <x:c r="I238" s="28" t="str">
        <x:v>Connection, Reflection</x:v>
      </x:c>
      <x:c r="J238" s="28" t="str">
        <x:v>Live, Asynchronous, Independent</x:v>
      </x:c>
      <x:c r="K238" s="28" t="str">
        <x:v>Explanation; interactive choices; Scratchpad working; portfolio evidence</x:v>
      </x:c>
      <x:c r="L238" s="28" t="str">
        <x:v>Percent change and ratio</x:v>
      </x:c>
      <x:c r="M238" s="36" t="str">
        <x:v>Exponential graphs, inverse proportion</x:v>
      </x:c>
    </x:row>
    <x:row r="239" ht="54" customHeight="1">
      <x:c r="A239" s="35" t="str">
        <x:v>NEO-MATH-Y10-04-PR-04</x:v>
      </x:c>
      <x:c r="B239" s="28" t="str">
        <x:v>NEO-MATH-Y10-04</x:v>
      </x:c>
      <x:c r="C239" s="28" t="str">
        <x:v>iGCSE Year 1</x:v>
      </x:c>
      <x:c r="D239" s="28" t="str">
        <x:v>Year 10</x:v>
      </x:c>
      <x:c r="E239" s="28" t="str">
        <x:v>Proportional Reasoning</x:v>
      </x:c>
      <x:c r="F239" s="28" t="str">
        <x:v>Percentages, Ratio and Growth Models</x:v>
      </x:c>
      <x:c r="G239" s="28" t="str">
        <x:v>Use direct proportion</x:v>
      </x:c>
      <x:c r="H239" s="28" t="str">
        <x:v>Movement</x:v>
      </x:c>
      <x:c r="I239" s="28" t="str">
        <x:v>Connection, Reflection</x:v>
      </x:c>
      <x:c r="J239" s="28" t="str">
        <x:v>Live, Asynchronous, Independent</x:v>
      </x:c>
      <x:c r="K239" s="28" t="str">
        <x:v>Explanation; interactive choices; Scratchpad working; portfolio evidence</x:v>
      </x:c>
      <x:c r="L239" s="28" t="str">
        <x:v>Percent change and ratio</x:v>
      </x:c>
      <x:c r="M239" s="36" t="str">
        <x:v>Exponential graphs, inverse proportion</x:v>
      </x:c>
    </x:row>
    <x:row r="240" ht="54" customHeight="1">
      <x:c r="A240" s="35" t="str">
        <x:v>NEO-MATH-Y10-04-PR-05</x:v>
      </x:c>
      <x:c r="B240" s="28" t="str">
        <x:v>NEO-MATH-Y10-04</x:v>
      </x:c>
      <x:c r="C240" s="28" t="str">
        <x:v>iGCSE Year 1</x:v>
      </x:c>
      <x:c r="D240" s="28" t="str">
        <x:v>Year 10</x:v>
      </x:c>
      <x:c r="E240" s="28" t="str">
        <x:v>Proportional Reasoning</x:v>
      </x:c>
      <x:c r="F240" s="28" t="str">
        <x:v>Percentages, Ratio and Growth Models</x:v>
      </x:c>
      <x:c r="G240" s="28" t="str">
        <x:v>Interpret growth models</x:v>
      </x:c>
      <x:c r="H240" s="28" t="str">
        <x:v>Movement</x:v>
      </x:c>
      <x:c r="I240" s="28" t="str">
        <x:v>Connection, Reflection</x:v>
      </x:c>
      <x:c r="J240" s="28" t="str">
        <x:v>Live, Asynchronous, Independent</x:v>
      </x:c>
      <x:c r="K240" s="28" t="str">
        <x:v>Explanation; interactive choices; Scratchpad working; portfolio evidence</x:v>
      </x:c>
      <x:c r="L240" s="28" t="str">
        <x:v>Percent change and ratio</x:v>
      </x:c>
      <x:c r="M240" s="36" t="str">
        <x:v>Exponential graphs, inverse proportion</x:v>
      </x:c>
    </x:row>
    <x:row r="241" ht="54" customHeight="1">
      <x:c r="A241" s="35" t="str">
        <x:v>NEO-MATH-Y10-04-PR-06</x:v>
      </x:c>
      <x:c r="B241" s="28" t="str">
        <x:v>NEO-MATH-Y10-04</x:v>
      </x:c>
      <x:c r="C241" s="28" t="str">
        <x:v>iGCSE Year 1</x:v>
      </x:c>
      <x:c r="D241" s="28" t="str">
        <x:v>Year 10</x:v>
      </x:c>
      <x:c r="E241" s="28" t="str">
        <x:v>Proportional Reasoning</x:v>
      </x:c>
      <x:c r="F241" s="28" t="str">
        <x:v>Percentages, Ratio and Growth Models</x:v>
      </x:c>
      <x:c r="G241" s="28" t="str">
        <x:v>Reverse percentage changes</x:v>
      </x:c>
      <x:c r="H241" s="28" t="str">
        <x:v>Movement</x:v>
      </x:c>
      <x:c r="I241" s="28" t="str">
        <x:v>Connection, Reflection</x:v>
      </x:c>
      <x:c r="J241" s="28" t="str">
        <x:v>Live, Asynchronous, Independent</x:v>
      </x:c>
      <x:c r="K241" s="28" t="str">
        <x:v>Explanation; interactive choices; Scratchpad working; portfolio evidence</x:v>
      </x:c>
      <x:c r="L241" s="28" t="str">
        <x:v>Percent change and ratio</x:v>
      </x:c>
      <x:c r="M241" s="36" t="str">
        <x:v>Exponential graphs, inverse proportion</x:v>
      </x:c>
    </x:row>
    <x:row r="242" ht="54" customHeight="1">
      <x:c r="A242" s="35" t="str">
        <x:v>NEO-MATH-Y10-05-ALG-01</x:v>
      </x:c>
      <x:c r="B242" s="28" t="str">
        <x:v>NEO-MATH-Y10-05</x:v>
      </x:c>
      <x:c r="C242" s="28" t="str">
        <x:v>iGCSE Year 1</x:v>
      </x:c>
      <x:c r="D242" s="28" t="str">
        <x:v>Year 10</x:v>
      </x:c>
      <x:c r="E242" s="28" t="str">
        <x:v>Structure &amp; Generalisation</x:v>
      </x:c>
      <x:c r="F242" s="28" t="str">
        <x:v>Equations, Inequalities and Simultaneous Relationships</x:v>
      </x:c>
      <x:c r="G242" s="28" t="str">
        <x:v>Solve linear equations</x:v>
      </x:c>
      <x:c r="H242" s="28" t="str">
        <x:v>Connection</x:v>
      </x:c>
      <x:c r="I242" s="28" t="str">
        <x:v>Reflection, Creativity</x:v>
      </x:c>
      <x:c r="J242" s="28" t="str">
        <x:v>Live, Asynchronous, Independent</x:v>
      </x:c>
      <x:c r="K242" s="28" t="str">
        <x:v>Explanation; interactive choices; Scratchpad working; portfolio evidence</x:v>
      </x:c>
      <x:c r="L242" s="28" t="str">
        <x:v>Linear equations/graphs</x:v>
      </x:c>
      <x:c r="M242" s="36" t="str">
        <x:v>Quadratic and non-linear simultaneous systems</x:v>
      </x:c>
    </x:row>
    <x:row r="243" ht="54" customHeight="1">
      <x:c r="A243" s="35" t="str">
        <x:v>NEO-MATH-Y10-05-ALG-02</x:v>
      </x:c>
      <x:c r="B243" s="28" t="str">
        <x:v>NEO-MATH-Y10-05</x:v>
      </x:c>
      <x:c r="C243" s="28" t="str">
        <x:v>iGCSE Year 1</x:v>
      </x:c>
      <x:c r="D243" s="28" t="str">
        <x:v>Year 10</x:v>
      </x:c>
      <x:c r="E243" s="28" t="str">
        <x:v>Structure &amp; Generalisation</x:v>
      </x:c>
      <x:c r="F243" s="28" t="str">
        <x:v>Equations, Inequalities and Simultaneous Relationships</x:v>
      </x:c>
      <x:c r="G243" s="28" t="str">
        <x:v>Solve simultaneous equations</x:v>
      </x:c>
      <x:c r="H243" s="28" t="str">
        <x:v>Connection</x:v>
      </x:c>
      <x:c r="I243" s="28" t="str">
        <x:v>Reflection, Creativity</x:v>
      </x:c>
      <x:c r="J243" s="28" t="str">
        <x:v>Live, Asynchronous, Independent</x:v>
      </x:c>
      <x:c r="K243" s="28" t="str">
        <x:v>Explanation; interactive choices; Scratchpad working; portfolio evidence</x:v>
      </x:c>
      <x:c r="L243" s="28" t="str">
        <x:v>Linear equations/graphs</x:v>
      </x:c>
      <x:c r="M243" s="36" t="str">
        <x:v>Quadratic and non-linear simultaneous systems</x:v>
      </x:c>
    </x:row>
    <x:row r="244" ht="54" customHeight="1">
      <x:c r="A244" s="35" t="str">
        <x:v>NEO-MATH-Y10-05-ALG-03</x:v>
      </x:c>
      <x:c r="B244" s="28" t="str">
        <x:v>NEO-MATH-Y10-05</x:v>
      </x:c>
      <x:c r="C244" s="28" t="str">
        <x:v>iGCSE Year 1</x:v>
      </x:c>
      <x:c r="D244" s="28" t="str">
        <x:v>Year 10</x:v>
      </x:c>
      <x:c r="E244" s="28" t="str">
        <x:v>Structure &amp; Generalisation</x:v>
      </x:c>
      <x:c r="F244" s="28" t="str">
        <x:v>Equations, Inequalities and Simultaneous Relationships</x:v>
      </x:c>
      <x:c r="G244" s="28" t="str">
        <x:v>Solve/represent inequalities</x:v>
      </x:c>
      <x:c r="H244" s="28" t="str">
        <x:v>Connection</x:v>
      </x:c>
      <x:c r="I244" s="28" t="str">
        <x:v>Reflection, Creativity</x:v>
      </x:c>
      <x:c r="J244" s="28" t="str">
        <x:v>Live, Asynchronous, Independent</x:v>
      </x:c>
      <x:c r="K244" s="28" t="str">
        <x:v>Explanation; interactive choices; Scratchpad working; portfolio evidence</x:v>
      </x:c>
      <x:c r="L244" s="28" t="str">
        <x:v>Linear equations/graphs</x:v>
      </x:c>
      <x:c r="M244" s="36" t="str">
        <x:v>Quadratic and non-linear simultaneous systems</x:v>
      </x:c>
    </x:row>
    <x:row r="245" ht="54" customHeight="1">
      <x:c r="A245" s="35" t="str">
        <x:v>NEO-MATH-Y10-05-ALG-04</x:v>
      </x:c>
      <x:c r="B245" s="28" t="str">
        <x:v>NEO-MATH-Y10-05</x:v>
      </x:c>
      <x:c r="C245" s="28" t="str">
        <x:v>iGCSE Year 1</x:v>
      </x:c>
      <x:c r="D245" s="28" t="str">
        <x:v>Year 10</x:v>
      </x:c>
      <x:c r="E245" s="28" t="str">
        <x:v>Structure &amp; Generalisation</x:v>
      </x:c>
      <x:c r="F245" s="28" t="str">
        <x:v>Equations, Inequalities and Simultaneous Relationships</x:v>
      </x:c>
      <x:c r="G245" s="28" t="str">
        <x:v>Form equations</x:v>
      </x:c>
      <x:c r="H245" s="28" t="str">
        <x:v>Connection</x:v>
      </x:c>
      <x:c r="I245" s="28" t="str">
        <x:v>Reflection, Creativity</x:v>
      </x:c>
      <x:c r="J245" s="28" t="str">
        <x:v>Live, Asynchronous, Independent</x:v>
      </x:c>
      <x:c r="K245" s="28" t="str">
        <x:v>Explanation; interactive choices; Scratchpad working; portfolio evidence</x:v>
      </x:c>
      <x:c r="L245" s="28" t="str">
        <x:v>Linear equations/graphs</x:v>
      </x:c>
      <x:c r="M245" s="36" t="str">
        <x:v>Quadratic and non-linear simultaneous systems</x:v>
      </x:c>
    </x:row>
    <x:row r="246" ht="54" customHeight="1">
      <x:c r="A246" s="35" t="str">
        <x:v>NEO-MATH-Y10-05-ALG-05</x:v>
      </x:c>
      <x:c r="B246" s="28" t="str">
        <x:v>NEO-MATH-Y10-05</x:v>
      </x:c>
      <x:c r="C246" s="28" t="str">
        <x:v>iGCSE Year 1</x:v>
      </x:c>
      <x:c r="D246" s="28" t="str">
        <x:v>Year 10</x:v>
      </x:c>
      <x:c r="E246" s="28" t="str">
        <x:v>Structure &amp; Generalisation</x:v>
      </x:c>
      <x:c r="F246" s="28" t="str">
        <x:v>Equations, Inequalities and Simultaneous Relationships</x:v>
      </x:c>
      <x:c r="G246" s="28" t="str">
        <x:v>Interpret intersection as common solution</x:v>
      </x:c>
      <x:c r="H246" s="28" t="str">
        <x:v>Connection</x:v>
      </x:c>
      <x:c r="I246" s="28" t="str">
        <x:v>Reflection, Creativity</x:v>
      </x:c>
      <x:c r="J246" s="28" t="str">
        <x:v>Live, Asynchronous, Independent</x:v>
      </x:c>
      <x:c r="K246" s="28" t="str">
        <x:v>Explanation; interactive choices; Scratchpad working; portfolio evidence</x:v>
      </x:c>
      <x:c r="L246" s="28" t="str">
        <x:v>Linear equations/graphs</x:v>
      </x:c>
      <x:c r="M246" s="36" t="str">
        <x:v>Quadratic and non-linear simultaneous systems</x:v>
      </x:c>
    </x:row>
    <x:row r="247" ht="54" customHeight="1">
      <x:c r="A247" s="35" t="str">
        <x:v>NEO-MATH-Y10-05-ALG-06</x:v>
      </x:c>
      <x:c r="B247" s="28" t="str">
        <x:v>NEO-MATH-Y10-05</x:v>
      </x:c>
      <x:c r="C247" s="28" t="str">
        <x:v>iGCSE Year 1</x:v>
      </x:c>
      <x:c r="D247" s="28" t="str">
        <x:v>Year 10</x:v>
      </x:c>
      <x:c r="E247" s="28" t="str">
        <x:v>Structure &amp; Generalisation</x:v>
      </x:c>
      <x:c r="F247" s="28" t="str">
        <x:v>Equations, Inequalities and Simultaneous Relationships</x:v>
      </x:c>
      <x:c r="G247" s="28" t="str">
        <x:v>Check solutions</x:v>
      </x:c>
      <x:c r="H247" s="28" t="str">
        <x:v>Connection</x:v>
      </x:c>
      <x:c r="I247" s="28" t="str">
        <x:v>Reflection, Creativity</x:v>
      </x:c>
      <x:c r="J247" s="28" t="str">
        <x:v>Live, Asynchronous, Independent</x:v>
      </x:c>
      <x:c r="K247" s="28" t="str">
        <x:v>Explanation; interactive choices; Scratchpad working; portfolio evidence</x:v>
      </x:c>
      <x:c r="L247" s="28" t="str">
        <x:v>Linear equations/graphs</x:v>
      </x:c>
      <x:c r="M247" s="36" t="str">
        <x:v>Quadratic and non-linear simultaneous systems</x:v>
      </x:c>
    </x:row>
    <x:row r="248" ht="54" customHeight="1">
      <x:c r="A248" s="35" t="str">
        <x:v>NEO-MATH-Y10-06-GEO-01</x:v>
      </x:c>
      <x:c r="B248" s="28" t="str">
        <x:v>NEO-MATH-Y10-06</x:v>
      </x:c>
      <x:c r="C248" s="28" t="str">
        <x:v>iGCSE Year 1</x:v>
      </x:c>
      <x:c r="D248" s="28" t="str">
        <x:v>Year 10</x:v>
      </x:c>
      <x:c r="E248" s="28" t="str">
        <x:v>Spatial Reasoning</x:v>
      </x:c>
      <x:c r="F248" s="28" t="str">
        <x:v>Pythagoras, Trigonometry and Measuring the Unreachable</x:v>
      </x:c>
      <x:c r="G248" s="28" t="str">
        <x:v>Use Pythagoras</x:v>
      </x:c>
      <x:c r="H248" s="28" t="str">
        <x:v>Movement</x:v>
      </x:c>
      <x:c r="I248" s="28" t="str">
        <x:v>Connection, Reflection</x:v>
      </x:c>
      <x:c r="J248" s="28" t="str">
        <x:v>Live, Asynchronous, Independent</x:v>
      </x:c>
      <x:c r="K248" s="28" t="str">
        <x:v>Explanation; interactive choices; Scratchpad working; portfolio evidence</x:v>
      </x:c>
      <x:c r="L248" s="28" t="str">
        <x:v>Pythagoras and similarity</x:v>
      </x:c>
      <x:c r="M248" s="36" t="str">
        <x:v>3D trig, sine/cosine rule Higher</x:v>
      </x:c>
    </x:row>
    <x:row r="249" ht="54" customHeight="1">
      <x:c r="A249" s="35" t="str">
        <x:v>NEO-MATH-Y10-06-GEO-02</x:v>
      </x:c>
      <x:c r="B249" s="28" t="str">
        <x:v>NEO-MATH-Y10-06</x:v>
      </x:c>
      <x:c r="C249" s="28" t="str">
        <x:v>iGCSE Year 1</x:v>
      </x:c>
      <x:c r="D249" s="28" t="str">
        <x:v>Year 10</x:v>
      </x:c>
      <x:c r="E249" s="28" t="str">
        <x:v>Spatial Reasoning</x:v>
      </x:c>
      <x:c r="F249" s="28" t="str">
        <x:v>Pythagoras, Trigonometry and Measuring the Unreachable</x:v>
      </x:c>
      <x:c r="G249" s="28" t="str">
        <x:v>Choose sine/cosine/tangent</x:v>
      </x:c>
      <x:c r="H249" s="28" t="str">
        <x:v>Movement</x:v>
      </x:c>
      <x:c r="I249" s="28" t="str">
        <x:v>Connection, Reflection</x:v>
      </x:c>
      <x:c r="J249" s="28" t="str">
        <x:v>Live, Asynchronous, Independent</x:v>
      </x:c>
      <x:c r="K249" s="28" t="str">
        <x:v>Explanation; interactive choices; Scratchpad working; portfolio evidence</x:v>
      </x:c>
      <x:c r="L249" s="28" t="str">
        <x:v>Pythagoras and similarity</x:v>
      </x:c>
      <x:c r="M249" s="36" t="str">
        <x:v>3D trig, sine/cosine rule Higher</x:v>
      </x:c>
    </x:row>
    <x:row r="250" ht="54" customHeight="1">
      <x:c r="A250" s="35" t="str">
        <x:v>NEO-MATH-Y10-06-GEO-03</x:v>
      </x:c>
      <x:c r="B250" s="28" t="str">
        <x:v>NEO-MATH-Y10-06</x:v>
      </x:c>
      <x:c r="C250" s="28" t="str">
        <x:v>iGCSE Year 1</x:v>
      </x:c>
      <x:c r="D250" s="28" t="str">
        <x:v>Year 10</x:v>
      </x:c>
      <x:c r="E250" s="28" t="str">
        <x:v>Spatial Reasoning</x:v>
      </x:c>
      <x:c r="F250" s="28" t="str">
        <x:v>Pythagoras, Trigonometry and Measuring the Unreachable</x:v>
      </x:c>
      <x:c r="G250" s="28" t="str">
        <x:v>Solve right triangles</x:v>
      </x:c>
      <x:c r="H250" s="28" t="str">
        <x:v>Movement</x:v>
      </x:c>
      <x:c r="I250" s="28" t="str">
        <x:v>Connection, Reflection</x:v>
      </x:c>
      <x:c r="J250" s="28" t="str">
        <x:v>Live, Asynchronous, Independent</x:v>
      </x:c>
      <x:c r="K250" s="28" t="str">
        <x:v>Explanation; interactive choices; Scratchpad working; portfolio evidence</x:v>
      </x:c>
      <x:c r="L250" s="28" t="str">
        <x:v>Pythagoras and similarity</x:v>
      </x:c>
      <x:c r="M250" s="36" t="str">
        <x:v>3D trig, sine/cosine rule Higher</x:v>
      </x:c>
    </x:row>
    <x:row r="251" ht="54" customHeight="1">
      <x:c r="A251" s="35" t="str">
        <x:v>NEO-MATH-Y10-06-GEO-04</x:v>
      </x:c>
      <x:c r="B251" s="28" t="str">
        <x:v>NEO-MATH-Y10-06</x:v>
      </x:c>
      <x:c r="C251" s="28" t="str">
        <x:v>iGCSE Year 1</x:v>
      </x:c>
      <x:c r="D251" s="28" t="str">
        <x:v>Year 10</x:v>
      </x:c>
      <x:c r="E251" s="28" t="str">
        <x:v>Spatial Reasoning</x:v>
      </x:c>
      <x:c r="F251" s="28" t="str">
        <x:v>Pythagoras, Trigonometry and Measuring the Unreachable</x:v>
      </x:c>
      <x:c r="G251" s="28" t="str">
        <x:v>Interpret bearings/elevation</x:v>
      </x:c>
      <x:c r="H251" s="28" t="str">
        <x:v>Movement</x:v>
      </x:c>
      <x:c r="I251" s="28" t="str">
        <x:v>Connection, Reflection</x:v>
      </x:c>
      <x:c r="J251" s="28" t="str">
        <x:v>Live, Asynchronous, Independent</x:v>
      </x:c>
      <x:c r="K251" s="28" t="str">
        <x:v>Explanation; interactive choices; Scratchpad working; portfolio evidence</x:v>
      </x:c>
      <x:c r="L251" s="28" t="str">
        <x:v>Pythagoras and similarity</x:v>
      </x:c>
      <x:c r="M251" s="36" t="str">
        <x:v>3D trig, sine/cosine rule Higher</x:v>
      </x:c>
    </x:row>
    <x:row r="252" ht="54" customHeight="1">
      <x:c r="A252" s="35" t="str">
        <x:v>NEO-MATH-Y10-06-GEO-05</x:v>
      </x:c>
      <x:c r="B252" s="28" t="str">
        <x:v>NEO-MATH-Y10-06</x:v>
      </x:c>
      <x:c r="C252" s="28" t="str">
        <x:v>iGCSE Year 1</x:v>
      </x:c>
      <x:c r="D252" s="28" t="str">
        <x:v>Year 10</x:v>
      </x:c>
      <x:c r="E252" s="28" t="str">
        <x:v>Spatial Reasoning</x:v>
      </x:c>
      <x:c r="F252" s="28" t="str">
        <x:v>Pythagoras, Trigonometry and Measuring the Unreachable</x:v>
      </x:c>
      <x:c r="G252" s="28" t="str">
        <x:v>Use units and accuracy</x:v>
      </x:c>
      <x:c r="H252" s="28" t="str">
        <x:v>Movement</x:v>
      </x:c>
      <x:c r="I252" s="28" t="str">
        <x:v>Connection, Reflection</x:v>
      </x:c>
      <x:c r="J252" s="28" t="str">
        <x:v>Live, Asynchronous, Independent</x:v>
      </x:c>
      <x:c r="K252" s="28" t="str">
        <x:v>Explanation; interactive choices; Scratchpad working; portfolio evidence</x:v>
      </x:c>
      <x:c r="L252" s="28" t="str">
        <x:v>Pythagoras and similarity</x:v>
      </x:c>
      <x:c r="M252" s="36" t="str">
        <x:v>3D trig, sine/cosine rule Higher</x:v>
      </x:c>
    </x:row>
    <x:row r="253" ht="54" customHeight="1">
      <x:c r="A253" s="35" t="str">
        <x:v>NEO-MATH-Y10-06-GEO-06</x:v>
      </x:c>
      <x:c r="B253" s="28" t="str">
        <x:v>NEO-MATH-Y10-06</x:v>
      </x:c>
      <x:c r="C253" s="28" t="str">
        <x:v>iGCSE Year 1</x:v>
      </x:c>
      <x:c r="D253" s="28" t="str">
        <x:v>Year 10</x:v>
      </x:c>
      <x:c r="E253" s="28" t="str">
        <x:v>Spatial Reasoning</x:v>
      </x:c>
      <x:c r="F253" s="28" t="str">
        <x:v>Pythagoras, Trigonometry and Measuring the Unreachable</x:v>
      </x:c>
      <x:c r="G253" s="28" t="str">
        <x:v>Justify method</x:v>
      </x:c>
      <x:c r="H253" s="28" t="str">
        <x:v>Movement</x:v>
      </x:c>
      <x:c r="I253" s="28" t="str">
        <x:v>Connection, Reflection</x:v>
      </x:c>
      <x:c r="J253" s="28" t="str">
        <x:v>Live, Asynchronous, Independent</x:v>
      </x:c>
      <x:c r="K253" s="28" t="str">
        <x:v>Explanation; interactive choices; Scratchpad working; portfolio evidence</x:v>
      </x:c>
      <x:c r="L253" s="28" t="str">
        <x:v>Pythagoras and similarity</x:v>
      </x:c>
      <x:c r="M253" s="36" t="str">
        <x:v>3D trig, sine/cosine rule Higher</x:v>
      </x:c>
    </x:row>
    <x:row r="254" ht="54" customHeight="1">
      <x:c r="A254" s="35" t="str">
        <x:v>NEO-MATH-Y10-07-DAT-01</x:v>
      </x:c>
      <x:c r="B254" s="28" t="str">
        <x:v>NEO-MATH-Y10-07</x:v>
      </x:c>
      <x:c r="C254" s="28" t="str">
        <x:v>iGCSE Year 1</x:v>
      </x:c>
      <x:c r="D254" s="28" t="str">
        <x:v>Year 10</x:v>
      </x:c>
      <x:c r="E254" s="28" t="str">
        <x:v>Data &amp; Uncertainty</x:v>
      </x:c>
      <x:c r="F254" s="28" t="str">
        <x:v>Frequency, Scatter and the Shape of Data</x:v>
      </x:c>
      <x:c r="G254" s="28" t="str">
        <x:v>Construct/interpret frequency diagrams</x:v>
      </x:c>
      <x:c r="H254" s="28" t="str">
        <x:v>Reflection</x:v>
      </x:c>
      <x:c r="I254" s="28" t="str">
        <x:v>Connection, Creativity</x:v>
      </x:c>
      <x:c r="J254" s="28" t="str">
        <x:v>Live, Asynchronous, Independent</x:v>
      </x:c>
      <x:c r="K254" s="28" t="str">
        <x:v>Explanation; interactive choices; Scratchpad working; portfolio evidence</x:v>
      </x:c>
      <x:c r="L254" s="28" t="str">
        <x:v>Sampling and data comparison</x:v>
      </x:c>
      <x:c r="M254" s="36" t="str">
        <x:v>Cumulative frequency, histograms and box plots</x:v>
      </x:c>
    </x:row>
    <x:row r="255" ht="54" customHeight="1">
      <x:c r="A255" s="35" t="str">
        <x:v>NEO-MATH-Y10-07-DAT-02</x:v>
      </x:c>
      <x:c r="B255" s="28" t="str">
        <x:v>NEO-MATH-Y10-07</x:v>
      </x:c>
      <x:c r="C255" s="28" t="str">
        <x:v>iGCSE Year 1</x:v>
      </x:c>
      <x:c r="D255" s="28" t="str">
        <x:v>Year 10</x:v>
      </x:c>
      <x:c r="E255" s="28" t="str">
        <x:v>Data &amp; Uncertainty</x:v>
      </x:c>
      <x:c r="F255" s="28" t="str">
        <x:v>Frequency, Scatter and the Shape of Data</x:v>
      </x:c>
      <x:c r="G255" s="28" t="str">
        <x:v>Compare distributions</x:v>
      </x:c>
      <x:c r="H255" s="28" t="str">
        <x:v>Reflection</x:v>
      </x:c>
      <x:c r="I255" s="28" t="str">
        <x:v>Connection, Creativity</x:v>
      </x:c>
      <x:c r="J255" s="28" t="str">
        <x:v>Live, Asynchronous, Independent</x:v>
      </x:c>
      <x:c r="K255" s="28" t="str">
        <x:v>Explanation; interactive choices; Scratchpad working; portfolio evidence</x:v>
      </x:c>
      <x:c r="L255" s="28" t="str">
        <x:v>Sampling and data comparison</x:v>
      </x:c>
      <x:c r="M255" s="36" t="str">
        <x:v>Cumulative frequency, histograms and box plots</x:v>
      </x:c>
    </x:row>
    <x:row r="256" ht="54" customHeight="1">
      <x:c r="A256" s="35" t="str">
        <x:v>NEO-MATH-Y10-07-DAT-03</x:v>
      </x:c>
      <x:c r="B256" s="28" t="str">
        <x:v>NEO-MATH-Y10-07</x:v>
      </x:c>
      <x:c r="C256" s="28" t="str">
        <x:v>iGCSE Year 1</x:v>
      </x:c>
      <x:c r="D256" s="28" t="str">
        <x:v>Year 10</x:v>
      </x:c>
      <x:c r="E256" s="28" t="str">
        <x:v>Data &amp; Uncertainty</x:v>
      </x:c>
      <x:c r="F256" s="28" t="str">
        <x:v>Frequency, Scatter and the Shape of Data</x:v>
      </x:c>
      <x:c r="G256" s="28" t="str">
        <x:v>Use scatter graphs</x:v>
      </x:c>
      <x:c r="H256" s="28" t="str">
        <x:v>Reflection</x:v>
      </x:c>
      <x:c r="I256" s="28" t="str">
        <x:v>Connection, Creativity</x:v>
      </x:c>
      <x:c r="J256" s="28" t="str">
        <x:v>Live, Asynchronous, Independent</x:v>
      </x:c>
      <x:c r="K256" s="28" t="str">
        <x:v>Explanation; interactive choices; Scratchpad working; portfolio evidence</x:v>
      </x:c>
      <x:c r="L256" s="28" t="str">
        <x:v>Sampling and data comparison</x:v>
      </x:c>
      <x:c r="M256" s="36" t="str">
        <x:v>Cumulative frequency, histograms and box plots</x:v>
      </x:c>
    </x:row>
    <x:row r="257" ht="54" customHeight="1">
      <x:c r="A257" s="35" t="str">
        <x:v>NEO-MATH-Y10-07-DAT-04</x:v>
      </x:c>
      <x:c r="B257" s="28" t="str">
        <x:v>NEO-MATH-Y10-07</x:v>
      </x:c>
      <x:c r="C257" s="28" t="str">
        <x:v>iGCSE Year 1</x:v>
      </x:c>
      <x:c r="D257" s="28" t="str">
        <x:v>Year 10</x:v>
      </x:c>
      <x:c r="E257" s="28" t="str">
        <x:v>Data &amp; Uncertainty</x:v>
      </x:c>
      <x:c r="F257" s="28" t="str">
        <x:v>Frequency, Scatter and the Shape of Data</x:v>
      </x:c>
      <x:c r="G257" s="28" t="str">
        <x:v>Interpret correlation</x:v>
      </x:c>
      <x:c r="H257" s="28" t="str">
        <x:v>Reflection</x:v>
      </x:c>
      <x:c r="I257" s="28" t="str">
        <x:v>Connection, Creativity</x:v>
      </x:c>
      <x:c r="J257" s="28" t="str">
        <x:v>Live, Asynchronous, Independent</x:v>
      </x:c>
      <x:c r="K257" s="28" t="str">
        <x:v>Explanation; interactive choices; Scratchpad working; portfolio evidence</x:v>
      </x:c>
      <x:c r="L257" s="28" t="str">
        <x:v>Sampling and data comparison</x:v>
      </x:c>
      <x:c r="M257" s="36" t="str">
        <x:v>Cumulative frequency, histograms and box plots</x:v>
      </x:c>
    </x:row>
    <x:row r="258" ht="54" customHeight="1">
      <x:c r="A258" s="35" t="str">
        <x:v>NEO-MATH-Y10-07-DAT-05</x:v>
      </x:c>
      <x:c r="B258" s="28" t="str">
        <x:v>NEO-MATH-Y10-07</x:v>
      </x:c>
      <x:c r="C258" s="28" t="str">
        <x:v>iGCSE Year 1</x:v>
      </x:c>
      <x:c r="D258" s="28" t="str">
        <x:v>Year 10</x:v>
      </x:c>
      <x:c r="E258" s="28" t="str">
        <x:v>Data &amp; Uncertainty</x:v>
      </x:c>
      <x:c r="F258" s="28" t="str">
        <x:v>Frequency, Scatter and the Shape of Data</x:v>
      </x:c>
      <x:c r="G258" s="28" t="str">
        <x:v>Choose averages</x:v>
      </x:c>
      <x:c r="H258" s="28" t="str">
        <x:v>Reflection</x:v>
      </x:c>
      <x:c r="I258" s="28" t="str">
        <x:v>Connection, Creativity</x:v>
      </x:c>
      <x:c r="J258" s="28" t="str">
        <x:v>Live, Asynchronous, Independent</x:v>
      </x:c>
      <x:c r="K258" s="28" t="str">
        <x:v>Explanation; interactive choices; Scratchpad working; portfolio evidence</x:v>
      </x:c>
      <x:c r="L258" s="28" t="str">
        <x:v>Sampling and data comparison</x:v>
      </x:c>
      <x:c r="M258" s="36" t="str">
        <x:v>Cumulative frequency, histograms and box plots</x:v>
      </x:c>
    </x:row>
    <x:row r="259" ht="54" customHeight="1">
      <x:c r="A259" s="35" t="str">
        <x:v>NEO-MATH-Y10-07-DAT-06</x:v>
      </x:c>
      <x:c r="B259" s="28" t="str">
        <x:v>NEO-MATH-Y10-07</x:v>
      </x:c>
      <x:c r="C259" s="28" t="str">
        <x:v>iGCSE Year 1</x:v>
      </x:c>
      <x:c r="D259" s="28" t="str">
        <x:v>Year 10</x:v>
      </x:c>
      <x:c r="E259" s="28" t="str">
        <x:v>Data &amp; Uncertainty</x:v>
      </x:c>
      <x:c r="F259" s="28" t="str">
        <x:v>Frequency, Scatter and the Shape of Data</x:v>
      </x:c>
      <x:c r="G259" s="28" t="str">
        <x:v>Critique graphical claims</x:v>
      </x:c>
      <x:c r="H259" s="28" t="str">
        <x:v>Reflection</x:v>
      </x:c>
      <x:c r="I259" s="28" t="str">
        <x:v>Connection, Creativity</x:v>
      </x:c>
      <x:c r="J259" s="28" t="str">
        <x:v>Live, Asynchronous, Independent</x:v>
      </x:c>
      <x:c r="K259" s="28" t="str">
        <x:v>Explanation; interactive choices; Scratchpad working; portfolio evidence</x:v>
      </x:c>
      <x:c r="L259" s="28" t="str">
        <x:v>Sampling and data comparison</x:v>
      </x:c>
      <x:c r="M259" s="36" t="str">
        <x:v>Cumulative frequency, histograms and box plots</x:v>
      </x:c>
    </x:row>
    <x:row r="260" ht="54" customHeight="1">
      <x:c r="A260" s="35" t="str">
        <x:v>NEO-MATH-Y10-08-NUM-01</x:v>
      </x:c>
      <x:c r="B260" s="28" t="str">
        <x:v>NEO-MATH-Y10-08</x:v>
      </x:c>
      <x:c r="C260" s="28" t="str">
        <x:v>iGCSE Year 1</x:v>
      </x:c>
      <x:c r="D260" s="28" t="str">
        <x:v>Year 10</x:v>
      </x:c>
      <x:c r="E260" s="28" t="str">
        <x:v>Number Sense</x:v>
      </x:c>
      <x:c r="F260" s="28" t="str">
        <x:v>Bounds and the Mathematics of ‘Nearly’</x:v>
      </x:c>
      <x:c r="G260" s="28" t="str">
        <x:v>Identify rounding intervals</x:v>
      </x:c>
      <x:c r="H260" s="28" t="str">
        <x:v>Rest</x:v>
      </x:c>
      <x:c r="I260" s="28" t="str">
        <x:v>Reflection, Connection</x:v>
      </x:c>
      <x:c r="J260" s="28" t="str">
        <x:v>Live, Asynchronous, Independent</x:v>
      </x:c>
      <x:c r="K260" s="28" t="str">
        <x:v>Explanation; interactive choices; Scratchpad working; portfolio evidence</x:v>
      </x:c>
      <x:c r="L260" s="28" t="str">
        <x:v>Rounding/accuracy</x:v>
      </x:c>
      <x:c r="M260" s="36" t="str">
        <x:v>Error intervals and advanced bounds</x:v>
      </x:c>
    </x:row>
    <x:row r="261" ht="54" customHeight="1">
      <x:c r="A261" s="35" t="str">
        <x:v>NEO-MATH-Y10-08-NUM-02</x:v>
      </x:c>
      <x:c r="B261" s="28" t="str">
        <x:v>NEO-MATH-Y10-08</x:v>
      </x:c>
      <x:c r="C261" s="28" t="str">
        <x:v>iGCSE Year 1</x:v>
      </x:c>
      <x:c r="D261" s="28" t="str">
        <x:v>Year 10</x:v>
      </x:c>
      <x:c r="E261" s="28" t="str">
        <x:v>Number Sense</x:v>
      </x:c>
      <x:c r="F261" s="28" t="str">
        <x:v>Bounds and the Mathematics of ‘Nearly’</x:v>
      </x:c>
      <x:c r="G261" s="28" t="str">
        <x:v>Find upper/lower bounds</x:v>
      </x:c>
      <x:c r="H261" s="28" t="str">
        <x:v>Rest</x:v>
      </x:c>
      <x:c r="I261" s="28" t="str">
        <x:v>Reflection, Connection</x:v>
      </x:c>
      <x:c r="J261" s="28" t="str">
        <x:v>Live, Asynchronous, Independent</x:v>
      </x:c>
      <x:c r="K261" s="28" t="str">
        <x:v>Explanation; interactive choices; Scratchpad working; portfolio evidence</x:v>
      </x:c>
      <x:c r="L261" s="28" t="str">
        <x:v>Rounding/accuracy</x:v>
      </x:c>
      <x:c r="M261" s="36" t="str">
        <x:v>Error intervals and advanced bounds</x:v>
      </x:c>
    </x:row>
    <x:row r="262" ht="54" customHeight="1">
      <x:c r="A262" s="35" t="str">
        <x:v>NEO-MATH-Y10-08-NUM-03</x:v>
      </x:c>
      <x:c r="B262" s="28" t="str">
        <x:v>NEO-MATH-Y10-08</x:v>
      </x:c>
      <x:c r="C262" s="28" t="str">
        <x:v>iGCSE Year 1</x:v>
      </x:c>
      <x:c r="D262" s="28" t="str">
        <x:v>Year 10</x:v>
      </x:c>
      <x:c r="E262" s="28" t="str">
        <x:v>Number Sense</x:v>
      </x:c>
      <x:c r="F262" s="28" t="str">
        <x:v>Bounds and the Mathematics of ‘Nearly’</x:v>
      </x:c>
      <x:c r="G262" s="28" t="str">
        <x:v>Calculate with bounds at tier</x:v>
      </x:c>
      <x:c r="H262" s="28" t="str">
        <x:v>Rest</x:v>
      </x:c>
      <x:c r="I262" s="28" t="str">
        <x:v>Reflection, Connection</x:v>
      </x:c>
      <x:c r="J262" s="28" t="str">
        <x:v>Live, Asynchronous, Independent</x:v>
      </x:c>
      <x:c r="K262" s="28" t="str">
        <x:v>Explanation; interactive choices; Scratchpad working; portfolio evidence</x:v>
      </x:c>
      <x:c r="L262" s="28" t="str">
        <x:v>Rounding/accuracy</x:v>
      </x:c>
      <x:c r="M262" s="36" t="str">
        <x:v>Error intervals and advanced bounds</x:v>
      </x:c>
    </x:row>
    <x:row r="263" ht="54" customHeight="1">
      <x:c r="A263" s="35" t="str">
        <x:v>NEO-MATH-Y10-08-NUM-04</x:v>
      </x:c>
      <x:c r="B263" s="28" t="str">
        <x:v>NEO-MATH-Y10-08</x:v>
      </x:c>
      <x:c r="C263" s="28" t="str">
        <x:v>iGCSE Year 1</x:v>
      </x:c>
      <x:c r="D263" s="28" t="str">
        <x:v>Year 10</x:v>
      </x:c>
      <x:c r="E263" s="28" t="str">
        <x:v>Number Sense</x:v>
      </x:c>
      <x:c r="F263" s="28" t="str">
        <x:v>Bounds and the Mathematics of ‘Nearly’</x:v>
      </x:c>
      <x:c r="G263" s="28" t="str">
        <x:v>Use estimation</x:v>
      </x:c>
      <x:c r="H263" s="28" t="str">
        <x:v>Rest</x:v>
      </x:c>
      <x:c r="I263" s="28" t="str">
        <x:v>Reflection, Connection</x:v>
      </x:c>
      <x:c r="J263" s="28" t="str">
        <x:v>Live, Asynchronous, Independent</x:v>
      </x:c>
      <x:c r="K263" s="28" t="str">
        <x:v>Explanation; interactive choices; Scratchpad working; portfolio evidence</x:v>
      </x:c>
      <x:c r="L263" s="28" t="str">
        <x:v>Rounding/accuracy</x:v>
      </x:c>
      <x:c r="M263" s="36" t="str">
        <x:v>Error intervals and advanced bounds</x:v>
      </x:c>
    </x:row>
    <x:row r="264" ht="54" customHeight="1">
      <x:c r="A264" s="35" t="str">
        <x:v>NEO-MATH-Y10-08-NUM-05</x:v>
      </x:c>
      <x:c r="B264" s="28" t="str">
        <x:v>NEO-MATH-Y10-08</x:v>
      </x:c>
      <x:c r="C264" s="28" t="str">
        <x:v>iGCSE Year 1</x:v>
      </x:c>
      <x:c r="D264" s="28" t="str">
        <x:v>Year 10</x:v>
      </x:c>
      <x:c r="E264" s="28" t="str">
        <x:v>Number Sense</x:v>
      </x:c>
      <x:c r="F264" s="28" t="str">
        <x:v>Bounds and the Mathematics of ‘Nearly’</x:v>
      </x:c>
      <x:c r="G264" s="28" t="str">
        <x:v>Interpret tolerances</x:v>
      </x:c>
      <x:c r="H264" s="28" t="str">
        <x:v>Rest</x:v>
      </x:c>
      <x:c r="I264" s="28" t="str">
        <x:v>Reflection, Connection</x:v>
      </x:c>
      <x:c r="J264" s="28" t="str">
        <x:v>Live, Asynchronous, Independent</x:v>
      </x:c>
      <x:c r="K264" s="28" t="str">
        <x:v>Explanation; interactive choices; Scratchpad working; portfolio evidence</x:v>
      </x:c>
      <x:c r="L264" s="28" t="str">
        <x:v>Rounding/accuracy</x:v>
      </x:c>
      <x:c r="M264" s="36" t="str">
        <x:v>Error intervals and advanced bounds</x:v>
      </x:c>
    </x:row>
    <x:row r="265" ht="54" customHeight="1">
      <x:c r="A265" s="35" t="str">
        <x:v>NEO-MATH-Y10-08-NUM-06</x:v>
      </x:c>
      <x:c r="B265" s="28" t="str">
        <x:v>NEO-MATH-Y10-08</x:v>
      </x:c>
      <x:c r="C265" s="28" t="str">
        <x:v>iGCSE Year 1</x:v>
      </x:c>
      <x:c r="D265" s="28" t="str">
        <x:v>Year 10</x:v>
      </x:c>
      <x:c r="E265" s="28" t="str">
        <x:v>Number Sense</x:v>
      </x:c>
      <x:c r="F265" s="28" t="str">
        <x:v>Bounds and the Mathematics of ‘Nearly’</x:v>
      </x:c>
      <x:c r="G265" s="28" t="str">
        <x:v>Communicate accuracy</x:v>
      </x:c>
      <x:c r="H265" s="28" t="str">
        <x:v>Rest</x:v>
      </x:c>
      <x:c r="I265" s="28" t="str">
        <x:v>Reflection, Connection</x:v>
      </x:c>
      <x:c r="J265" s="28" t="str">
        <x:v>Live, Asynchronous, Independent</x:v>
      </x:c>
      <x:c r="K265" s="28" t="str">
        <x:v>Explanation; interactive choices; Scratchpad working; portfolio evidence</x:v>
      </x:c>
      <x:c r="L265" s="28" t="str">
        <x:v>Rounding/accuracy</x:v>
      </x:c>
      <x:c r="M265" s="36" t="str">
        <x:v>Error intervals and advanced bounds</x:v>
      </x:c>
    </x:row>
    <x:row r="266" ht="54" customHeight="1">
      <x:c r="A266" s="35" t="str">
        <x:v>NEO-MATH-Y10-09-ALG-01</x:v>
      </x:c>
      <x:c r="B266" s="28" t="str">
        <x:v>NEO-MATH-Y10-09</x:v>
      </x:c>
      <x:c r="C266" s="28" t="str">
        <x:v>iGCSE Year 1</x:v>
      </x:c>
      <x:c r="D266" s="28" t="str">
        <x:v>Year 10</x:v>
      </x:c>
      <x:c r="E266" s="28" t="str">
        <x:v>Structure &amp; Generalisation</x:v>
      </x:c>
      <x:c r="F266" s="28" t="str">
        <x:v>Quadratics: Factors, Roots and Graphs</x:v>
      </x:c>
      <x:c r="G266" s="28" t="str">
        <x:v>Expand/factorise quadratics</x:v>
      </x:c>
      <x:c r="H266" s="28" t="str">
        <x:v>Connection</x:v>
      </x:c>
      <x:c r="I266" s="28" t="str">
        <x:v>Movement, Reflection</x:v>
      </x:c>
      <x:c r="J266" s="28" t="str">
        <x:v>Live, Asynchronous, Independent</x:v>
      </x:c>
      <x:c r="K266" s="28" t="str">
        <x:v>Explanation; interactive choices; Scratchpad working; portfolio evidence</x:v>
      </x:c>
      <x:c r="L266" s="28" t="str">
        <x:v>Year 9 quadratics</x:v>
      </x:c>
      <x:c r="M266" s="36" t="str">
        <x:v>Quadratic formula, completing square and function transforms</x:v>
      </x:c>
    </x:row>
    <x:row r="267" ht="54" customHeight="1">
      <x:c r="A267" s="35" t="str">
        <x:v>NEO-MATH-Y10-09-ALG-02</x:v>
      </x:c>
      <x:c r="B267" s="28" t="str">
        <x:v>NEO-MATH-Y10-09</x:v>
      </x:c>
      <x:c r="C267" s="28" t="str">
        <x:v>iGCSE Year 1</x:v>
      </x:c>
      <x:c r="D267" s="28" t="str">
        <x:v>Year 10</x:v>
      </x:c>
      <x:c r="E267" s="28" t="str">
        <x:v>Structure &amp; Generalisation</x:v>
      </x:c>
      <x:c r="F267" s="28" t="str">
        <x:v>Quadratics: Factors, Roots and Graphs</x:v>
      </x:c>
      <x:c r="G267" s="28" t="str">
        <x:v>Solve by factorisation</x:v>
      </x:c>
      <x:c r="H267" s="28" t="str">
        <x:v>Connection</x:v>
      </x:c>
      <x:c r="I267" s="28" t="str">
        <x:v>Movement, Reflection</x:v>
      </x:c>
      <x:c r="J267" s="28" t="str">
        <x:v>Live, Asynchronous, Independent</x:v>
      </x:c>
      <x:c r="K267" s="28" t="str">
        <x:v>Explanation; interactive choices; Scratchpad working; portfolio evidence</x:v>
      </x:c>
      <x:c r="L267" s="28" t="str">
        <x:v>Year 9 quadratics</x:v>
      </x:c>
      <x:c r="M267" s="36" t="str">
        <x:v>Quadratic formula, completing square and function transforms</x:v>
      </x:c>
    </x:row>
    <x:row r="268" ht="54" customHeight="1">
      <x:c r="A268" s="35" t="str">
        <x:v>NEO-MATH-Y10-09-ALG-03</x:v>
      </x:c>
      <x:c r="B268" s="28" t="str">
        <x:v>NEO-MATH-Y10-09</x:v>
      </x:c>
      <x:c r="C268" s="28" t="str">
        <x:v>iGCSE Year 1</x:v>
      </x:c>
      <x:c r="D268" s="28" t="str">
        <x:v>Year 10</x:v>
      </x:c>
      <x:c r="E268" s="28" t="str">
        <x:v>Structure &amp; Generalisation</x:v>
      </x:c>
      <x:c r="F268" s="28" t="str">
        <x:v>Quadratics: Factors, Roots and Graphs</x:v>
      </x:c>
      <x:c r="G268" s="28" t="str">
        <x:v>Connect roots/intercepts</x:v>
      </x:c>
      <x:c r="H268" s="28" t="str">
        <x:v>Connection</x:v>
      </x:c>
      <x:c r="I268" s="28" t="str">
        <x:v>Movement, Reflection</x:v>
      </x:c>
      <x:c r="J268" s="28" t="str">
        <x:v>Live, Asynchronous, Independent</x:v>
      </x:c>
      <x:c r="K268" s="28" t="str">
        <x:v>Explanation; interactive choices; Scratchpad working; portfolio evidence</x:v>
      </x:c>
      <x:c r="L268" s="28" t="str">
        <x:v>Year 9 quadratics</x:v>
      </x:c>
      <x:c r="M268" s="36" t="str">
        <x:v>Quadratic formula, completing square and function transforms</x:v>
      </x:c>
    </x:row>
    <x:row r="269" ht="54" customHeight="1">
      <x:c r="A269" s="35" t="str">
        <x:v>NEO-MATH-Y10-09-ALG-04</x:v>
      </x:c>
      <x:c r="B269" s="28" t="str">
        <x:v>NEO-MATH-Y10-09</x:v>
      </x:c>
      <x:c r="C269" s="28" t="str">
        <x:v>iGCSE Year 1</x:v>
      </x:c>
      <x:c r="D269" s="28" t="str">
        <x:v>Year 10</x:v>
      </x:c>
      <x:c r="E269" s="28" t="str">
        <x:v>Structure &amp; Generalisation</x:v>
      </x:c>
      <x:c r="F269" s="28" t="str">
        <x:v>Quadratics: Factors, Roots and Graphs</x:v>
      </x:c>
      <x:c r="G269" s="28" t="str">
        <x:v>Plot/interpret quadratics</x:v>
      </x:c>
      <x:c r="H269" s="28" t="str">
        <x:v>Connection</x:v>
      </x:c>
      <x:c r="I269" s="28" t="str">
        <x:v>Movement, Reflection</x:v>
      </x:c>
      <x:c r="J269" s="28" t="str">
        <x:v>Live, Asynchronous, Independent</x:v>
      </x:c>
      <x:c r="K269" s="28" t="str">
        <x:v>Explanation; interactive choices; Scratchpad working; portfolio evidence</x:v>
      </x:c>
      <x:c r="L269" s="28" t="str">
        <x:v>Year 9 quadratics</x:v>
      </x:c>
      <x:c r="M269" s="36" t="str">
        <x:v>Quadratic formula, completing square and function transforms</x:v>
      </x:c>
    </x:row>
    <x:row r="270" ht="54" customHeight="1">
      <x:c r="A270" s="35" t="str">
        <x:v>NEO-MATH-Y10-09-ALG-05</x:v>
      </x:c>
      <x:c r="B270" s="28" t="str">
        <x:v>NEO-MATH-Y10-09</x:v>
      </x:c>
      <x:c r="C270" s="28" t="str">
        <x:v>iGCSE Year 1</x:v>
      </x:c>
      <x:c r="D270" s="28" t="str">
        <x:v>Year 10</x:v>
      </x:c>
      <x:c r="E270" s="28" t="str">
        <x:v>Structure &amp; Generalisation</x:v>
      </x:c>
      <x:c r="F270" s="28" t="str">
        <x:v>Quadratics: Factors, Roots and Graphs</x:v>
      </x:c>
      <x:c r="G270" s="28" t="str">
        <x:v>Form simple quadratic models</x:v>
      </x:c>
      <x:c r="H270" s="28" t="str">
        <x:v>Connection</x:v>
      </x:c>
      <x:c r="I270" s="28" t="str">
        <x:v>Movement, Reflection</x:v>
      </x:c>
      <x:c r="J270" s="28" t="str">
        <x:v>Live, Asynchronous, Independent</x:v>
      </x:c>
      <x:c r="K270" s="28" t="str">
        <x:v>Explanation; interactive choices; Scratchpad working; portfolio evidence</x:v>
      </x:c>
      <x:c r="L270" s="28" t="str">
        <x:v>Year 9 quadratics</x:v>
      </x:c>
      <x:c r="M270" s="36" t="str">
        <x:v>Quadratic formula, completing square and function transforms</x:v>
      </x:c>
    </x:row>
    <x:row r="271" ht="54" customHeight="1">
      <x:c r="A271" s="35" t="str">
        <x:v>NEO-MATH-Y10-09-ALG-06</x:v>
      </x:c>
      <x:c r="B271" s="28" t="str">
        <x:v>NEO-MATH-Y10-09</x:v>
      </x:c>
      <x:c r="C271" s="28" t="str">
        <x:v>iGCSE Year 1</x:v>
      </x:c>
      <x:c r="D271" s="28" t="str">
        <x:v>Year 10</x:v>
      </x:c>
      <x:c r="E271" s="28" t="str">
        <x:v>Structure &amp; Generalisation</x:v>
      </x:c>
      <x:c r="F271" s="28" t="str">
        <x:v>Quadratics: Factors, Roots and Graphs</x:v>
      </x:c>
      <x:c r="G271" s="28" t="str">
        <x:v>Compare methods</x:v>
      </x:c>
      <x:c r="H271" s="28" t="str">
        <x:v>Connection</x:v>
      </x:c>
      <x:c r="I271" s="28" t="str">
        <x:v>Movement, Reflection</x:v>
      </x:c>
      <x:c r="J271" s="28" t="str">
        <x:v>Live, Asynchronous, Independent</x:v>
      </x:c>
      <x:c r="K271" s="28" t="str">
        <x:v>Explanation; interactive choices; Scratchpad working; portfolio evidence</x:v>
      </x:c>
      <x:c r="L271" s="28" t="str">
        <x:v>Year 9 quadratics</x:v>
      </x:c>
      <x:c r="M271" s="36" t="str">
        <x:v>Quadratic formula, completing square and function transforms</x:v>
      </x:c>
    </x:row>
    <x:row r="272" ht="54" customHeight="1">
      <x:c r="A272" s="35" t="str">
        <x:v>NEO-MATH-Y10-10-PRF-01</x:v>
      </x:c>
      <x:c r="B272" s="28" t="str">
        <x:v>NEO-MATH-Y10-10</x:v>
      </x:c>
      <x:c r="C272" s="28" t="str">
        <x:v>iGCSE Year 1</x:v>
      </x:c>
      <x:c r="D272" s="28" t="str">
        <x:v>Year 10</x:v>
      </x:c>
      <x:c r="E272" s="28" t="str">
        <x:v>Proof &amp; Communication</x:v>
      </x:c>
      <x:c r="F272" s="28" t="str">
        <x:v>The Connected Maths Performance Project</x:v>
      </x:c>
      <x:c r="G272" s="28" t="str">
        <x:v>Identify relevant mathematics</x:v>
      </x:c>
      <x:c r="H272" s="28" t="str">
        <x:v>Creativity</x:v>
      </x:c>
      <x:c r="I272" s="28" t="str">
        <x:v>Connection, Reflection</x:v>
      </x:c>
      <x:c r="J272" s="28" t="str">
        <x:v>Live, Asynchronous, Independent</x:v>
      </x:c>
      <x:c r="K272" s="28" t="str">
        <x:v>Explanation; interactive choices; Scratchpad working; portfolio evidence</x:v>
      </x:c>
      <x:c r="L272" s="28" t="str">
        <x:v>Year 10 units 1-9</x:v>
      </x:c>
      <x:c r="M272" s="36" t="str">
        <x:v>iGCSE Year 2 synthesis</x:v>
      </x:c>
    </x:row>
    <x:row r="273" ht="54" customHeight="1">
      <x:c r="A273" s="35" t="str">
        <x:v>NEO-MATH-Y10-10-PRF-02</x:v>
      </x:c>
      <x:c r="B273" s="28" t="str">
        <x:v>NEO-MATH-Y10-10</x:v>
      </x:c>
      <x:c r="C273" s="28" t="str">
        <x:v>iGCSE Year 1</x:v>
      </x:c>
      <x:c r="D273" s="28" t="str">
        <x:v>Year 10</x:v>
      </x:c>
      <x:c r="E273" s="28" t="str">
        <x:v>Proof &amp; Communication</x:v>
      </x:c>
      <x:c r="F273" s="28" t="str">
        <x:v>The Connected Maths Performance Project</x:v>
      </x:c>
      <x:c r="G273" s="28" t="str">
        <x:v>Connect domains</x:v>
      </x:c>
      <x:c r="H273" s="28" t="str">
        <x:v>Creativity</x:v>
      </x:c>
      <x:c r="I273" s="28" t="str">
        <x:v>Connection, Reflection</x:v>
      </x:c>
      <x:c r="J273" s="28" t="str">
        <x:v>Live, Asynchronous, Independent</x:v>
      </x:c>
      <x:c r="K273" s="28" t="str">
        <x:v>Explanation; interactive choices; Scratchpad working; portfolio evidence</x:v>
      </x:c>
      <x:c r="L273" s="28" t="str">
        <x:v>Year 10 units 1-9</x:v>
      </x:c>
      <x:c r="M273" s="36" t="str">
        <x:v>iGCSE Year 2 synthesis</x:v>
      </x:c>
    </x:row>
    <x:row r="274" ht="54" customHeight="1">
      <x:c r="A274" s="35" t="str">
        <x:v>NEO-MATH-Y10-10-PRF-03</x:v>
      </x:c>
      <x:c r="B274" s="28" t="str">
        <x:v>NEO-MATH-Y10-10</x:v>
      </x:c>
      <x:c r="C274" s="28" t="str">
        <x:v>iGCSE Year 1</x:v>
      </x:c>
      <x:c r="D274" s="28" t="str">
        <x:v>Year 10</x:v>
      </x:c>
      <x:c r="E274" s="28" t="str">
        <x:v>Proof &amp; Communication</x:v>
      </x:c>
      <x:c r="F274" s="28" t="str">
        <x:v>The Connected Maths Performance Project</x:v>
      </x:c>
      <x:c r="G274" s="28" t="str">
        <x:v>Choose representations</x:v>
      </x:c>
      <x:c r="H274" s="28" t="str">
        <x:v>Creativity</x:v>
      </x:c>
      <x:c r="I274" s="28" t="str">
        <x:v>Connection, Reflection</x:v>
      </x:c>
      <x:c r="J274" s="28" t="str">
        <x:v>Live, Asynchronous, Independent</x:v>
      </x:c>
      <x:c r="K274" s="28" t="str">
        <x:v>Explanation; interactive choices; Scratchpad working; portfolio evidence</x:v>
      </x:c>
      <x:c r="L274" s="28" t="str">
        <x:v>Year 10 units 1-9</x:v>
      </x:c>
      <x:c r="M274" s="36" t="str">
        <x:v>iGCSE Year 2 synthesis</x:v>
      </x:c>
    </x:row>
    <x:row r="275" ht="54" customHeight="1">
      <x:c r="A275" s="35" t="str">
        <x:v>NEO-MATH-Y10-10-PRF-04</x:v>
      </x:c>
      <x:c r="B275" s="28" t="str">
        <x:v>NEO-MATH-Y10-10</x:v>
      </x:c>
      <x:c r="C275" s="28" t="str">
        <x:v>iGCSE Year 1</x:v>
      </x:c>
      <x:c r="D275" s="28" t="str">
        <x:v>Year 10</x:v>
      </x:c>
      <x:c r="E275" s="28" t="str">
        <x:v>Proof &amp; Communication</x:v>
      </x:c>
      <x:c r="F275" s="28" t="str">
        <x:v>The Connected Maths Performance Project</x:v>
      </x:c>
      <x:c r="G275" s="28" t="str">
        <x:v>Justify a strategy</x:v>
      </x:c>
      <x:c r="H275" s="28" t="str">
        <x:v>Creativity</x:v>
      </x:c>
      <x:c r="I275" s="28" t="str">
        <x:v>Connection, Reflection</x:v>
      </x:c>
      <x:c r="J275" s="28" t="str">
        <x:v>Live, Asynchronous, Independent</x:v>
      </x:c>
      <x:c r="K275" s="28" t="str">
        <x:v>Explanation; interactive choices; Scratchpad working; portfolio evidence</x:v>
      </x:c>
      <x:c r="L275" s="28" t="str">
        <x:v>Year 10 units 1-9</x:v>
      </x:c>
      <x:c r="M275" s="36" t="str">
        <x:v>iGCSE Year 2 synthesis</x:v>
      </x:c>
    </x:row>
    <x:row r="276" ht="54" customHeight="1">
      <x:c r="A276" s="35" t="str">
        <x:v>NEO-MATH-Y10-10-PRF-05</x:v>
      </x:c>
      <x:c r="B276" s="28" t="str">
        <x:v>NEO-MATH-Y10-10</x:v>
      </x:c>
      <x:c r="C276" s="28" t="str">
        <x:v>iGCSE Year 1</x:v>
      </x:c>
      <x:c r="D276" s="28" t="str">
        <x:v>Year 10</x:v>
      </x:c>
      <x:c r="E276" s="28" t="str">
        <x:v>Proof &amp; Communication</x:v>
      </x:c>
      <x:c r="F276" s="28" t="str">
        <x:v>The Connected Maths Performance Project</x:v>
      </x:c>
      <x:c r="G276" s="28" t="str">
        <x:v>Evaluate assumptions</x:v>
      </x:c>
      <x:c r="H276" s="28" t="str">
        <x:v>Creativity</x:v>
      </x:c>
      <x:c r="I276" s="28" t="str">
        <x:v>Connection, Reflection</x:v>
      </x:c>
      <x:c r="J276" s="28" t="str">
        <x:v>Live, Asynchronous, Independent</x:v>
      </x:c>
      <x:c r="K276" s="28" t="str">
        <x:v>Explanation; interactive choices; Scratchpad working; portfolio evidence</x:v>
      </x:c>
      <x:c r="L276" s="28" t="str">
        <x:v>Year 10 units 1-9</x:v>
      </x:c>
      <x:c r="M276" s="36" t="str">
        <x:v>iGCSE Year 2 synthesis</x:v>
      </x:c>
    </x:row>
    <x:row r="277" ht="54" customHeight="1">
      <x:c r="A277" s="35" t="str">
        <x:v>NEO-MATH-Y10-10-PRF-06</x:v>
      </x:c>
      <x:c r="B277" s="28" t="str">
        <x:v>NEO-MATH-Y10-10</x:v>
      </x:c>
      <x:c r="C277" s="28" t="str">
        <x:v>iGCSE Year 1</x:v>
      </x:c>
      <x:c r="D277" s="28" t="str">
        <x:v>Year 10</x:v>
      </x:c>
      <x:c r="E277" s="28" t="str">
        <x:v>Proof &amp; Communication</x:v>
      </x:c>
      <x:c r="F277" s="28" t="str">
        <x:v>The Connected Maths Performance Project</x:v>
      </x:c>
      <x:c r="G277" s="28" t="str">
        <x:v>Communicate a multi-step solution</x:v>
      </x:c>
      <x:c r="H277" s="28" t="str">
        <x:v>Creativity</x:v>
      </x:c>
      <x:c r="I277" s="28" t="str">
        <x:v>Connection, Reflection</x:v>
      </x:c>
      <x:c r="J277" s="28" t="str">
        <x:v>Live, Asynchronous, Independent</x:v>
      </x:c>
      <x:c r="K277" s="28" t="str">
        <x:v>Explanation; interactive choices; Scratchpad working; portfolio evidence</x:v>
      </x:c>
      <x:c r="L277" s="28" t="str">
        <x:v>Year 10 units 1-9</x:v>
      </x:c>
      <x:c r="M277" s="36" t="str">
        <x:v>iGCSE Year 2 synthesis</x:v>
      </x:c>
    </x:row>
    <x:row r="278" ht="54" customHeight="1">
      <x:c r="A278" s="35" t="str">
        <x:v>NEO-MATH-Y11-01-ALG-01</x:v>
      </x:c>
      <x:c r="B278" s="28" t="str">
        <x:v>NEO-MATH-Y11-01</x:v>
      </x:c>
      <x:c r="C278" s="28" t="str">
        <x:v>iGCSE Year 2</x:v>
      </x:c>
      <x:c r="D278" s="28" t="str">
        <x:v>Year 11</x:v>
      </x:c>
      <x:c r="E278" s="28" t="str">
        <x:v>Structure &amp; Generalisation</x:v>
      </x:c>
      <x:c r="F278" s="28" t="str">
        <x:v>Advanced Algebra: Structure, Strategy and Proof</x:v>
      </x:c>
      <x:c r="G278" s="28" t="str">
        <x:v>Manipulate complex expressions</x:v>
      </x:c>
      <x:c r="H278" s="28" t="str">
        <x:v>Reflection</x:v>
      </x:c>
      <x:c r="I278" s="28" t="str">
        <x:v>Connection, Creativity</x:v>
      </x:c>
      <x:c r="J278" s="28" t="str">
        <x:v>Live, Asynchronous, Independent</x:v>
      </x:c>
      <x:c r="K278" s="28" t="str">
        <x:v>Explanation; interactive choices; Scratchpad working; portfolio evidence</x:v>
      </x:c>
      <x:c r="L278" s="28" t="str">
        <x:v>Year 10 algebra/quadratics</x:v>
      </x:c>
      <x:c r="M278" s="36" t="str">
        <x:v>Non-linear simultaneous equations and functions</x:v>
      </x:c>
    </x:row>
    <x:row r="279" ht="54" customHeight="1">
      <x:c r="A279" s="35" t="str">
        <x:v>NEO-MATH-Y11-01-ALG-02</x:v>
      </x:c>
      <x:c r="B279" s="28" t="str">
        <x:v>NEO-MATH-Y11-01</x:v>
      </x:c>
      <x:c r="C279" s="28" t="str">
        <x:v>iGCSE Year 2</x:v>
      </x:c>
      <x:c r="D279" s="28" t="str">
        <x:v>Year 11</x:v>
      </x:c>
      <x:c r="E279" s="28" t="str">
        <x:v>Structure &amp; Generalisation</x:v>
      </x:c>
      <x:c r="F279" s="28" t="str">
        <x:v>Advanced Algebra: Structure, Strategy and Proof</x:v>
      </x:c>
      <x:c r="G279" s="28" t="str">
        <x:v>Solve quadratics by multiple methods</x:v>
      </x:c>
      <x:c r="H279" s="28" t="str">
        <x:v>Reflection</x:v>
      </x:c>
      <x:c r="I279" s="28" t="str">
        <x:v>Connection, Creativity</x:v>
      </x:c>
      <x:c r="J279" s="28" t="str">
        <x:v>Live, Asynchronous, Independent</x:v>
      </x:c>
      <x:c r="K279" s="28" t="str">
        <x:v>Explanation; interactive choices; Scratchpad working; portfolio evidence</x:v>
      </x:c>
      <x:c r="L279" s="28" t="str">
        <x:v>Year 10 algebra/quadratics</x:v>
      </x:c>
      <x:c r="M279" s="36" t="str">
        <x:v>Non-linear simultaneous equations and functions</x:v>
      </x:c>
    </x:row>
    <x:row r="280" ht="54" customHeight="1">
      <x:c r="A280" s="35" t="str">
        <x:v>NEO-MATH-Y11-01-ALG-03</x:v>
      </x:c>
      <x:c r="B280" s="28" t="str">
        <x:v>NEO-MATH-Y11-01</x:v>
      </x:c>
      <x:c r="C280" s="28" t="str">
        <x:v>iGCSE Year 2</x:v>
      </x:c>
      <x:c r="D280" s="28" t="str">
        <x:v>Year 11</x:v>
      </x:c>
      <x:c r="E280" s="28" t="str">
        <x:v>Structure &amp; Generalisation</x:v>
      </x:c>
      <x:c r="F280" s="28" t="str">
        <x:v>Advanced Algebra: Structure, Strategy and Proof</x:v>
      </x:c>
      <x:c r="G280" s="28" t="str">
        <x:v>Use algebraic fractions</x:v>
      </x:c>
      <x:c r="H280" s="28" t="str">
        <x:v>Reflection</x:v>
      </x:c>
      <x:c r="I280" s="28" t="str">
        <x:v>Connection, Creativity</x:v>
      </x:c>
      <x:c r="J280" s="28" t="str">
        <x:v>Live, Asynchronous, Independent</x:v>
      </x:c>
      <x:c r="K280" s="28" t="str">
        <x:v>Explanation; interactive choices; Scratchpad working; portfolio evidence</x:v>
      </x:c>
      <x:c r="L280" s="28" t="str">
        <x:v>Year 10 algebra/quadratics</x:v>
      </x:c>
      <x:c r="M280" s="36" t="str">
        <x:v>Non-linear simultaneous equations and functions</x:v>
      </x:c>
    </x:row>
    <x:row r="281" ht="54" customHeight="1">
      <x:c r="A281" s="35" t="str">
        <x:v>NEO-MATH-Y11-01-ALG-04</x:v>
      </x:c>
      <x:c r="B281" s="28" t="str">
        <x:v>NEO-MATH-Y11-01</x:v>
      </x:c>
      <x:c r="C281" s="28" t="str">
        <x:v>iGCSE Year 2</x:v>
      </x:c>
      <x:c r="D281" s="28" t="str">
        <x:v>Year 11</x:v>
      </x:c>
      <x:c r="E281" s="28" t="str">
        <x:v>Structure &amp; Generalisation</x:v>
      </x:c>
      <x:c r="F281" s="28" t="str">
        <x:v>Advanced Algebra: Structure, Strategy and Proof</x:v>
      </x:c>
      <x:c r="G281" s="28" t="str">
        <x:v>Rearrange harder formulae</x:v>
      </x:c>
      <x:c r="H281" s="28" t="str">
        <x:v>Reflection</x:v>
      </x:c>
      <x:c r="I281" s="28" t="str">
        <x:v>Connection, Creativity</x:v>
      </x:c>
      <x:c r="J281" s="28" t="str">
        <x:v>Live, Asynchronous, Independent</x:v>
      </x:c>
      <x:c r="K281" s="28" t="str">
        <x:v>Explanation; interactive choices; Scratchpad working; portfolio evidence</x:v>
      </x:c>
      <x:c r="L281" s="28" t="str">
        <x:v>Year 10 algebra/quadratics</x:v>
      </x:c>
      <x:c r="M281" s="36" t="str">
        <x:v>Non-linear simultaneous equations and functions</x:v>
      </x:c>
    </x:row>
    <x:row r="282" ht="54" customHeight="1">
      <x:c r="A282" s="35" t="str">
        <x:v>NEO-MATH-Y11-01-ALG-05</x:v>
      </x:c>
      <x:c r="B282" s="28" t="str">
        <x:v>NEO-MATH-Y11-01</x:v>
      </x:c>
      <x:c r="C282" s="28" t="str">
        <x:v>iGCSE Year 2</x:v>
      </x:c>
      <x:c r="D282" s="28" t="str">
        <x:v>Year 11</x:v>
      </x:c>
      <x:c r="E282" s="28" t="str">
        <x:v>Structure &amp; Generalisation</x:v>
      </x:c>
      <x:c r="F282" s="28" t="str">
        <x:v>Advanced Algebra: Structure, Strategy and Proof</x:v>
      </x:c>
      <x:c r="G282" s="28" t="str">
        <x:v>Construct algebraic proof</x:v>
      </x:c>
      <x:c r="H282" s="28" t="str">
        <x:v>Reflection</x:v>
      </x:c>
      <x:c r="I282" s="28" t="str">
        <x:v>Connection, Creativity</x:v>
      </x:c>
      <x:c r="J282" s="28" t="str">
        <x:v>Live, Asynchronous, Independent</x:v>
      </x:c>
      <x:c r="K282" s="28" t="str">
        <x:v>Explanation; interactive choices; Scratchpad working; portfolio evidence</x:v>
      </x:c>
      <x:c r="L282" s="28" t="str">
        <x:v>Year 10 algebra/quadratics</x:v>
      </x:c>
      <x:c r="M282" s="36" t="str">
        <x:v>Non-linear simultaneous equations and functions</x:v>
      </x:c>
    </x:row>
    <x:row r="283" ht="54" customHeight="1">
      <x:c r="A283" s="35" t="str">
        <x:v>NEO-MATH-Y11-01-ALG-06</x:v>
      </x:c>
      <x:c r="B283" s="28" t="str">
        <x:v>NEO-MATH-Y11-01</x:v>
      </x:c>
      <x:c r="C283" s="28" t="str">
        <x:v>iGCSE Year 2</x:v>
      </x:c>
      <x:c r="D283" s="28" t="str">
        <x:v>Year 11</x:v>
      </x:c>
      <x:c r="E283" s="28" t="str">
        <x:v>Structure &amp; Generalisation</x:v>
      </x:c>
      <x:c r="F283" s="28" t="str">
        <x:v>Advanced Algebra: Structure, Strategy and Proof</x:v>
      </x:c>
      <x:c r="G283" s="28" t="str">
        <x:v>Choose strategy</x:v>
      </x:c>
      <x:c r="H283" s="28" t="str">
        <x:v>Reflection</x:v>
      </x:c>
      <x:c r="I283" s="28" t="str">
        <x:v>Connection, Creativity</x:v>
      </x:c>
      <x:c r="J283" s="28" t="str">
        <x:v>Live, Asynchronous, Independent</x:v>
      </x:c>
      <x:c r="K283" s="28" t="str">
        <x:v>Explanation; interactive choices; Scratchpad working; portfolio evidence</x:v>
      </x:c>
      <x:c r="L283" s="28" t="str">
        <x:v>Year 10 algebra/quadratics</x:v>
      </x:c>
      <x:c r="M283" s="36" t="str">
        <x:v>Non-linear simultaneous equations and functions</x:v>
      </x:c>
    </x:row>
    <x:row r="284" ht="54" customHeight="1">
      <x:c r="A284" s="35" t="str">
        <x:v>NEO-MATH-Y11-02-FUN-01</x:v>
      </x:c>
      <x:c r="B284" s="28" t="str">
        <x:v>NEO-MATH-Y11-02</x:v>
      </x:c>
      <x:c r="C284" s="28" t="str">
        <x:v>iGCSE Year 2</x:v>
      </x:c>
      <x:c r="D284" s="28" t="str">
        <x:v>Year 11</x:v>
      </x:c>
      <x:c r="E284" s="28" t="str">
        <x:v>Change &amp; Functions</x:v>
      </x:c>
      <x:c r="F284" s="28" t="str">
        <x:v>Functions, Transformations and Rates of Change</x:v>
      </x:c>
      <x:c r="G284" s="28" t="str">
        <x:v>Interpret functions</x:v>
      </x:c>
      <x:c r="H284" s="28" t="str">
        <x:v>Movement</x:v>
      </x:c>
      <x:c r="I284" s="28" t="str">
        <x:v>Connection, Reflection</x:v>
      </x:c>
      <x:c r="J284" s="28" t="str">
        <x:v>Live, Asynchronous, Independent</x:v>
      </x:c>
      <x:c r="K284" s="28" t="str">
        <x:v>Explanation; interactive choices; Scratchpad working; portfolio evidence</x:v>
      </x:c>
      <x:c r="L284" s="28" t="str">
        <x:v>Straight lines and quadratics</x:v>
      </x:c>
      <x:c r="M284" s="36" t="str">
        <x:v>Calculus Higher and graphical solutions</x:v>
      </x:c>
    </x:row>
    <x:row r="285" ht="54" customHeight="1">
      <x:c r="A285" s="35" t="str">
        <x:v>NEO-MATH-Y11-02-FUN-02</x:v>
      </x:c>
      <x:c r="B285" s="28" t="str">
        <x:v>NEO-MATH-Y11-02</x:v>
      </x:c>
      <x:c r="C285" s="28" t="str">
        <x:v>iGCSE Year 2</x:v>
      </x:c>
      <x:c r="D285" s="28" t="str">
        <x:v>Year 11</x:v>
      </x:c>
      <x:c r="E285" s="28" t="str">
        <x:v>Change &amp; Functions</x:v>
      </x:c>
      <x:c r="F285" s="28" t="str">
        <x:v>Functions, Transformations and Rates of Change</x:v>
      </x:c>
      <x:c r="G285" s="28" t="str">
        <x:v>Sketch linear/quadratic/cubic/reciprocal/exponential graphs at tier</x:v>
      </x:c>
      <x:c r="H285" s="28" t="str">
        <x:v>Movement</x:v>
      </x:c>
      <x:c r="I285" s="28" t="str">
        <x:v>Connection, Reflection</x:v>
      </x:c>
      <x:c r="J285" s="28" t="str">
        <x:v>Live, Asynchronous, Independent</x:v>
      </x:c>
      <x:c r="K285" s="28" t="str">
        <x:v>Explanation; interactive choices; Scratchpad working; portfolio evidence</x:v>
      </x:c>
      <x:c r="L285" s="28" t="str">
        <x:v>Straight lines and quadratics</x:v>
      </x:c>
      <x:c r="M285" s="36" t="str">
        <x:v>Calculus Higher and graphical solutions</x:v>
      </x:c>
    </x:row>
    <x:row r="286" ht="54" customHeight="1">
      <x:c r="A286" s="35" t="str">
        <x:v>NEO-MATH-Y11-02-FUN-03</x:v>
      </x:c>
      <x:c r="B286" s="28" t="str">
        <x:v>NEO-MATH-Y11-02</x:v>
      </x:c>
      <x:c r="C286" s="28" t="str">
        <x:v>iGCSE Year 2</x:v>
      </x:c>
      <x:c r="D286" s="28" t="str">
        <x:v>Year 11</x:v>
      </x:c>
      <x:c r="E286" s="28" t="str">
        <x:v>Change &amp; Functions</x:v>
      </x:c>
      <x:c r="F286" s="28" t="str">
        <x:v>Functions, Transformations and Rates of Change</x:v>
      </x:c>
      <x:c r="G286" s="28" t="str">
        <x:v>Transform graphs</x:v>
      </x:c>
      <x:c r="H286" s="28" t="str">
        <x:v>Movement</x:v>
      </x:c>
      <x:c r="I286" s="28" t="str">
        <x:v>Connection, Reflection</x:v>
      </x:c>
      <x:c r="J286" s="28" t="str">
        <x:v>Live, Asynchronous, Independent</x:v>
      </x:c>
      <x:c r="K286" s="28" t="str">
        <x:v>Explanation; interactive choices; Scratchpad working; portfolio evidence</x:v>
      </x:c>
      <x:c r="L286" s="28" t="str">
        <x:v>Straight lines and quadratics</x:v>
      </x:c>
      <x:c r="M286" s="36" t="str">
        <x:v>Calculus Higher and graphical solutions</x:v>
      </x:c>
    </x:row>
    <x:row r="287" ht="54" customHeight="1">
      <x:c r="A287" s="35" t="str">
        <x:v>NEO-MATH-Y11-02-FUN-04</x:v>
      </x:c>
      <x:c r="B287" s="28" t="str">
        <x:v>NEO-MATH-Y11-02</x:v>
      </x:c>
      <x:c r="C287" s="28" t="str">
        <x:v>iGCSE Year 2</x:v>
      </x:c>
      <x:c r="D287" s="28" t="str">
        <x:v>Year 11</x:v>
      </x:c>
      <x:c r="E287" s="28" t="str">
        <x:v>Change &amp; Functions</x:v>
      </x:c>
      <x:c r="F287" s="28" t="str">
        <x:v>Functions, Transformations and Rates of Change</x:v>
      </x:c>
      <x:c r="G287" s="28" t="str">
        <x:v>Estimate roots/intersections</x:v>
      </x:c>
      <x:c r="H287" s="28" t="str">
        <x:v>Movement</x:v>
      </x:c>
      <x:c r="I287" s="28" t="str">
        <x:v>Connection, Reflection</x:v>
      </x:c>
      <x:c r="J287" s="28" t="str">
        <x:v>Live, Asynchronous, Independent</x:v>
      </x:c>
      <x:c r="K287" s="28" t="str">
        <x:v>Explanation; interactive choices; Scratchpad working; portfolio evidence</x:v>
      </x:c>
      <x:c r="L287" s="28" t="str">
        <x:v>Straight lines and quadratics</x:v>
      </x:c>
      <x:c r="M287" s="36" t="str">
        <x:v>Calculus Higher and graphical solutions</x:v>
      </x:c>
    </x:row>
    <x:row r="288" ht="54" customHeight="1">
      <x:c r="A288" s="35" t="str">
        <x:v>NEO-MATH-Y11-02-FUN-05</x:v>
      </x:c>
      <x:c r="B288" s="28" t="str">
        <x:v>NEO-MATH-Y11-02</x:v>
      </x:c>
      <x:c r="C288" s="28" t="str">
        <x:v>iGCSE Year 2</x:v>
      </x:c>
      <x:c r="D288" s="28" t="str">
        <x:v>Year 11</x:v>
      </x:c>
      <x:c r="E288" s="28" t="str">
        <x:v>Change &amp; Functions</x:v>
      </x:c>
      <x:c r="F288" s="28" t="str">
        <x:v>Functions, Transformations and Rates of Change</x:v>
      </x:c>
      <x:c r="G288" s="28" t="str">
        <x:v>Interpret gradient/rate</x:v>
      </x:c>
      <x:c r="H288" s="28" t="str">
        <x:v>Movement</x:v>
      </x:c>
      <x:c r="I288" s="28" t="str">
        <x:v>Connection, Reflection</x:v>
      </x:c>
      <x:c r="J288" s="28" t="str">
        <x:v>Live, Asynchronous, Independent</x:v>
      </x:c>
      <x:c r="K288" s="28" t="str">
        <x:v>Explanation; interactive choices; Scratchpad working; portfolio evidence</x:v>
      </x:c>
      <x:c r="L288" s="28" t="str">
        <x:v>Straight lines and quadratics</x:v>
      </x:c>
      <x:c r="M288" s="36" t="str">
        <x:v>Calculus Higher and graphical solutions</x:v>
      </x:c>
    </x:row>
    <x:row r="289" ht="54" customHeight="1">
      <x:c r="A289" s="35" t="str">
        <x:v>NEO-MATH-Y11-03-FUN-01</x:v>
      </x:c>
      <x:c r="B289" s="28" t="str">
        <x:v>NEO-MATH-Y11-03</x:v>
      </x:c>
      <x:c r="C289" s="28" t="str">
        <x:v>iGCSE Year 2</x:v>
      </x:c>
      <x:c r="D289" s="28" t="str">
        <x:v>Year 11</x:v>
      </x:c>
      <x:c r="E289" s="28" t="str">
        <x:v>Change &amp; Functions</x:v>
      </x:c>
      <x:c r="F289" s="28" t="str">
        <x:v>Motion Graphs: Distance, Speed and Area</x:v>
      </x:c>
      <x:c r="G289" s="28" t="str">
        <x:v>Interpret distance-time/speed-time graphs</x:v>
      </x:c>
      <x:c r="H289" s="28" t="str">
        <x:v>Movement</x:v>
      </x:c>
      <x:c r="I289" s="28" t="str">
        <x:v>Reflection, Connection</x:v>
      </x:c>
      <x:c r="J289" s="28" t="str">
        <x:v>Live, Asynchronous, Independent</x:v>
      </x:c>
      <x:c r="K289" s="28" t="str">
        <x:v>Explanation; interactive choices; Scratchpad working; portfolio evidence</x:v>
      </x:c>
      <x:c r="L289" s="28" t="str">
        <x:v>Gradient and compound measures</x:v>
      </x:c>
      <x:c r="M289" s="36" t="str">
        <x:v>Calculus/rates Higher; applied modelling</x:v>
      </x:c>
    </x:row>
    <x:row r="290" ht="54" customHeight="1">
      <x:c r="A290" s="35" t="str">
        <x:v>NEO-MATH-Y11-03-FUN-02</x:v>
      </x:c>
      <x:c r="B290" s="28" t="str">
        <x:v>NEO-MATH-Y11-03</x:v>
      </x:c>
      <x:c r="C290" s="28" t="str">
        <x:v>iGCSE Year 2</x:v>
      </x:c>
      <x:c r="D290" s="28" t="str">
        <x:v>Year 11</x:v>
      </x:c>
      <x:c r="E290" s="28" t="str">
        <x:v>Change &amp; Functions</x:v>
      </x:c>
      <x:c r="F290" s="28" t="str">
        <x:v>Motion Graphs: Distance, Speed and Area</x:v>
      </x:c>
      <x:c r="G290" s="28" t="str">
        <x:v>Calculate gradient as rate</x:v>
      </x:c>
      <x:c r="H290" s="28" t="str">
        <x:v>Movement</x:v>
      </x:c>
      <x:c r="I290" s="28" t="str">
        <x:v>Reflection, Connection</x:v>
      </x:c>
      <x:c r="J290" s="28" t="str">
        <x:v>Live, Asynchronous, Independent</x:v>
      </x:c>
      <x:c r="K290" s="28" t="str">
        <x:v>Explanation; interactive choices; Scratchpad working; portfolio evidence</x:v>
      </x:c>
      <x:c r="L290" s="28" t="str">
        <x:v>Gradient and compound measures</x:v>
      </x:c>
      <x:c r="M290" s="36" t="str">
        <x:v>Calculus/rates Higher; applied modelling</x:v>
      </x:c>
    </x:row>
    <x:row r="291" ht="54" customHeight="1">
      <x:c r="A291" s="35" t="str">
        <x:v>NEO-MATH-Y11-03-FUN-03</x:v>
      </x:c>
      <x:c r="B291" s="28" t="str">
        <x:v>NEO-MATH-Y11-03</x:v>
      </x:c>
      <x:c r="C291" s="28" t="str">
        <x:v>iGCSE Year 2</x:v>
      </x:c>
      <x:c r="D291" s="28" t="str">
        <x:v>Year 11</x:v>
      </x:c>
      <x:c r="E291" s="28" t="str">
        <x:v>Change &amp; Functions</x:v>
      </x:c>
      <x:c r="F291" s="28" t="str">
        <x:v>Motion Graphs: Distance, Speed and Area</x:v>
      </x:c>
      <x:c r="G291" s="28" t="str">
        <x:v>Calculate area under speed-time graphs where required</x:v>
      </x:c>
      <x:c r="H291" s="28" t="str">
        <x:v>Movement</x:v>
      </x:c>
      <x:c r="I291" s="28" t="str">
        <x:v>Reflection, Connection</x:v>
      </x:c>
      <x:c r="J291" s="28" t="str">
        <x:v>Live, Asynchronous, Independent</x:v>
      </x:c>
      <x:c r="K291" s="28" t="str">
        <x:v>Explanation; interactive choices; Scratchpad working; portfolio evidence</x:v>
      </x:c>
      <x:c r="L291" s="28" t="str">
        <x:v>Gradient and compound measures</x:v>
      </x:c>
      <x:c r="M291" s="36" t="str">
        <x:v>Calculus/rates Higher; applied modelling</x:v>
      </x:c>
    </x:row>
    <x:row r="292" ht="54" customHeight="1">
      <x:c r="A292" s="35" t="str">
        <x:v>NEO-MATH-Y11-03-FUN-04</x:v>
      </x:c>
      <x:c r="B292" s="28" t="str">
        <x:v>NEO-MATH-Y11-03</x:v>
      </x:c>
      <x:c r="C292" s="28" t="str">
        <x:v>iGCSE Year 2</x:v>
      </x:c>
      <x:c r="D292" s="28" t="str">
        <x:v>Year 11</x:v>
      </x:c>
      <x:c r="E292" s="28" t="str">
        <x:v>Change &amp; Functions</x:v>
      </x:c>
      <x:c r="F292" s="28" t="str">
        <x:v>Motion Graphs: Distance, Speed and Area</x:v>
      </x:c>
      <x:c r="G292" s="28" t="str">
        <x:v>Compare average/instantaneous ideas</x:v>
      </x:c>
      <x:c r="H292" s="28" t="str">
        <x:v>Movement</x:v>
      </x:c>
      <x:c r="I292" s="28" t="str">
        <x:v>Reflection, Connection</x:v>
      </x:c>
      <x:c r="J292" s="28" t="str">
        <x:v>Live, Asynchronous, Independent</x:v>
      </x:c>
      <x:c r="K292" s="28" t="str">
        <x:v>Explanation; interactive choices; Scratchpad working; portfolio evidence</x:v>
      </x:c>
      <x:c r="L292" s="28" t="str">
        <x:v>Gradient and compound measures</x:v>
      </x:c>
      <x:c r="M292" s="36" t="str">
        <x:v>Calculus/rates Higher; applied modelling</x:v>
      </x:c>
    </x:row>
    <x:row r="293" ht="54" customHeight="1">
      <x:c r="A293" s="35" t="str">
        <x:v>NEO-MATH-Y11-03-FUN-05</x:v>
      </x:c>
      <x:c r="B293" s="28" t="str">
        <x:v>NEO-MATH-Y11-03</x:v>
      </x:c>
      <x:c r="C293" s="28" t="str">
        <x:v>iGCSE Year 2</x:v>
      </x:c>
      <x:c r="D293" s="28" t="str">
        <x:v>Year 11</x:v>
      </x:c>
      <x:c r="E293" s="28" t="str">
        <x:v>Change &amp; Functions</x:v>
      </x:c>
      <x:c r="F293" s="28" t="str">
        <x:v>Motion Graphs: Distance, Speed and Area</x:v>
      </x:c>
      <x:c r="G293" s="28" t="str">
        <x:v>Evaluate models</x:v>
      </x:c>
      <x:c r="H293" s="28" t="str">
        <x:v>Movement</x:v>
      </x:c>
      <x:c r="I293" s="28" t="str">
        <x:v>Reflection, Connection</x:v>
      </x:c>
      <x:c r="J293" s="28" t="str">
        <x:v>Live, Asynchronous, Independent</x:v>
      </x:c>
      <x:c r="K293" s="28" t="str">
        <x:v>Explanation; interactive choices; Scratchpad working; portfolio evidence</x:v>
      </x:c>
      <x:c r="L293" s="28" t="str">
        <x:v>Gradient and compound measures</x:v>
      </x:c>
      <x:c r="M293" s="36" t="str">
        <x:v>Calculus/rates Higher; applied modelling</x:v>
      </x:c>
    </x:row>
    <x:row r="294" ht="54" customHeight="1">
      <x:c r="A294" s="35" t="str">
        <x:v>NEO-MATH-Y11-04-GEO-01</x:v>
      </x:c>
      <x:c r="B294" s="28" t="str">
        <x:v>NEO-MATH-Y11-04</x:v>
      </x:c>
      <x:c r="C294" s="28" t="str">
        <x:v>iGCSE Year 2</x:v>
      </x:c>
      <x:c r="D294" s="28" t="str">
        <x:v>Year 11</x:v>
      </x:c>
      <x:c r="E294" s="28" t="str">
        <x:v>Spatial Reasoning</x:v>
      </x:c>
      <x:c r="F294" s="28" t="str">
        <x:v>Circle Geometry and Proof Chains</x:v>
      </x:c>
      <x:c r="G294" s="28" t="str">
        <x:v>Use circle vocabulary/properties</x:v>
      </x:c>
      <x:c r="H294" s="28" t="str">
        <x:v>Reflection</x:v>
      </x:c>
      <x:c r="I294" s="28" t="str">
        <x:v>Connection, Rest</x:v>
      </x:c>
      <x:c r="J294" s="28" t="str">
        <x:v>Live, Asynchronous, Independent</x:v>
      </x:c>
      <x:c r="K294" s="28" t="str">
        <x:v>Explanation; interactive choices; Scratchpad working; portfolio evidence</x:v>
      </x:c>
      <x:c r="L294" s="28" t="str">
        <x:v>Angle reasoning</x:v>
      </x:c>
      <x:c r="M294" s="36" t="str">
        <x:v>Vector and geometric proof</x:v>
      </x:c>
    </x:row>
    <x:row r="295" ht="54" customHeight="1">
      <x:c r="A295" s="35" t="str">
        <x:v>NEO-MATH-Y11-04-GEO-02</x:v>
      </x:c>
      <x:c r="B295" s="28" t="str">
        <x:v>NEO-MATH-Y11-04</x:v>
      </x:c>
      <x:c r="C295" s="28" t="str">
        <x:v>iGCSE Year 2</x:v>
      </x:c>
      <x:c r="D295" s="28" t="str">
        <x:v>Year 11</x:v>
      </x:c>
      <x:c r="E295" s="28" t="str">
        <x:v>Spatial Reasoning</x:v>
      </x:c>
      <x:c r="F295" s="28" t="str">
        <x:v>Circle Geometry and Proof Chains</x:v>
      </x:c>
      <x:c r="G295" s="28" t="str">
        <x:v>Apply circle theorems at tier</x:v>
      </x:c>
      <x:c r="H295" s="28" t="str">
        <x:v>Reflection</x:v>
      </x:c>
      <x:c r="I295" s="28" t="str">
        <x:v>Connection, Rest</x:v>
      </x:c>
      <x:c r="J295" s="28" t="str">
        <x:v>Live, Asynchronous, Independent</x:v>
      </x:c>
      <x:c r="K295" s="28" t="str">
        <x:v>Explanation; interactive choices; Scratchpad working; portfolio evidence</x:v>
      </x:c>
      <x:c r="L295" s="28" t="str">
        <x:v>Angle reasoning</x:v>
      </x:c>
      <x:c r="M295" s="36" t="str">
        <x:v>Vector and geometric proof</x:v>
      </x:c>
    </x:row>
    <x:row r="296" ht="54" customHeight="1">
      <x:c r="A296" s="35" t="str">
        <x:v>NEO-MATH-Y11-04-GEO-03</x:v>
      </x:c>
      <x:c r="B296" s="28" t="str">
        <x:v>NEO-MATH-Y11-04</x:v>
      </x:c>
      <x:c r="C296" s="28" t="str">
        <x:v>iGCSE Year 2</x:v>
      </x:c>
      <x:c r="D296" s="28" t="str">
        <x:v>Year 11</x:v>
      </x:c>
      <x:c r="E296" s="28" t="str">
        <x:v>Spatial Reasoning</x:v>
      </x:c>
      <x:c r="F296" s="28" t="str">
        <x:v>Circle Geometry and Proof Chains</x:v>
      </x:c>
      <x:c r="G296" s="28" t="str">
        <x:v>Construct proof chains</x:v>
      </x:c>
      <x:c r="H296" s="28" t="str">
        <x:v>Reflection</x:v>
      </x:c>
      <x:c r="I296" s="28" t="str">
        <x:v>Connection, Rest</x:v>
      </x:c>
      <x:c r="J296" s="28" t="str">
        <x:v>Live, Asynchronous, Independent</x:v>
      </x:c>
      <x:c r="K296" s="28" t="str">
        <x:v>Explanation; interactive choices; Scratchpad working; portfolio evidence</x:v>
      </x:c>
      <x:c r="L296" s="28" t="str">
        <x:v>Angle reasoning</x:v>
      </x:c>
      <x:c r="M296" s="36" t="str">
        <x:v>Vector and geometric proof</x:v>
      </x:c>
    </x:row>
    <x:row r="297" ht="54" customHeight="1">
      <x:c r="A297" s="35" t="str">
        <x:v>NEO-MATH-Y11-04-GEO-04</x:v>
      </x:c>
      <x:c r="B297" s="28" t="str">
        <x:v>NEO-MATH-Y11-04</x:v>
      </x:c>
      <x:c r="C297" s="28" t="str">
        <x:v>iGCSE Year 2</x:v>
      </x:c>
      <x:c r="D297" s="28" t="str">
        <x:v>Year 11</x:v>
      </x:c>
      <x:c r="E297" s="28" t="str">
        <x:v>Spatial Reasoning</x:v>
      </x:c>
      <x:c r="F297" s="28" t="str">
        <x:v>Circle Geometry and Proof Chains</x:v>
      </x:c>
      <x:c r="G297" s="28" t="str">
        <x:v>Use tangent/chord facts</x:v>
      </x:c>
      <x:c r="H297" s="28" t="str">
        <x:v>Reflection</x:v>
      </x:c>
      <x:c r="I297" s="28" t="str">
        <x:v>Connection, Rest</x:v>
      </x:c>
      <x:c r="J297" s="28" t="str">
        <x:v>Live, Asynchronous, Independent</x:v>
      </x:c>
      <x:c r="K297" s="28" t="str">
        <x:v>Explanation; interactive choices; Scratchpad working; portfolio evidence</x:v>
      </x:c>
      <x:c r="L297" s="28" t="str">
        <x:v>Angle reasoning</x:v>
      </x:c>
      <x:c r="M297" s="36" t="str">
        <x:v>Vector and geometric proof</x:v>
      </x:c>
    </x:row>
    <x:row r="298" ht="54" customHeight="1">
      <x:c r="A298" s="35" t="str">
        <x:v>NEO-MATH-Y11-04-GEO-05</x:v>
      </x:c>
      <x:c r="B298" s="28" t="str">
        <x:v>NEO-MATH-Y11-04</x:v>
      </x:c>
      <x:c r="C298" s="28" t="str">
        <x:v>iGCSE Year 2</x:v>
      </x:c>
      <x:c r="D298" s="28" t="str">
        <x:v>Year 11</x:v>
      </x:c>
      <x:c r="E298" s="28" t="str">
        <x:v>Spatial Reasoning</x:v>
      </x:c>
      <x:c r="F298" s="28" t="str">
        <x:v>Circle Geometry and Proof Chains</x:v>
      </x:c>
      <x:c r="G298" s="28" t="str">
        <x:v>State reasons precisely</x:v>
      </x:c>
      <x:c r="H298" s="28" t="str">
        <x:v>Reflection</x:v>
      </x:c>
      <x:c r="I298" s="28" t="str">
        <x:v>Connection, Rest</x:v>
      </x:c>
      <x:c r="J298" s="28" t="str">
        <x:v>Live, Asynchronous, Independent</x:v>
      </x:c>
      <x:c r="K298" s="28" t="str">
        <x:v>Explanation; interactive choices; Scratchpad working; portfolio evidence</x:v>
      </x:c>
      <x:c r="L298" s="28" t="str">
        <x:v>Angle reasoning</x:v>
      </x:c>
      <x:c r="M298" s="36" t="str">
        <x:v>Vector and geometric proof</x:v>
      </x:c>
    </x:row>
    <x:row r="299" ht="54" customHeight="1">
      <x:c r="A299" s="35" t="str">
        <x:v>NEO-MATH-Y11-05-GEO-01</x:v>
      </x:c>
      <x:c r="B299" s="28" t="str">
        <x:v>NEO-MATH-Y11-05</x:v>
      </x:c>
      <x:c r="C299" s="28" t="str">
        <x:v>iGCSE Year 2</x:v>
      </x:c>
      <x:c r="D299" s="28" t="str">
        <x:v>Year 11</x:v>
      </x:c>
      <x:c r="E299" s="28" t="str">
        <x:v>Spatial Reasoning</x:v>
      </x:c>
      <x:c r="F299" s="28" t="str">
        <x:v>Similarity, Vectors and Transformation Geometry</x:v>
      </x:c>
      <x:c r="G299" s="28" t="str">
        <x:v>Use similarity including area/volume scale factors</x:v>
      </x:c>
      <x:c r="H299" s="28" t="str">
        <x:v>Connection</x:v>
      </x:c>
      <x:c r="I299" s="28" t="str">
        <x:v>Movement, Reflection</x:v>
      </x:c>
      <x:c r="J299" s="28" t="str">
        <x:v>Live, Asynchronous, Independent</x:v>
      </x:c>
      <x:c r="K299" s="28" t="str">
        <x:v>Explanation; interactive choices; Scratchpad working; portfolio evidence</x:v>
      </x:c>
      <x:c r="L299" s="28" t="str">
        <x:v>Similarity and transformations</x:v>
      </x:c>
      <x:c r="M299" s="36" t="str">
        <x:v>Advanced problem solving</x:v>
      </x:c>
    </x:row>
    <x:row r="300" ht="54" customHeight="1">
      <x:c r="A300" s="35" t="str">
        <x:v>NEO-MATH-Y11-05-GEO-02</x:v>
      </x:c>
      <x:c r="B300" s="28" t="str">
        <x:v>NEO-MATH-Y11-05</x:v>
      </x:c>
      <x:c r="C300" s="28" t="str">
        <x:v>iGCSE Year 2</x:v>
      </x:c>
      <x:c r="D300" s="28" t="str">
        <x:v>Year 11</x:v>
      </x:c>
      <x:c r="E300" s="28" t="str">
        <x:v>Spatial Reasoning</x:v>
      </x:c>
      <x:c r="F300" s="28" t="str">
        <x:v>Similarity, Vectors and Transformation Geometry</x:v>
      </x:c>
      <x:c r="G300" s="28" t="str">
        <x:v>Use vectors at Higher</x:v>
      </x:c>
      <x:c r="H300" s="28" t="str">
        <x:v>Connection</x:v>
      </x:c>
      <x:c r="I300" s="28" t="str">
        <x:v>Movement, Reflection</x:v>
      </x:c>
      <x:c r="J300" s="28" t="str">
        <x:v>Live, Asynchronous, Independent</x:v>
      </x:c>
      <x:c r="K300" s="28" t="str">
        <x:v>Explanation; interactive choices; Scratchpad working; portfolio evidence</x:v>
      </x:c>
      <x:c r="L300" s="28" t="str">
        <x:v>Similarity and transformations</x:v>
      </x:c>
      <x:c r="M300" s="36" t="str">
        <x:v>Advanced problem solving</x:v>
      </x:c>
    </x:row>
    <x:row r="301" ht="54" customHeight="1">
      <x:c r="A301" s="35" t="str">
        <x:v>NEO-MATH-Y11-05-GEO-03</x:v>
      </x:c>
      <x:c r="B301" s="28" t="str">
        <x:v>NEO-MATH-Y11-05</x:v>
      </x:c>
      <x:c r="C301" s="28" t="str">
        <x:v>iGCSE Year 2</x:v>
      </x:c>
      <x:c r="D301" s="28" t="str">
        <x:v>Year 11</x:v>
      </x:c>
      <x:c r="E301" s="28" t="str">
        <x:v>Spatial Reasoning</x:v>
      </x:c>
      <x:c r="F301" s="28" t="str">
        <x:v>Similarity, Vectors and Transformation Geometry</x:v>
      </x:c>
      <x:c r="G301" s="28" t="str">
        <x:v>Describe transformations fully</x:v>
      </x:c>
      <x:c r="H301" s="28" t="str">
        <x:v>Connection</x:v>
      </x:c>
      <x:c r="I301" s="28" t="str">
        <x:v>Movement, Reflection</x:v>
      </x:c>
      <x:c r="J301" s="28" t="str">
        <x:v>Live, Asynchronous, Independent</x:v>
      </x:c>
      <x:c r="K301" s="28" t="str">
        <x:v>Explanation; interactive choices; Scratchpad working; portfolio evidence</x:v>
      </x:c>
      <x:c r="L301" s="28" t="str">
        <x:v>Similarity and transformations</x:v>
      </x:c>
      <x:c r="M301" s="36" t="str">
        <x:v>Advanced problem solving</x:v>
      </x:c>
    </x:row>
    <x:row r="302" ht="54" customHeight="1">
      <x:c r="A302" s="35" t="str">
        <x:v>NEO-MATH-Y11-05-GEO-04</x:v>
      </x:c>
      <x:c r="B302" s="28" t="str">
        <x:v>NEO-MATH-Y11-05</x:v>
      </x:c>
      <x:c r="C302" s="28" t="str">
        <x:v>iGCSE Year 2</x:v>
      </x:c>
      <x:c r="D302" s="28" t="str">
        <x:v>Year 11</x:v>
      </x:c>
      <x:c r="E302" s="28" t="str">
        <x:v>Spatial Reasoning</x:v>
      </x:c>
      <x:c r="F302" s="28" t="str">
        <x:v>Similarity, Vectors and Transformation Geometry</x:v>
      </x:c>
      <x:c r="G302" s="28" t="str">
        <x:v>Combine geometric reasoning</x:v>
      </x:c>
      <x:c r="H302" s="28" t="str">
        <x:v>Connection</x:v>
      </x:c>
      <x:c r="I302" s="28" t="str">
        <x:v>Movement, Reflection</x:v>
      </x:c>
      <x:c r="J302" s="28" t="str">
        <x:v>Live, Asynchronous, Independent</x:v>
      </x:c>
      <x:c r="K302" s="28" t="str">
        <x:v>Explanation; interactive choices; Scratchpad working; portfolio evidence</x:v>
      </x:c>
      <x:c r="L302" s="28" t="str">
        <x:v>Similarity and transformations</x:v>
      </x:c>
      <x:c r="M302" s="36" t="str">
        <x:v>Advanced problem solving</x:v>
      </x:c>
    </x:row>
    <x:row r="303" ht="54" customHeight="1">
      <x:c r="A303" s="35" t="str">
        <x:v>NEO-MATH-Y11-05-GEO-05</x:v>
      </x:c>
      <x:c r="B303" s="28" t="str">
        <x:v>NEO-MATH-Y11-05</x:v>
      </x:c>
      <x:c r="C303" s="28" t="str">
        <x:v>iGCSE Year 2</x:v>
      </x:c>
      <x:c r="D303" s="28" t="str">
        <x:v>Year 11</x:v>
      </x:c>
      <x:c r="E303" s="28" t="str">
        <x:v>Spatial Reasoning</x:v>
      </x:c>
      <x:c r="F303" s="28" t="str">
        <x:v>Similarity, Vectors and Transformation Geometry</x:v>
      </x:c>
      <x:c r="G303" s="28" t="str">
        <x:v>Prove relationships where appropriate</x:v>
      </x:c>
      <x:c r="H303" s="28" t="str">
        <x:v>Connection</x:v>
      </x:c>
      <x:c r="I303" s="28" t="str">
        <x:v>Movement, Reflection</x:v>
      </x:c>
      <x:c r="J303" s="28" t="str">
        <x:v>Live, Asynchronous, Independent</x:v>
      </x:c>
      <x:c r="K303" s="28" t="str">
        <x:v>Explanation; interactive choices; Scratchpad working; portfolio evidence</x:v>
      </x:c>
      <x:c r="L303" s="28" t="str">
        <x:v>Similarity and transformations</x:v>
      </x:c>
      <x:c r="M303" s="36" t="str">
        <x:v>Advanced problem solving</x:v>
      </x:c>
    </x:row>
    <x:row r="304" ht="54" customHeight="1">
      <x:c r="A304" s="35" t="str">
        <x:v>NEO-MATH-Y11-06-GEO-01</x:v>
      </x:c>
      <x:c r="B304" s="28" t="str">
        <x:v>NEO-MATH-Y11-06</x:v>
      </x:c>
      <x:c r="C304" s="28" t="str">
        <x:v>iGCSE Year 2</x:v>
      </x:c>
      <x:c r="D304" s="28" t="str">
        <x:v>Year 11</x:v>
      </x:c>
      <x:c r="E304" s="28" t="str">
        <x:v>Spatial Reasoning</x:v>
      </x:c>
      <x:c r="F304" s="28" t="str">
        <x:v>Trigonometry and 3D Measures</x:v>
      </x:c>
      <x:c r="G304" s="28" t="str">
        <x:v>Apply trig/Pythagoras in 2D/3D</x:v>
      </x:c>
      <x:c r="H304" s="28" t="str">
        <x:v>Movement</x:v>
      </x:c>
      <x:c r="I304" s="28" t="str">
        <x:v>Reflection, Creativity</x:v>
      </x:c>
      <x:c r="J304" s="28" t="str">
        <x:v>Live, Asynchronous, Independent</x:v>
      </x:c>
      <x:c r="K304" s="28" t="str">
        <x:v>Explanation; interactive choices; Scratchpad working; portfolio evidence</x:v>
      </x:c>
      <x:c r="L304" s="28" t="str">
        <x:v>Year 10 trig and 3D solids</x:v>
      </x:c>
      <x:c r="M304" s="36" t="str">
        <x:v>Capstone synthesis</x:v>
      </x:c>
    </x:row>
    <x:row r="305" ht="54" customHeight="1">
      <x:c r="A305" s="35" t="str">
        <x:v>NEO-MATH-Y11-06-GEO-02</x:v>
      </x:c>
      <x:c r="B305" s="28" t="str">
        <x:v>NEO-MATH-Y11-06</x:v>
      </x:c>
      <x:c r="C305" s="28" t="str">
        <x:v>iGCSE Year 2</x:v>
      </x:c>
      <x:c r="D305" s="28" t="str">
        <x:v>Year 11</x:v>
      </x:c>
      <x:c r="E305" s="28" t="str">
        <x:v>Spatial Reasoning</x:v>
      </x:c>
      <x:c r="F305" s="28" t="str">
        <x:v>Trigonometry and 3D Measures</x:v>
      </x:c>
      <x:c r="G305" s="28" t="str">
        <x:v>Choose trig rules at tier</x:v>
      </x:c>
      <x:c r="H305" s="28" t="str">
        <x:v>Movement</x:v>
      </x:c>
      <x:c r="I305" s="28" t="str">
        <x:v>Reflection, Creativity</x:v>
      </x:c>
      <x:c r="J305" s="28" t="str">
        <x:v>Live, Asynchronous, Independent</x:v>
      </x:c>
      <x:c r="K305" s="28" t="str">
        <x:v>Explanation; interactive choices; Scratchpad working; portfolio evidence</x:v>
      </x:c>
      <x:c r="L305" s="28" t="str">
        <x:v>Year 10 trig and 3D solids</x:v>
      </x:c>
      <x:c r="M305" s="36" t="str">
        <x:v>Capstone synthesis</x:v>
      </x:c>
    </x:row>
    <x:row r="306" ht="54" customHeight="1">
      <x:c r="A306" s="35" t="str">
        <x:v>NEO-MATH-Y11-06-GEO-03</x:v>
      </x:c>
      <x:c r="B306" s="28" t="str">
        <x:v>NEO-MATH-Y11-06</x:v>
      </x:c>
      <x:c r="C306" s="28" t="str">
        <x:v>iGCSE Year 2</x:v>
      </x:c>
      <x:c r="D306" s="28" t="str">
        <x:v>Year 11</x:v>
      </x:c>
      <x:c r="E306" s="28" t="str">
        <x:v>Spatial Reasoning</x:v>
      </x:c>
      <x:c r="F306" s="28" t="str">
        <x:v>Trigonometry and 3D Measures</x:v>
      </x:c>
      <x:c r="G306" s="28" t="str">
        <x:v>Calculate arcs/sectors</x:v>
      </x:c>
      <x:c r="H306" s="28" t="str">
        <x:v>Movement</x:v>
      </x:c>
      <x:c r="I306" s="28" t="str">
        <x:v>Reflection, Creativity</x:v>
      </x:c>
      <x:c r="J306" s="28" t="str">
        <x:v>Live, Asynchronous, Independent</x:v>
      </x:c>
      <x:c r="K306" s="28" t="str">
        <x:v>Explanation; interactive choices; Scratchpad working; portfolio evidence</x:v>
      </x:c>
      <x:c r="L306" s="28" t="str">
        <x:v>Year 10 trig and 3D solids</x:v>
      </x:c>
      <x:c r="M306" s="36" t="str">
        <x:v>Capstone synthesis</x:v>
      </x:c>
    </x:row>
    <x:row r="307" ht="54" customHeight="1">
      <x:c r="A307" s="35" t="str">
        <x:v>NEO-MATH-Y11-06-GEO-04</x:v>
      </x:c>
      <x:c r="B307" s="28" t="str">
        <x:v>NEO-MATH-Y11-06</x:v>
      </x:c>
      <x:c r="C307" s="28" t="str">
        <x:v>iGCSE Year 2</x:v>
      </x:c>
      <x:c r="D307" s="28" t="str">
        <x:v>Year 11</x:v>
      </x:c>
      <x:c r="E307" s="28" t="str">
        <x:v>Spatial Reasoning</x:v>
      </x:c>
      <x:c r="F307" s="28" t="str">
        <x:v>Trigonometry and 3D Measures</x:v>
      </x:c>
      <x:c r="G307" s="28" t="str">
        <x:v>Solve surface area/volume problems</x:v>
      </x:c>
      <x:c r="H307" s="28" t="str">
        <x:v>Movement</x:v>
      </x:c>
      <x:c r="I307" s="28" t="str">
        <x:v>Reflection, Creativity</x:v>
      </x:c>
      <x:c r="J307" s="28" t="str">
        <x:v>Live, Asynchronous, Independent</x:v>
      </x:c>
      <x:c r="K307" s="28" t="str">
        <x:v>Explanation; interactive choices; Scratchpad working; portfolio evidence</x:v>
      </x:c>
      <x:c r="L307" s="28" t="str">
        <x:v>Year 10 trig and 3D solids</x:v>
      </x:c>
      <x:c r="M307" s="36" t="str">
        <x:v>Capstone synthesis</x:v>
      </x:c>
    </x:row>
    <x:row r="308" ht="54" customHeight="1">
      <x:c r="A308" s="35" t="str">
        <x:v>NEO-MATH-Y11-06-GEO-05</x:v>
      </x:c>
      <x:c r="B308" s="28" t="str">
        <x:v>NEO-MATH-Y11-06</x:v>
      </x:c>
      <x:c r="C308" s="28" t="str">
        <x:v>iGCSE Year 2</x:v>
      </x:c>
      <x:c r="D308" s="28" t="str">
        <x:v>Year 11</x:v>
      </x:c>
      <x:c r="E308" s="28" t="str">
        <x:v>Spatial Reasoning</x:v>
      </x:c>
      <x:c r="F308" s="28" t="str">
        <x:v>Trigonometry and 3D Measures</x:v>
      </x:c>
      <x:c r="G308" s="28" t="str">
        <x:v>Use bearings</x:v>
      </x:c>
      <x:c r="H308" s="28" t="str">
        <x:v>Movement</x:v>
      </x:c>
      <x:c r="I308" s="28" t="str">
        <x:v>Reflection, Creativity</x:v>
      </x:c>
      <x:c r="J308" s="28" t="str">
        <x:v>Live, Asynchronous, Independent</x:v>
      </x:c>
      <x:c r="K308" s="28" t="str">
        <x:v>Explanation; interactive choices; Scratchpad working; portfolio evidence</x:v>
      </x:c>
      <x:c r="L308" s="28" t="str">
        <x:v>Year 10 trig and 3D solids</x:v>
      </x:c>
      <x:c r="M308" s="36" t="str">
        <x:v>Capstone synthesis</x:v>
      </x:c>
    </x:row>
    <x:row r="309" ht="54" customHeight="1">
      <x:c r="A309" s="35" t="str">
        <x:v>NEO-MATH-Y11-06-GEO-06</x:v>
      </x:c>
      <x:c r="B309" s="28" t="str">
        <x:v>NEO-MATH-Y11-06</x:v>
      </x:c>
      <x:c r="C309" s="28" t="str">
        <x:v>iGCSE Year 2</x:v>
      </x:c>
      <x:c r="D309" s="28" t="str">
        <x:v>Year 11</x:v>
      </x:c>
      <x:c r="E309" s="28" t="str">
        <x:v>Spatial Reasoning</x:v>
      </x:c>
      <x:c r="F309" s="28" t="str">
        <x:v>Trigonometry and 3D Measures</x:v>
      </x:c>
      <x:c r="G309" s="28" t="str">
        <x:v>Justify precision</x:v>
      </x:c>
      <x:c r="H309" s="28" t="str">
        <x:v>Movement</x:v>
      </x:c>
      <x:c r="I309" s="28" t="str">
        <x:v>Reflection, Creativity</x:v>
      </x:c>
      <x:c r="J309" s="28" t="str">
        <x:v>Live, Asynchronous, Independent</x:v>
      </x:c>
      <x:c r="K309" s="28" t="str">
        <x:v>Explanation; interactive choices; Scratchpad working; portfolio evidence</x:v>
      </x:c>
      <x:c r="L309" s="28" t="str">
        <x:v>Year 10 trig and 3D solids</x:v>
      </x:c>
      <x:c r="M309" s="36" t="str">
        <x:v>Capstone synthesis</x:v>
      </x:c>
    </x:row>
    <x:row r="310" ht="54" customHeight="1">
      <x:c r="A310" s="35" t="str">
        <x:v>NEO-MATH-Y11-07-DAT-01</x:v>
      </x:c>
      <x:c r="B310" s="28" t="str">
        <x:v>NEO-MATH-Y11-07</x:v>
      </x:c>
      <x:c r="C310" s="28" t="str">
        <x:v>iGCSE Year 2</x:v>
      </x:c>
      <x:c r="D310" s="28" t="str">
        <x:v>Year 11</x:v>
      </x:c>
      <x:c r="E310" s="28" t="str">
        <x:v>Data &amp; Uncertainty</x:v>
      </x:c>
      <x:c r="F310" s="28" t="str">
        <x:v>Histograms, Cumulative Frequency and Comparing Distributions</x:v>
      </x:c>
      <x:c r="G310" s="28" t="str">
        <x:v>Interpret/construct histograms at tier</x:v>
      </x:c>
      <x:c r="H310" s="28" t="str">
        <x:v>Reflection</x:v>
      </x:c>
      <x:c r="I310" s="28" t="str">
        <x:v>Connection, Creativity</x:v>
      </x:c>
      <x:c r="J310" s="28" t="str">
        <x:v>Live, Asynchronous, Independent</x:v>
      </x:c>
      <x:c r="K310" s="28" t="str">
        <x:v>Explanation; interactive choices; Scratchpad working; portfolio evidence</x:v>
      </x:c>
      <x:c r="L310" s="28" t="str">
        <x:v>Grouped data</x:v>
      </x:c>
      <x:c r="M310" s="36" t="str">
        <x:v>Statistical decision making</x:v>
      </x:c>
    </x:row>
    <x:row r="311" ht="54" customHeight="1">
      <x:c r="A311" s="35" t="str">
        <x:v>NEO-MATH-Y11-07-DAT-02</x:v>
      </x:c>
      <x:c r="B311" s="28" t="str">
        <x:v>NEO-MATH-Y11-07</x:v>
      </x:c>
      <x:c r="C311" s="28" t="str">
        <x:v>iGCSE Year 2</x:v>
      </x:c>
      <x:c r="D311" s="28" t="str">
        <x:v>Year 11</x:v>
      </x:c>
      <x:c r="E311" s="28" t="str">
        <x:v>Data &amp; Uncertainty</x:v>
      </x:c>
      <x:c r="F311" s="28" t="str">
        <x:v>Histograms, Cumulative Frequency and Comparing Distributions</x:v>
      </x:c>
      <x:c r="G311" s="28" t="str">
        <x:v>Use frequency density</x:v>
      </x:c>
      <x:c r="H311" s="28" t="str">
        <x:v>Reflection</x:v>
      </x:c>
      <x:c r="I311" s="28" t="str">
        <x:v>Connection, Creativity</x:v>
      </x:c>
      <x:c r="J311" s="28" t="str">
        <x:v>Live, Asynchronous, Independent</x:v>
      </x:c>
      <x:c r="K311" s="28" t="str">
        <x:v>Explanation; interactive choices; Scratchpad working; portfolio evidence</x:v>
      </x:c>
      <x:c r="L311" s="28" t="str">
        <x:v>Grouped data</x:v>
      </x:c>
      <x:c r="M311" s="36" t="str">
        <x:v>Statistical decision making</x:v>
      </x:c>
    </x:row>
    <x:row r="312" ht="54" customHeight="1">
      <x:c r="A312" s="35" t="str">
        <x:v>NEO-MATH-Y11-07-DAT-03</x:v>
      </x:c>
      <x:c r="B312" s="28" t="str">
        <x:v>NEO-MATH-Y11-07</x:v>
      </x:c>
      <x:c r="C312" s="28" t="str">
        <x:v>iGCSE Year 2</x:v>
      </x:c>
      <x:c r="D312" s="28" t="str">
        <x:v>Year 11</x:v>
      </x:c>
      <x:c r="E312" s="28" t="str">
        <x:v>Data &amp; Uncertainty</x:v>
      </x:c>
      <x:c r="F312" s="28" t="str">
        <x:v>Histograms, Cumulative Frequency and Comparing Distributions</x:v>
      </x:c>
      <x:c r="G312" s="28" t="str">
        <x:v>Use cumulative frequency/box plots at tier</x:v>
      </x:c>
      <x:c r="H312" s="28" t="str">
        <x:v>Reflection</x:v>
      </x:c>
      <x:c r="I312" s="28" t="str">
        <x:v>Connection, Creativity</x:v>
      </x:c>
      <x:c r="J312" s="28" t="str">
        <x:v>Live, Asynchronous, Independent</x:v>
      </x:c>
      <x:c r="K312" s="28" t="str">
        <x:v>Explanation; interactive choices; Scratchpad working; portfolio evidence</x:v>
      </x:c>
      <x:c r="L312" s="28" t="str">
        <x:v>Grouped data</x:v>
      </x:c>
      <x:c r="M312" s="36" t="str">
        <x:v>Statistical decision making</x:v>
      </x:c>
    </x:row>
    <x:row r="313" ht="54" customHeight="1">
      <x:c r="A313" s="35" t="str">
        <x:v>NEO-MATH-Y11-07-DAT-04</x:v>
      </x:c>
      <x:c r="B313" s="28" t="str">
        <x:v>NEO-MATH-Y11-07</x:v>
      </x:c>
      <x:c r="C313" s="28" t="str">
        <x:v>iGCSE Year 2</x:v>
      </x:c>
      <x:c r="D313" s="28" t="str">
        <x:v>Year 11</x:v>
      </x:c>
      <x:c r="E313" s="28" t="str">
        <x:v>Data &amp; Uncertainty</x:v>
      </x:c>
      <x:c r="F313" s="28" t="str">
        <x:v>Histograms, Cumulative Frequency and Comparing Distributions</x:v>
      </x:c>
      <x:c r="G313" s="28" t="str">
        <x:v>Compare distributions</x:v>
      </x:c>
      <x:c r="H313" s="28" t="str">
        <x:v>Reflection</x:v>
      </x:c>
      <x:c r="I313" s="28" t="str">
        <x:v>Connection, Creativity</x:v>
      </x:c>
      <x:c r="J313" s="28" t="str">
        <x:v>Live, Asynchronous, Independent</x:v>
      </x:c>
      <x:c r="K313" s="28" t="str">
        <x:v>Explanation; interactive choices; Scratchpad working; portfolio evidence</x:v>
      </x:c>
      <x:c r="L313" s="28" t="str">
        <x:v>Grouped data</x:v>
      </x:c>
      <x:c r="M313" s="36" t="str">
        <x:v>Statistical decision making</x:v>
      </x:c>
    </x:row>
    <x:row r="314" ht="54" customHeight="1">
      <x:c r="A314" s="35" t="str">
        <x:v>NEO-MATH-Y11-07-DAT-05</x:v>
      </x:c>
      <x:c r="B314" s="28" t="str">
        <x:v>NEO-MATH-Y11-07</x:v>
      </x:c>
      <x:c r="C314" s="28" t="str">
        <x:v>iGCSE Year 2</x:v>
      </x:c>
      <x:c r="D314" s="28" t="str">
        <x:v>Year 11</x:v>
      </x:c>
      <x:c r="E314" s="28" t="str">
        <x:v>Data &amp; Uncertainty</x:v>
      </x:c>
      <x:c r="F314" s="28" t="str">
        <x:v>Histograms, Cumulative Frequency and Comparing Distributions</x:v>
      </x:c>
      <x:c r="G314" s="28" t="str">
        <x:v>Justify statistical conclusions</x:v>
      </x:c>
      <x:c r="H314" s="28" t="str">
        <x:v>Reflection</x:v>
      </x:c>
      <x:c r="I314" s="28" t="str">
        <x:v>Connection, Creativity</x:v>
      </x:c>
      <x:c r="J314" s="28" t="str">
        <x:v>Live, Asynchronous, Independent</x:v>
      </x:c>
      <x:c r="K314" s="28" t="str">
        <x:v>Explanation; interactive choices; Scratchpad working; portfolio evidence</x:v>
      </x:c>
      <x:c r="L314" s="28" t="str">
        <x:v>Grouped data</x:v>
      </x:c>
      <x:c r="M314" s="36" t="str">
        <x:v>Statistical decision making</x:v>
      </x:c>
    </x:row>
    <x:row r="315" ht="54" customHeight="1">
      <x:c r="A315" s="35" t="str">
        <x:v>NEO-MATH-Y11-08-DAT-01</x:v>
      </x:c>
      <x:c r="B315" s="28" t="str">
        <x:v>NEO-MATH-Y11-08</x:v>
      </x:c>
      <x:c r="C315" s="28" t="str">
        <x:v>iGCSE Year 2</x:v>
      </x:c>
      <x:c r="D315" s="28" t="str">
        <x:v>Year 11</x:v>
      </x:c>
      <x:c r="E315" s="28" t="str">
        <x:v>Data &amp; Uncertainty</x:v>
      </x:c>
      <x:c r="F315" s="28" t="str">
        <x:v>Conditional Probability and Decision-Making</x:v>
      </x:c>
      <x:c r="G315" s="28" t="str">
        <x:v>Use Venn/tree diagrams</x:v>
      </x:c>
      <x:c r="H315" s="28" t="str">
        <x:v>Reflection</x:v>
      </x:c>
      <x:c r="I315" s="28" t="str">
        <x:v>Connection, Movement</x:v>
      </x:c>
      <x:c r="J315" s="28" t="str">
        <x:v>Live, Asynchronous, Independent</x:v>
      </x:c>
      <x:c r="K315" s="28" t="str">
        <x:v>Explanation; interactive choices; Scratchpad working; portfolio evidence</x:v>
      </x:c>
      <x:c r="L315" s="28" t="str">
        <x:v>Year 9 probability trees</x:v>
      </x:c>
      <x:c r="M315" s="36" t="str">
        <x:v>Capstone and exam problem solving</x:v>
      </x:c>
    </x:row>
    <x:row r="316" ht="54" customHeight="1">
      <x:c r="A316" s="35" t="str">
        <x:v>NEO-MATH-Y11-08-DAT-02</x:v>
      </x:c>
      <x:c r="B316" s="28" t="str">
        <x:v>NEO-MATH-Y11-08</x:v>
      </x:c>
      <x:c r="C316" s="28" t="str">
        <x:v>iGCSE Year 2</x:v>
      </x:c>
      <x:c r="D316" s="28" t="str">
        <x:v>Year 11</x:v>
      </x:c>
      <x:c r="E316" s="28" t="str">
        <x:v>Data &amp; Uncertainty</x:v>
      </x:c>
      <x:c r="F316" s="28" t="str">
        <x:v>Conditional Probability and Decision-Making</x:v>
      </x:c>
      <x:c r="G316" s="28" t="str">
        <x:v>Calculate combined events</x:v>
      </x:c>
      <x:c r="H316" s="28" t="str">
        <x:v>Reflection</x:v>
      </x:c>
      <x:c r="I316" s="28" t="str">
        <x:v>Connection, Movement</x:v>
      </x:c>
      <x:c r="J316" s="28" t="str">
        <x:v>Live, Asynchronous, Independent</x:v>
      </x:c>
      <x:c r="K316" s="28" t="str">
        <x:v>Explanation; interactive choices; Scratchpad working; portfolio evidence</x:v>
      </x:c>
      <x:c r="L316" s="28" t="str">
        <x:v>Year 9 probability trees</x:v>
      </x:c>
      <x:c r="M316" s="36" t="str">
        <x:v>Capstone and exam problem solving</x:v>
      </x:c>
    </x:row>
    <x:row r="317" ht="54" customHeight="1">
      <x:c r="A317" s="35" t="str">
        <x:v>NEO-MATH-Y11-08-DAT-03</x:v>
      </x:c>
      <x:c r="B317" s="28" t="str">
        <x:v>NEO-MATH-Y11-08</x:v>
      </x:c>
      <x:c r="C317" s="28" t="str">
        <x:v>iGCSE Year 2</x:v>
      </x:c>
      <x:c r="D317" s="28" t="str">
        <x:v>Year 11</x:v>
      </x:c>
      <x:c r="E317" s="28" t="str">
        <x:v>Data &amp; Uncertainty</x:v>
      </x:c>
      <x:c r="F317" s="28" t="str">
        <x:v>Conditional Probability and Decision-Making</x:v>
      </x:c>
      <x:c r="G317" s="28" t="str">
        <x:v>Update dependent probabilities</x:v>
      </x:c>
      <x:c r="H317" s="28" t="str">
        <x:v>Reflection</x:v>
      </x:c>
      <x:c r="I317" s="28" t="str">
        <x:v>Connection, Movement</x:v>
      </x:c>
      <x:c r="J317" s="28" t="str">
        <x:v>Live, Asynchronous, Independent</x:v>
      </x:c>
      <x:c r="K317" s="28" t="str">
        <x:v>Explanation; interactive choices; Scratchpad working; portfolio evidence</x:v>
      </x:c>
      <x:c r="L317" s="28" t="str">
        <x:v>Year 9 probability trees</x:v>
      </x:c>
      <x:c r="M317" s="36" t="str">
        <x:v>Capstone and exam problem solving</x:v>
      </x:c>
    </x:row>
    <x:row r="318" ht="54" customHeight="1">
      <x:c r="A318" s="35" t="str">
        <x:v>NEO-MATH-Y11-08-DAT-04</x:v>
      </x:c>
      <x:c r="B318" s="28" t="str">
        <x:v>NEO-MATH-Y11-08</x:v>
      </x:c>
      <x:c r="C318" s="28" t="str">
        <x:v>iGCSE Year 2</x:v>
      </x:c>
      <x:c r="D318" s="28" t="str">
        <x:v>Year 11</x:v>
      </x:c>
      <x:c r="E318" s="28" t="str">
        <x:v>Data &amp; Uncertainty</x:v>
      </x:c>
      <x:c r="F318" s="28" t="str">
        <x:v>Conditional Probability and Decision-Making</x:v>
      </x:c>
      <x:c r="G318" s="28" t="str">
        <x:v>Use expected frequency</x:v>
      </x:c>
      <x:c r="H318" s="28" t="str">
        <x:v>Reflection</x:v>
      </x:c>
      <x:c r="I318" s="28" t="str">
        <x:v>Connection, Movement</x:v>
      </x:c>
      <x:c r="J318" s="28" t="str">
        <x:v>Live, Asynchronous, Independent</x:v>
      </x:c>
      <x:c r="K318" s="28" t="str">
        <x:v>Explanation; interactive choices; Scratchpad working; portfolio evidence</x:v>
      </x:c>
      <x:c r="L318" s="28" t="str">
        <x:v>Year 9 probability trees</x:v>
      </x:c>
      <x:c r="M318" s="36" t="str">
        <x:v>Capstone and exam problem solving</x:v>
      </x:c>
    </x:row>
    <x:row r="319" ht="54" customHeight="1">
      <x:c r="A319" s="35" t="str">
        <x:v>NEO-MATH-Y11-08-DAT-05</x:v>
      </x:c>
      <x:c r="B319" s="28" t="str">
        <x:v>NEO-MATH-Y11-08</x:v>
      </x:c>
      <x:c r="C319" s="28" t="str">
        <x:v>iGCSE Year 2</x:v>
      </x:c>
      <x:c r="D319" s="28" t="str">
        <x:v>Year 11</x:v>
      </x:c>
      <x:c r="E319" s="28" t="str">
        <x:v>Data &amp; Uncertainty</x:v>
      </x:c>
      <x:c r="F319" s="28" t="str">
        <x:v>Conditional Probability and Decision-Making</x:v>
      </x:c>
      <x:c r="G319" s="28" t="str">
        <x:v>Interpret conditional information at tier</x:v>
      </x:c>
      <x:c r="H319" s="28" t="str">
        <x:v>Reflection</x:v>
      </x:c>
      <x:c r="I319" s="28" t="str">
        <x:v>Connection, Movement</x:v>
      </x:c>
      <x:c r="J319" s="28" t="str">
        <x:v>Live, Asynchronous, Independent</x:v>
      </x:c>
      <x:c r="K319" s="28" t="str">
        <x:v>Explanation; interactive choices; Scratchpad working; portfolio evidence</x:v>
      </x:c>
      <x:c r="L319" s="28" t="str">
        <x:v>Year 9 probability trees</x:v>
      </x:c>
      <x:c r="M319" s="36" t="str">
        <x:v>Capstone and exam problem solving</x:v>
      </x:c>
    </x:row>
    <x:row r="320" ht="54" customHeight="1">
      <x:c r="A320" s="35" t="str">
        <x:v>NEO-MATH-Y11-08-DAT-06</x:v>
      </x:c>
      <x:c r="B320" s="28" t="str">
        <x:v>NEO-MATH-Y11-08</x:v>
      </x:c>
      <x:c r="C320" s="28" t="str">
        <x:v>iGCSE Year 2</x:v>
      </x:c>
      <x:c r="D320" s="28" t="str">
        <x:v>Year 11</x:v>
      </x:c>
      <x:c r="E320" s="28" t="str">
        <x:v>Data &amp; Uncertainty</x:v>
      </x:c>
      <x:c r="F320" s="28" t="str">
        <x:v>Conditional Probability and Decision-Making</x:v>
      </x:c>
      <x:c r="G320" s="28" t="str">
        <x:v>Communicate risk</x:v>
      </x:c>
      <x:c r="H320" s="28" t="str">
        <x:v>Reflection</x:v>
      </x:c>
      <x:c r="I320" s="28" t="str">
        <x:v>Connection, Movement</x:v>
      </x:c>
      <x:c r="J320" s="28" t="str">
        <x:v>Live, Asynchronous, Independent</x:v>
      </x:c>
      <x:c r="K320" s="28" t="str">
        <x:v>Explanation; interactive choices; Scratchpad working; portfolio evidence</x:v>
      </x:c>
      <x:c r="L320" s="28" t="str">
        <x:v>Year 9 probability trees</x:v>
      </x:c>
      <x:c r="M320" s="36" t="str">
        <x:v>Capstone and exam problem solving</x:v>
      </x:c>
    </x:row>
    <x:row r="321" ht="54" customHeight="1">
      <x:c r="A321" s="35" t="str">
        <x:v>NEO-MATH-Y11-09-PRF-01</x:v>
      </x:c>
      <x:c r="B321" s="28" t="str">
        <x:v>NEO-MATH-Y11-09</x:v>
      </x:c>
      <x:c r="C321" s="28" t="str">
        <x:v>iGCSE Year 2</x:v>
      </x:c>
      <x:c r="D321" s="28" t="str">
        <x:v>Year 11</x:v>
      </x:c>
      <x:c r="E321" s="28" t="str">
        <x:v>Proof &amp; Communication</x:v>
      </x:c>
      <x:c r="F321" s="28" t="str">
        <x:v>Exam Problems as Translation</x:v>
      </x:c>
      <x:c r="G321" s="28" t="str">
        <x:v>Interpret command words</x:v>
      </x:c>
      <x:c r="H321" s="28" t="str">
        <x:v>Reflection</x:v>
      </x:c>
      <x:c r="I321" s="28" t="str">
        <x:v>Rest, Connection</x:v>
      </x:c>
      <x:c r="J321" s="28" t="str">
        <x:v>Live, Asynchronous, Independent</x:v>
      </x:c>
      <x:c r="K321" s="28" t="str">
        <x:v>Explanation; interactive choices; Scratchpad working; portfolio evidence</x:v>
      </x:c>
      <x:c r="L321" s="28" t="str">
        <x:v>All iGCSE content</x:v>
      </x:c>
      <x:c r="M321" s="36" t="str">
        <x:v>Final capstone and assessment</x:v>
      </x:c>
    </x:row>
    <x:row r="322" ht="54" customHeight="1">
      <x:c r="A322" s="35" t="str">
        <x:v>NEO-MATH-Y11-09-PRF-02</x:v>
      </x:c>
      <x:c r="B322" s="28" t="str">
        <x:v>NEO-MATH-Y11-09</x:v>
      </x:c>
      <x:c r="C322" s="28" t="str">
        <x:v>iGCSE Year 2</x:v>
      </x:c>
      <x:c r="D322" s="28" t="str">
        <x:v>Year 11</x:v>
      </x:c>
      <x:c r="E322" s="28" t="str">
        <x:v>Proof &amp; Communication</x:v>
      </x:c>
      <x:c r="F322" s="28" t="str">
        <x:v>Exam Problems as Translation</x:v>
      </x:c>
      <x:c r="G322" s="28" t="str">
        <x:v>Identify hidden topics</x:v>
      </x:c>
      <x:c r="H322" s="28" t="str">
        <x:v>Reflection</x:v>
      </x:c>
      <x:c r="I322" s="28" t="str">
        <x:v>Rest, Connection</x:v>
      </x:c>
      <x:c r="J322" s="28" t="str">
        <x:v>Live, Asynchronous, Independent</x:v>
      </x:c>
      <x:c r="K322" s="28" t="str">
        <x:v>Explanation; interactive choices; Scratchpad working; portfolio evidence</x:v>
      </x:c>
      <x:c r="L322" s="28" t="str">
        <x:v>All iGCSE content</x:v>
      </x:c>
      <x:c r="M322" s="36" t="str">
        <x:v>Final capstone and assessment</x:v>
      </x:c>
    </x:row>
    <x:row r="323" ht="54" customHeight="1">
      <x:c r="A323" s="35" t="str">
        <x:v>NEO-MATH-Y11-09-PRF-03</x:v>
      </x:c>
      <x:c r="B323" s="28" t="str">
        <x:v>NEO-MATH-Y11-09</x:v>
      </x:c>
      <x:c r="C323" s="28" t="str">
        <x:v>iGCSE Year 2</x:v>
      </x:c>
      <x:c r="D323" s="28" t="str">
        <x:v>Year 11</x:v>
      </x:c>
      <x:c r="E323" s="28" t="str">
        <x:v>Proof &amp; Communication</x:v>
      </x:c>
      <x:c r="F323" s="28" t="str">
        <x:v>Exam Problems as Translation</x:v>
      </x:c>
      <x:c r="G323" s="28" t="str">
        <x:v>Select strategy</x:v>
      </x:c>
      <x:c r="H323" s="28" t="str">
        <x:v>Reflection</x:v>
      </x:c>
      <x:c r="I323" s="28" t="str">
        <x:v>Rest, Connection</x:v>
      </x:c>
      <x:c r="J323" s="28" t="str">
        <x:v>Live, Asynchronous, Independent</x:v>
      </x:c>
      <x:c r="K323" s="28" t="str">
        <x:v>Explanation; interactive choices; Scratchpad working; portfolio evidence</x:v>
      </x:c>
      <x:c r="L323" s="28" t="str">
        <x:v>All iGCSE content</x:v>
      </x:c>
      <x:c r="M323" s="36" t="str">
        <x:v>Final capstone and assessment</x:v>
      </x:c>
    </x:row>
    <x:row r="324" ht="54" customHeight="1">
      <x:c r="A324" s="35" t="str">
        <x:v>NEO-MATH-Y11-09-PRF-04</x:v>
      </x:c>
      <x:c r="B324" s="28" t="str">
        <x:v>NEO-MATH-Y11-09</x:v>
      </x:c>
      <x:c r="C324" s="28" t="str">
        <x:v>iGCSE Year 2</x:v>
      </x:c>
      <x:c r="D324" s="28" t="str">
        <x:v>Year 11</x:v>
      </x:c>
      <x:c r="E324" s="28" t="str">
        <x:v>Proof &amp; Communication</x:v>
      </x:c>
      <x:c r="F324" s="28" t="str">
        <x:v>Exam Problems as Translation</x:v>
      </x:c>
      <x:c r="G324" s="28" t="str">
        <x:v>Reason deductively</x:v>
      </x:c>
      <x:c r="H324" s="28" t="str">
        <x:v>Reflection</x:v>
      </x:c>
      <x:c r="I324" s="28" t="str">
        <x:v>Rest, Connection</x:v>
      </x:c>
      <x:c r="J324" s="28" t="str">
        <x:v>Live, Asynchronous, Independent</x:v>
      </x:c>
      <x:c r="K324" s="28" t="str">
        <x:v>Explanation; interactive choices; Scratchpad working; portfolio evidence</x:v>
      </x:c>
      <x:c r="L324" s="28" t="str">
        <x:v>All iGCSE content</x:v>
      </x:c>
      <x:c r="M324" s="36" t="str">
        <x:v>Final capstone and assessment</x:v>
      </x:c>
    </x:row>
    <x:row r="325" ht="54" customHeight="1">
      <x:c r="A325" s="35" t="str">
        <x:v>NEO-MATH-Y11-09-PRF-05</x:v>
      </x:c>
      <x:c r="B325" s="28" t="str">
        <x:v>NEO-MATH-Y11-09</x:v>
      </x:c>
      <x:c r="C325" s="28" t="str">
        <x:v>iGCSE Year 2</x:v>
      </x:c>
      <x:c r="D325" s="28" t="str">
        <x:v>Year 11</x:v>
      </x:c>
      <x:c r="E325" s="28" t="str">
        <x:v>Proof &amp; Communication</x:v>
      </x:c>
      <x:c r="F325" s="28" t="str">
        <x:v>Exam Problems as Translation</x:v>
      </x:c>
      <x:c r="G325" s="28" t="str">
        <x:v>Show enough working</x:v>
      </x:c>
      <x:c r="H325" s="28" t="str">
        <x:v>Reflection</x:v>
      </x:c>
      <x:c r="I325" s="28" t="str">
        <x:v>Rest, Connection</x:v>
      </x:c>
      <x:c r="J325" s="28" t="str">
        <x:v>Live, Asynchronous, Independent</x:v>
      </x:c>
      <x:c r="K325" s="28" t="str">
        <x:v>Explanation; interactive choices; Scratchpad working; portfolio evidence</x:v>
      </x:c>
      <x:c r="L325" s="28" t="str">
        <x:v>All iGCSE content</x:v>
      </x:c>
      <x:c r="M325" s="36" t="str">
        <x:v>Final capstone and assessment</x:v>
      </x:c>
    </x:row>
    <x:row r="326" ht="54" customHeight="1">
      <x:c r="A326" s="35" t="str">
        <x:v>NEO-MATH-Y11-09-PRF-06</x:v>
      </x:c>
      <x:c r="B326" s="28" t="str">
        <x:v>NEO-MATH-Y11-09</x:v>
      </x:c>
      <x:c r="C326" s="28" t="str">
        <x:v>iGCSE Year 2</x:v>
      </x:c>
      <x:c r="D326" s="28" t="str">
        <x:v>Year 11</x:v>
      </x:c>
      <x:c r="E326" s="28" t="str">
        <x:v>Proof &amp; Communication</x:v>
      </x:c>
      <x:c r="F326" s="28" t="str">
        <x:v>Exam Problems as Translation</x:v>
      </x:c>
      <x:c r="G326" s="28" t="str">
        <x:v>Check units/accuracy</x:v>
      </x:c>
      <x:c r="H326" s="28" t="str">
        <x:v>Reflection</x:v>
      </x:c>
      <x:c r="I326" s="28" t="str">
        <x:v>Rest, Connection</x:v>
      </x:c>
      <x:c r="J326" s="28" t="str">
        <x:v>Live, Asynchronous, Independent</x:v>
      </x:c>
      <x:c r="K326" s="28" t="str">
        <x:v>Explanation; interactive choices; Scratchpad working; portfolio evidence</x:v>
      </x:c>
      <x:c r="L326" s="28" t="str">
        <x:v>All iGCSE content</x:v>
      </x:c>
      <x:c r="M326" s="36" t="str">
        <x:v>Final capstone and assessment</x:v>
      </x:c>
    </x:row>
    <x:row r="327" ht="54" customHeight="1">
      <x:c r="A327" s="35" t="str">
        <x:v>NEO-MATH-Y11-09-PRF-07</x:v>
      </x:c>
      <x:c r="B327" s="28" t="str">
        <x:v>NEO-MATH-Y11-09</x:v>
      </x:c>
      <x:c r="C327" s="28" t="str">
        <x:v>iGCSE Year 2</x:v>
      </x:c>
      <x:c r="D327" s="28" t="str">
        <x:v>Year 11</x:v>
      </x:c>
      <x:c r="E327" s="28" t="str">
        <x:v>Proof &amp; Communication</x:v>
      </x:c>
      <x:c r="F327" s="28" t="str">
        <x:v>Exam Problems as Translation</x:v>
      </x:c>
      <x:c r="G327" s="28" t="str">
        <x:v>Recover after a stuck moment</x:v>
      </x:c>
      <x:c r="H327" s="28" t="str">
        <x:v>Reflection</x:v>
      </x:c>
      <x:c r="I327" s="28" t="str">
        <x:v>Rest, Connection</x:v>
      </x:c>
      <x:c r="J327" s="28" t="str">
        <x:v>Live, Asynchronous, Independent</x:v>
      </x:c>
      <x:c r="K327" s="28" t="str">
        <x:v>Explanation; interactive choices; Scratchpad working; portfolio evidence</x:v>
      </x:c>
      <x:c r="L327" s="28" t="str">
        <x:v>All iGCSE content</x:v>
      </x:c>
      <x:c r="M327" s="36" t="str">
        <x:v>Final capstone and assessment</x:v>
      </x:c>
    </x:row>
    <x:row r="328" ht="54" customHeight="1">
      <x:c r="A328" s="35" t="str">
        <x:v>NEO-MATH-Y11-10-MOD-01</x:v>
      </x:c>
      <x:c r="B328" s="28" t="str">
        <x:v>NEO-MATH-Y11-10</x:v>
      </x:c>
      <x:c r="C328" s="28" t="str">
        <x:v>iGCSE Year 2</x:v>
      </x:c>
      <x:c r="D328" s="28" t="str">
        <x:v>Year 11</x:v>
      </x:c>
      <x:c r="E328" s="28" t="str">
        <x:v>Modelling</x:v>
      </x:c>
      <x:c r="F328" s="28" t="str">
        <x:v>Mathematics Capstone: Solve, Explain, Evaluate</x:v>
      </x:c>
      <x:c r="G328" s="28" t="str">
        <x:v>Form a model</x:v>
      </x:c>
      <x:c r="H328" s="28" t="str">
        <x:v>Creativity</x:v>
      </x:c>
      <x:c r="I328" s="28" t="str">
        <x:v>Connection, Reflection</x:v>
      </x:c>
      <x:c r="J328" s="28" t="str">
        <x:v>Live, Asynchronous, Independent</x:v>
      </x:c>
      <x:c r="K328" s="28" t="str">
        <x:v>Explanation; interactive choices; Scratchpad working; portfolio evidence</x:v>
      </x:c>
      <x:c r="L328" s="28" t="str">
        <x:v>All curriculum strands</x:v>
      </x:c>
      <x:c r="M328" s="36" t="str">
        <x:v>Portable portfolio / post-16 progression</x:v>
      </x:c>
    </x:row>
    <x:row r="329" ht="54" customHeight="1">
      <x:c r="A329" s="35" t="str">
        <x:v>NEO-MATH-Y11-10-MOD-02</x:v>
      </x:c>
      <x:c r="B329" s="28" t="str">
        <x:v>NEO-MATH-Y11-10</x:v>
      </x:c>
      <x:c r="C329" s="28" t="str">
        <x:v>iGCSE Year 2</x:v>
      </x:c>
      <x:c r="D329" s="28" t="str">
        <x:v>Year 11</x:v>
      </x:c>
      <x:c r="E329" s="28" t="str">
        <x:v>Modelling</x:v>
      </x:c>
      <x:c r="F329" s="28" t="str">
        <x:v>Mathematics Capstone: Solve, Explain, Evaluate</x:v>
      </x:c>
      <x:c r="G329" s="28" t="str">
        <x:v>Combine multiple domains</x:v>
      </x:c>
      <x:c r="H329" s="28" t="str">
        <x:v>Creativity</x:v>
      </x:c>
      <x:c r="I329" s="28" t="str">
        <x:v>Connection, Reflection</x:v>
      </x:c>
      <x:c r="J329" s="28" t="str">
        <x:v>Live, Asynchronous, Independent</x:v>
      </x:c>
      <x:c r="K329" s="28" t="str">
        <x:v>Explanation; interactive choices; Scratchpad working; portfolio evidence</x:v>
      </x:c>
      <x:c r="L329" s="28" t="str">
        <x:v>All curriculum strands</x:v>
      </x:c>
      <x:c r="M329" s="36" t="str">
        <x:v>Portable portfolio / post-16 progression</x:v>
      </x:c>
    </x:row>
    <x:row r="330" ht="54" customHeight="1">
      <x:c r="A330" s="35" t="str">
        <x:v>NEO-MATH-Y11-10-MOD-03</x:v>
      </x:c>
      <x:c r="B330" s="28" t="str">
        <x:v>NEO-MATH-Y11-10</x:v>
      </x:c>
      <x:c r="C330" s="28" t="str">
        <x:v>iGCSE Year 2</x:v>
      </x:c>
      <x:c r="D330" s="28" t="str">
        <x:v>Year 11</x:v>
      </x:c>
      <x:c r="E330" s="28" t="str">
        <x:v>Modelling</x:v>
      </x:c>
      <x:c r="F330" s="28" t="str">
        <x:v>Mathematics Capstone: Solve, Explain, Evaluate</x:v>
      </x:c>
      <x:c r="G330" s="28" t="str">
        <x:v>Make assumptions</x:v>
      </x:c>
      <x:c r="H330" s="28" t="str">
        <x:v>Creativity</x:v>
      </x:c>
      <x:c r="I330" s="28" t="str">
        <x:v>Connection, Reflection</x:v>
      </x:c>
      <x:c r="J330" s="28" t="str">
        <x:v>Live, Asynchronous, Independent</x:v>
      </x:c>
      <x:c r="K330" s="28" t="str">
        <x:v>Explanation; interactive choices; Scratchpad working; portfolio evidence</x:v>
      </x:c>
      <x:c r="L330" s="28" t="str">
        <x:v>All curriculum strands</x:v>
      </x:c>
      <x:c r="M330" s="36" t="str">
        <x:v>Portable portfolio / post-16 progression</x:v>
      </x:c>
    </x:row>
    <x:row r="331" ht="54" customHeight="1">
      <x:c r="A331" s="35" t="str">
        <x:v>NEO-MATH-Y11-10-MOD-04</x:v>
      </x:c>
      <x:c r="B331" s="28" t="str">
        <x:v>NEO-MATH-Y11-10</x:v>
      </x:c>
      <x:c r="C331" s="28" t="str">
        <x:v>iGCSE Year 2</x:v>
      </x:c>
      <x:c r="D331" s="28" t="str">
        <x:v>Year 11</x:v>
      </x:c>
      <x:c r="E331" s="28" t="str">
        <x:v>Modelling</x:v>
      </x:c>
      <x:c r="F331" s="28" t="str">
        <x:v>Mathematics Capstone: Solve, Explain, Evaluate</x:v>
      </x:c>
      <x:c r="G331" s="28" t="str">
        <x:v>Calculate accurately</x:v>
      </x:c>
      <x:c r="H331" s="28" t="str">
        <x:v>Creativity</x:v>
      </x:c>
      <x:c r="I331" s="28" t="str">
        <x:v>Connection, Reflection</x:v>
      </x:c>
      <x:c r="J331" s="28" t="str">
        <x:v>Live, Asynchronous, Independent</x:v>
      </x:c>
      <x:c r="K331" s="28" t="str">
        <x:v>Explanation; interactive choices; Scratchpad working; portfolio evidence</x:v>
      </x:c>
      <x:c r="L331" s="28" t="str">
        <x:v>All curriculum strands</x:v>
      </x:c>
      <x:c r="M331" s="36" t="str">
        <x:v>Portable portfolio / post-16 progression</x:v>
      </x:c>
    </x:row>
    <x:row r="332" ht="54" customHeight="1">
      <x:c r="A332" s="35" t="str">
        <x:v>NEO-MATH-Y11-10-MOD-05</x:v>
      </x:c>
      <x:c r="B332" s="28" t="str">
        <x:v>NEO-MATH-Y11-10</x:v>
      </x:c>
      <x:c r="C332" s="28" t="str">
        <x:v>iGCSE Year 2</x:v>
      </x:c>
      <x:c r="D332" s="28" t="str">
        <x:v>Year 11</x:v>
      </x:c>
      <x:c r="E332" s="28" t="str">
        <x:v>Modelling</x:v>
      </x:c>
      <x:c r="F332" s="28" t="str">
        <x:v>Mathematics Capstone: Solve, Explain, Evaluate</x:v>
      </x:c>
      <x:c r="G332" s="28" t="str">
        <x:v>Interpret results</x:v>
      </x:c>
      <x:c r="H332" s="28" t="str">
        <x:v>Creativity</x:v>
      </x:c>
      <x:c r="I332" s="28" t="str">
        <x:v>Connection, Reflection</x:v>
      </x:c>
      <x:c r="J332" s="28" t="str">
        <x:v>Live, Asynchronous, Independent</x:v>
      </x:c>
      <x:c r="K332" s="28" t="str">
        <x:v>Explanation; interactive choices; Scratchpad working; portfolio evidence</x:v>
      </x:c>
      <x:c r="L332" s="28" t="str">
        <x:v>All curriculum strands</x:v>
      </x:c>
      <x:c r="M332" s="36" t="str">
        <x:v>Portable portfolio / post-16 progression</x:v>
      </x:c>
    </x:row>
    <x:row r="333" ht="54" customHeight="1">
      <x:c r="A333" s="35" t="str">
        <x:v>NEO-MATH-Y11-10-MOD-06</x:v>
      </x:c>
      <x:c r="B333" s="28" t="str">
        <x:v>NEO-MATH-Y11-10</x:v>
      </x:c>
      <x:c r="C333" s="28" t="str">
        <x:v>iGCSE Year 2</x:v>
      </x:c>
      <x:c r="D333" s="28" t="str">
        <x:v>Year 11</x:v>
      </x:c>
      <x:c r="E333" s="28" t="str">
        <x:v>Modelling</x:v>
      </x:c>
      <x:c r="F333" s="28" t="str">
        <x:v>Mathematics Capstone: Solve, Explain, Evaluate</x:v>
      </x:c>
      <x:c r="G333" s="28" t="str">
        <x:v>Evaluate limitations</x:v>
      </x:c>
      <x:c r="H333" s="28" t="str">
        <x:v>Creativity</x:v>
      </x:c>
      <x:c r="I333" s="28" t="str">
        <x:v>Connection, Reflection</x:v>
      </x:c>
      <x:c r="J333" s="28" t="str">
        <x:v>Live, Asynchronous, Independent</x:v>
      </x:c>
      <x:c r="K333" s="28" t="str">
        <x:v>Explanation; interactive choices; Scratchpad working; portfolio evidence</x:v>
      </x:c>
      <x:c r="L333" s="28" t="str">
        <x:v>All curriculum strands</x:v>
      </x:c>
      <x:c r="M333" s="36" t="str">
        <x:v>Portable portfolio / post-16 progression</x:v>
      </x:c>
    </x:row>
    <x:row r="334" ht="54" customHeight="1">
      <x:c r="A334" s="35" t="str">
        <x:v>NEO-MATH-Y11-10-MOD-07</x:v>
      </x:c>
      <x:c r="B334" s="28" t="str">
        <x:v>NEO-MATH-Y11-10</x:v>
      </x:c>
      <x:c r="C334" s="28" t="str">
        <x:v>iGCSE Year 2</x:v>
      </x:c>
      <x:c r="D334" s="28" t="str">
        <x:v>Year 11</x:v>
      </x:c>
      <x:c r="E334" s="28" t="str">
        <x:v>Modelling</x:v>
      </x:c>
      <x:c r="F334" s="28" t="str">
        <x:v>Mathematics Capstone: Solve, Explain, Evaluate</x:v>
      </x:c>
      <x:c r="G334" s="28" t="str">
        <x:v>Communicate and revise</x:v>
      </x:c>
      <x:c r="H334" s="28" t="str">
        <x:v>Creativity</x:v>
      </x:c>
      <x:c r="I334" s="28" t="str">
        <x:v>Connection, Reflection</x:v>
      </x:c>
      <x:c r="J334" s="28" t="str">
        <x:v>Live, Asynchronous, Independent</x:v>
      </x:c>
      <x:c r="K334" s="28" t="str">
        <x:v>Explanation; interactive choices; Scratchpad working; portfolio evidence</x:v>
      </x:c>
      <x:c r="L334" s="28" t="str">
        <x:v>All curriculum strands</x:v>
      </x:c>
      <x:c r="M334" s="36" t="str">
        <x:v>Portable portfolio / post-16 progression</x:v>
      </x:c>
    </x:row>
    <x:row r="335" ht="54" customHeight="1">
      <x:c r="A335" s="35" t="str">
        <x:v>NEO-MATH-FS-01-NUM-01</x:v>
      </x:c>
      <x:c r="B335" s="28" t="str">
        <x:v>NEO-MATH-FS-01</x:v>
      </x:c>
      <x:c r="C335" s="28" t="str">
        <x:v>Functional &amp; Applied Mathematics</x:v>
      </x:c>
      <x:c r="D335" s="28" t="str">
        <x:v>FS L1/L2 flexible</x:v>
      </x:c>
      <x:c r="E335" s="28" t="str">
        <x:v>Number Sense</x:v>
      </x:c>
      <x:c r="F335" s="28" t="str">
        <x:v>Everyday Number and Estimation</x:v>
      </x:c>
      <x:c r="G335" s="28" t="str">
        <x:v>Read/order numbers</x:v>
      </x:c>
      <x:c r="H335" s="28" t="str">
        <x:v>Reflection</x:v>
      </x:c>
      <x:c r="I335" s="28" t="str">
        <x:v>Rest, Connection</x:v>
      </x:c>
      <x:c r="J335" s="28" t="str">
        <x:v>Live, Asynchronous, Independent</x:v>
      </x:c>
      <x:c r="K335" s="28" t="str">
        <x:v>Explanation; interactive choices; Scratchpad working; portfolio evidence</x:v>
      </x:c>
      <x:c r="L335" s="28" t="str">
        <x:v>Discovery number confidence</x:v>
      </x:c>
      <x:c r="M335" s="36" t="str">
        <x:v>Money and percentages</x:v>
      </x:c>
    </x:row>
    <x:row r="336" ht="54" customHeight="1">
      <x:c r="A336" s="35" t="str">
        <x:v>NEO-MATH-FS-01-NUM-02</x:v>
      </x:c>
      <x:c r="B336" s="28" t="str">
        <x:v>NEO-MATH-FS-01</x:v>
      </x:c>
      <x:c r="C336" s="28" t="str">
        <x:v>Functional &amp; Applied Mathematics</x:v>
      </x:c>
      <x:c r="D336" s="28" t="str">
        <x:v>FS L1/L2 flexible</x:v>
      </x:c>
      <x:c r="E336" s="28" t="str">
        <x:v>Number Sense</x:v>
      </x:c>
      <x:c r="F336" s="28" t="str">
        <x:v>Everyday Number and Estimation</x:v>
      </x:c>
      <x:c r="G336" s="28" t="str">
        <x:v>Calculate with whole numbers/decimals</x:v>
      </x:c>
      <x:c r="H336" s="28" t="str">
        <x:v>Reflection</x:v>
      </x:c>
      <x:c r="I336" s="28" t="str">
        <x:v>Rest, Connection</x:v>
      </x:c>
      <x:c r="J336" s="28" t="str">
        <x:v>Live, Asynchronous, Independent</x:v>
      </x:c>
      <x:c r="K336" s="28" t="str">
        <x:v>Explanation; interactive choices; Scratchpad working; portfolio evidence</x:v>
      </x:c>
      <x:c r="L336" s="28" t="str">
        <x:v>Discovery number confidence</x:v>
      </x:c>
      <x:c r="M336" s="36" t="str">
        <x:v>Money and percentages</x:v>
      </x:c>
    </x:row>
    <x:row r="337" ht="54" customHeight="1">
      <x:c r="A337" s="35" t="str">
        <x:v>NEO-MATH-FS-01-NUM-03</x:v>
      </x:c>
      <x:c r="B337" s="28" t="str">
        <x:v>NEO-MATH-FS-01</x:v>
      </x:c>
      <x:c r="C337" s="28" t="str">
        <x:v>Functional &amp; Applied Mathematics</x:v>
      </x:c>
      <x:c r="D337" s="28" t="str">
        <x:v>FS L1/L2 flexible</x:v>
      </x:c>
      <x:c r="E337" s="28" t="str">
        <x:v>Number Sense</x:v>
      </x:c>
      <x:c r="F337" s="28" t="str">
        <x:v>Everyday Number and Estimation</x:v>
      </x:c>
      <x:c r="G337" s="28" t="str">
        <x:v>Use negatives</x:v>
      </x:c>
      <x:c r="H337" s="28" t="str">
        <x:v>Reflection</x:v>
      </x:c>
      <x:c r="I337" s="28" t="str">
        <x:v>Rest, Connection</x:v>
      </x:c>
      <x:c r="J337" s="28" t="str">
        <x:v>Live, Asynchronous, Independent</x:v>
      </x:c>
      <x:c r="K337" s="28" t="str">
        <x:v>Explanation; interactive choices; Scratchpad working; portfolio evidence</x:v>
      </x:c>
      <x:c r="L337" s="28" t="str">
        <x:v>Discovery number confidence</x:v>
      </x:c>
      <x:c r="M337" s="36" t="str">
        <x:v>Money and percentages</x:v>
      </x:c>
    </x:row>
    <x:row r="338" ht="54" customHeight="1">
      <x:c r="A338" s="35" t="str">
        <x:v>NEO-MATH-FS-01-NUM-04</x:v>
      </x:c>
      <x:c r="B338" s="28" t="str">
        <x:v>NEO-MATH-FS-01</x:v>
      </x:c>
      <x:c r="C338" s="28" t="str">
        <x:v>Functional &amp; Applied Mathematics</x:v>
      </x:c>
      <x:c r="D338" s="28" t="str">
        <x:v>FS L1/L2 flexible</x:v>
      </x:c>
      <x:c r="E338" s="28" t="str">
        <x:v>Number Sense</x:v>
      </x:c>
      <x:c r="F338" s="28" t="str">
        <x:v>Everyday Number and Estimation</x:v>
      </x:c>
      <x:c r="G338" s="28" t="str">
        <x:v>Estimate</x:v>
      </x:c>
      <x:c r="H338" s="28" t="str">
        <x:v>Reflection</x:v>
      </x:c>
      <x:c r="I338" s="28" t="str">
        <x:v>Rest, Connection</x:v>
      </x:c>
      <x:c r="J338" s="28" t="str">
        <x:v>Live, Asynchronous, Independent</x:v>
      </x:c>
      <x:c r="K338" s="28" t="str">
        <x:v>Explanation; interactive choices; Scratchpad working; portfolio evidence</x:v>
      </x:c>
      <x:c r="L338" s="28" t="str">
        <x:v>Discovery number confidence</x:v>
      </x:c>
      <x:c r="M338" s="36" t="str">
        <x:v>Money and percentages</x:v>
      </x:c>
    </x:row>
    <x:row r="339" ht="54" customHeight="1">
      <x:c r="A339" s="35" t="str">
        <x:v>NEO-MATH-FS-01-NUM-05</x:v>
      </x:c>
      <x:c r="B339" s="28" t="str">
        <x:v>NEO-MATH-FS-01</x:v>
      </x:c>
      <x:c r="C339" s="28" t="str">
        <x:v>Functional &amp; Applied Mathematics</x:v>
      </x:c>
      <x:c r="D339" s="28" t="str">
        <x:v>FS L1/L2 flexible</x:v>
      </x:c>
      <x:c r="E339" s="28" t="str">
        <x:v>Number Sense</x:v>
      </x:c>
      <x:c r="F339" s="28" t="str">
        <x:v>Everyday Number and Estimation</x:v>
      </x:c>
      <x:c r="G339" s="28" t="str">
        <x:v>Round</x:v>
      </x:c>
      <x:c r="H339" s="28" t="str">
        <x:v>Reflection</x:v>
      </x:c>
      <x:c r="I339" s="28" t="str">
        <x:v>Rest, Connection</x:v>
      </x:c>
      <x:c r="J339" s="28" t="str">
        <x:v>Live, Asynchronous, Independent</x:v>
      </x:c>
      <x:c r="K339" s="28" t="str">
        <x:v>Explanation; interactive choices; Scratchpad working; portfolio evidence</x:v>
      </x:c>
      <x:c r="L339" s="28" t="str">
        <x:v>Discovery number confidence</x:v>
      </x:c>
      <x:c r="M339" s="36" t="str">
        <x:v>Money and percentages</x:v>
      </x:c>
    </x:row>
    <x:row r="340" ht="54" customHeight="1">
      <x:c r="A340" s="35" t="str">
        <x:v>NEO-MATH-FS-01-NUM-06</x:v>
      </x:c>
      <x:c r="B340" s="28" t="str">
        <x:v>NEO-MATH-FS-01</x:v>
      </x:c>
      <x:c r="C340" s="28" t="str">
        <x:v>Functional &amp; Applied Mathematics</x:v>
      </x:c>
      <x:c r="D340" s="28" t="str">
        <x:v>FS L1/L2 flexible</x:v>
      </x:c>
      <x:c r="E340" s="28" t="str">
        <x:v>Number Sense</x:v>
      </x:c>
      <x:c r="F340" s="28" t="str">
        <x:v>Everyday Number and Estimation</x:v>
      </x:c>
      <x:c r="G340" s="28" t="str">
        <x:v>Check answers</x:v>
      </x:c>
      <x:c r="H340" s="28" t="str">
        <x:v>Reflection</x:v>
      </x:c>
      <x:c r="I340" s="28" t="str">
        <x:v>Rest, Connection</x:v>
      </x:c>
      <x:c r="J340" s="28" t="str">
        <x:v>Live, Asynchronous, Independent</x:v>
      </x:c>
      <x:c r="K340" s="28" t="str">
        <x:v>Explanation; interactive choices; Scratchpad working; portfolio evidence</x:v>
      </x:c>
      <x:c r="L340" s="28" t="str">
        <x:v>Discovery number confidence</x:v>
      </x:c>
      <x:c r="M340" s="36" t="str">
        <x:v>Money and percentages</x:v>
      </x:c>
    </x:row>
    <x:row r="341" ht="54" customHeight="1">
      <x:c r="A341" s="35" t="str">
        <x:v>NEO-MATH-FS-01-NUM-07</x:v>
      </x:c>
      <x:c r="B341" s="28" t="str">
        <x:v>NEO-MATH-FS-01</x:v>
      </x:c>
      <x:c r="C341" s="28" t="str">
        <x:v>Functional &amp; Applied Mathematics</x:v>
      </x:c>
      <x:c r="D341" s="28" t="str">
        <x:v>FS L1/L2 flexible</x:v>
      </x:c>
      <x:c r="E341" s="28" t="str">
        <x:v>Number Sense</x:v>
      </x:c>
      <x:c r="F341" s="28" t="str">
        <x:v>Everyday Number and Estimation</x:v>
      </x:c>
      <x:c r="G341" s="28" t="str">
        <x:v>Choose calculator or non-calculator routes</x:v>
      </x:c>
      <x:c r="H341" s="28" t="str">
        <x:v>Reflection</x:v>
      </x:c>
      <x:c r="I341" s="28" t="str">
        <x:v>Rest, Connection</x:v>
      </x:c>
      <x:c r="J341" s="28" t="str">
        <x:v>Live, Asynchronous, Independent</x:v>
      </x:c>
      <x:c r="K341" s="28" t="str">
        <x:v>Explanation; interactive choices; Scratchpad working; portfolio evidence</x:v>
      </x:c>
      <x:c r="L341" s="28" t="str">
        <x:v>Discovery number confidence</x:v>
      </x:c>
      <x:c r="M341" s="36" t="str">
        <x:v>Money and percentages</x:v>
      </x:c>
    </x:row>
    <x:row r="342" ht="54" customHeight="1">
      <x:c r="A342" s="35" t="str">
        <x:v>NEO-MATH-FS-02-APP-01</x:v>
      </x:c>
      <x:c r="B342" s="28" t="str">
        <x:v>NEO-MATH-FS-02</x:v>
      </x:c>
      <x:c r="C342" s="28" t="str">
        <x:v>Functional &amp; Applied Mathematics</x:v>
      </x:c>
      <x:c r="D342" s="28" t="str">
        <x:v>FS L1/L2 flexible</x:v>
      </x:c>
      <x:c r="E342" s="28" t="str">
        <x:v>Financial &amp; Applied Reasoning</x:v>
      </x:c>
      <x:c r="F342" s="28" t="str">
        <x:v>Money, Discounts and Budget Choices</x:v>
      </x:c>
      <x:c r="G342" s="28" t="str">
        <x:v>Calculate money</x:v>
      </x:c>
      <x:c r="H342" s="28" t="str">
        <x:v>Connection</x:v>
      </x:c>
      <x:c r="I342" s="28" t="str">
        <x:v>Reflection, Nutrition contextual</x:v>
      </x:c>
      <x:c r="J342" s="28" t="str">
        <x:v>Live, Asynchronous, Independent</x:v>
      </x:c>
      <x:c r="K342" s="28" t="str">
        <x:v>Explanation; interactive choices; Scratchpad working; portfolio evidence</x:v>
      </x:c>
      <x:c r="L342" s="28" t="str">
        <x:v>Everyday number</x:v>
      </x:c>
      <x:c r="M342" s="36" t="str">
        <x:v>Rates of pay and best value</x:v>
      </x:c>
    </x:row>
    <x:row r="343" ht="54" customHeight="1">
      <x:c r="A343" s="35" t="str">
        <x:v>NEO-MATH-FS-02-APP-02</x:v>
      </x:c>
      <x:c r="B343" s="28" t="str">
        <x:v>NEO-MATH-FS-02</x:v>
      </x:c>
      <x:c r="C343" s="28" t="str">
        <x:v>Functional &amp; Applied Mathematics</x:v>
      </x:c>
      <x:c r="D343" s="28" t="str">
        <x:v>FS L1/L2 flexible</x:v>
      </x:c>
      <x:c r="E343" s="28" t="str">
        <x:v>Financial &amp; Applied Reasoning</x:v>
      </x:c>
      <x:c r="F343" s="28" t="str">
        <x:v>Money, Discounts and Budget Choices</x:v>
      </x:c>
      <x:c r="G343" s="28" t="str">
        <x:v>Use percentages</x:v>
      </x:c>
      <x:c r="H343" s="28" t="str">
        <x:v>Connection</x:v>
      </x:c>
      <x:c r="I343" s="28" t="str">
        <x:v>Reflection, Nutrition contextual</x:v>
      </x:c>
      <x:c r="J343" s="28" t="str">
        <x:v>Live, Asynchronous, Independent</x:v>
      </x:c>
      <x:c r="K343" s="28" t="str">
        <x:v>Explanation; interactive choices; Scratchpad working; portfolio evidence</x:v>
      </x:c>
      <x:c r="L343" s="28" t="str">
        <x:v>Everyday number</x:v>
      </x:c>
      <x:c r="M343" s="36" t="str">
        <x:v>Rates of pay and best value</x:v>
      </x:c>
    </x:row>
    <x:row r="344" ht="54" customHeight="1">
      <x:c r="A344" s="35" t="str">
        <x:v>NEO-MATH-FS-02-APP-03</x:v>
      </x:c>
      <x:c r="B344" s="28" t="str">
        <x:v>NEO-MATH-FS-02</x:v>
      </x:c>
      <x:c r="C344" s="28" t="str">
        <x:v>Functional &amp; Applied Mathematics</x:v>
      </x:c>
      <x:c r="D344" s="28" t="str">
        <x:v>FS L1/L2 flexible</x:v>
      </x:c>
      <x:c r="E344" s="28" t="str">
        <x:v>Financial &amp; Applied Reasoning</x:v>
      </x:c>
      <x:c r="F344" s="28" t="str">
        <x:v>Money, Discounts and Budget Choices</x:v>
      </x:c>
      <x:c r="G344" s="28" t="str">
        <x:v>Discounts</x:v>
      </x:c>
      <x:c r="H344" s="28" t="str">
        <x:v>Connection</x:v>
      </x:c>
      <x:c r="I344" s="28" t="str">
        <x:v>Reflection, Nutrition contextual</x:v>
      </x:c>
      <x:c r="J344" s="28" t="str">
        <x:v>Live, Asynchronous, Independent</x:v>
      </x:c>
      <x:c r="K344" s="28" t="str">
        <x:v>Explanation; interactive choices; Scratchpad working; portfolio evidence</x:v>
      </x:c>
      <x:c r="L344" s="28" t="str">
        <x:v>Everyday number</x:v>
      </x:c>
      <x:c r="M344" s="36" t="str">
        <x:v>Rates of pay and best value</x:v>
      </x:c>
    </x:row>
    <x:row r="345" ht="54" customHeight="1">
      <x:c r="A345" s="35" t="str">
        <x:v>NEO-MATH-FS-02-APP-04</x:v>
      </x:c>
      <x:c r="B345" s="28" t="str">
        <x:v>NEO-MATH-FS-02</x:v>
      </x:c>
      <x:c r="C345" s="28" t="str">
        <x:v>Functional &amp; Applied Mathematics</x:v>
      </x:c>
      <x:c r="D345" s="28" t="str">
        <x:v>FS L1/L2 flexible</x:v>
      </x:c>
      <x:c r="E345" s="28" t="str">
        <x:v>Financial &amp; Applied Reasoning</x:v>
      </x:c>
      <x:c r="F345" s="28" t="str">
        <x:v>Money, Discounts and Budget Choices</x:v>
      </x:c>
      <x:c r="G345" s="28" t="str">
        <x:v>Simple/compound interest by level</x:v>
      </x:c>
      <x:c r="H345" s="28" t="str">
        <x:v>Connection</x:v>
      </x:c>
      <x:c r="I345" s="28" t="str">
        <x:v>Reflection, Nutrition contextual</x:v>
      </x:c>
      <x:c r="J345" s="28" t="str">
        <x:v>Live, Asynchronous, Independent</x:v>
      </x:c>
      <x:c r="K345" s="28" t="str">
        <x:v>Explanation; interactive choices; Scratchpad working; portfolio evidence</x:v>
      </x:c>
      <x:c r="L345" s="28" t="str">
        <x:v>Everyday number</x:v>
      </x:c>
      <x:c r="M345" s="36" t="str">
        <x:v>Rates of pay and best value</x:v>
      </x:c>
    </x:row>
    <x:row r="346" ht="54" customHeight="1">
      <x:c r="A346" s="35" t="str">
        <x:v>NEO-MATH-FS-02-APP-05</x:v>
      </x:c>
      <x:c r="B346" s="28" t="str">
        <x:v>NEO-MATH-FS-02</x:v>
      </x:c>
      <x:c r="C346" s="28" t="str">
        <x:v>Functional &amp; Applied Mathematics</x:v>
      </x:c>
      <x:c r="D346" s="28" t="str">
        <x:v>FS L1/L2 flexible</x:v>
      </x:c>
      <x:c r="E346" s="28" t="str">
        <x:v>Financial &amp; Applied Reasoning</x:v>
      </x:c>
      <x:c r="F346" s="28" t="str">
        <x:v>Money, Discounts and Budget Choices</x:v>
      </x:c>
      <x:c r="G346" s="28" t="str">
        <x:v>Tax/budgeting</x:v>
      </x:c>
      <x:c r="H346" s="28" t="str">
        <x:v>Connection</x:v>
      </x:c>
      <x:c r="I346" s="28" t="str">
        <x:v>Reflection, Nutrition contextual</x:v>
      </x:c>
      <x:c r="J346" s="28" t="str">
        <x:v>Live, Asynchronous, Independent</x:v>
      </x:c>
      <x:c r="K346" s="28" t="str">
        <x:v>Explanation; interactive choices; Scratchpad working; portfolio evidence</x:v>
      </x:c>
      <x:c r="L346" s="28" t="str">
        <x:v>Everyday number</x:v>
      </x:c>
      <x:c r="M346" s="36" t="str">
        <x:v>Rates of pay and best value</x:v>
      </x:c>
    </x:row>
    <x:row r="347" ht="54" customHeight="1">
      <x:c r="A347" s="35" t="str">
        <x:v>NEO-MATH-FS-02-APP-06</x:v>
      </x:c>
      <x:c r="B347" s="28" t="str">
        <x:v>NEO-MATH-FS-02</x:v>
      </x:c>
      <x:c r="C347" s="28" t="str">
        <x:v>Functional &amp; Applied Mathematics</x:v>
      </x:c>
      <x:c r="D347" s="28" t="str">
        <x:v>FS L1/L2 flexible</x:v>
      </x:c>
      <x:c r="E347" s="28" t="str">
        <x:v>Financial &amp; Applied Reasoning</x:v>
      </x:c>
      <x:c r="F347" s="28" t="str">
        <x:v>Money, Discounts and Budget Choices</x:v>
      </x:c>
      <x:c r="G347" s="28" t="str">
        <x:v>Compare options</x:v>
      </x:c>
      <x:c r="H347" s="28" t="str">
        <x:v>Connection</x:v>
      </x:c>
      <x:c r="I347" s="28" t="str">
        <x:v>Reflection, Nutrition contextual</x:v>
      </x:c>
      <x:c r="J347" s="28" t="str">
        <x:v>Live, Asynchronous, Independent</x:v>
      </x:c>
      <x:c r="K347" s="28" t="str">
        <x:v>Explanation; interactive choices; Scratchpad working; portfolio evidence</x:v>
      </x:c>
      <x:c r="L347" s="28" t="str">
        <x:v>Everyday number</x:v>
      </x:c>
      <x:c r="M347" s="36" t="str">
        <x:v>Rates of pay and best value</x:v>
      </x:c>
    </x:row>
    <x:row r="348" ht="54" customHeight="1">
      <x:c r="A348" s="35" t="str">
        <x:v>NEO-MATH-FS-02-APP-07</x:v>
      </x:c>
      <x:c r="B348" s="28" t="str">
        <x:v>NEO-MATH-FS-02</x:v>
      </x:c>
      <x:c r="C348" s="28" t="str">
        <x:v>Functional &amp; Applied Mathematics</x:v>
      </x:c>
      <x:c r="D348" s="28" t="str">
        <x:v>FS L1/L2 flexible</x:v>
      </x:c>
      <x:c r="E348" s="28" t="str">
        <x:v>Financial &amp; Applied Reasoning</x:v>
      </x:c>
      <x:c r="F348" s="28" t="str">
        <x:v>Money, Discounts and Budget Choices</x:v>
      </x:c>
      <x:c r="G348" s="28" t="str">
        <x:v>Explain a decision</x:v>
      </x:c>
      <x:c r="H348" s="28" t="str">
        <x:v>Connection</x:v>
      </x:c>
      <x:c r="I348" s="28" t="str">
        <x:v>Reflection, Nutrition contextual</x:v>
      </x:c>
      <x:c r="J348" s="28" t="str">
        <x:v>Live, Asynchronous, Independent</x:v>
      </x:c>
      <x:c r="K348" s="28" t="str">
        <x:v>Explanation; interactive choices; Scratchpad working; portfolio evidence</x:v>
      </x:c>
      <x:c r="L348" s="28" t="str">
        <x:v>Everyday number</x:v>
      </x:c>
      <x:c r="M348" s="36" t="str">
        <x:v>Rates of pay and best value</x:v>
      </x:c>
    </x:row>
    <x:row r="349" ht="54" customHeight="1">
      <x:c r="A349" s="35" t="str">
        <x:v>NEO-MATH-FS-03-PR-01</x:v>
      </x:c>
      <x:c r="B349" s="28" t="str">
        <x:v>NEO-MATH-FS-03</x:v>
      </x:c>
      <x:c r="C349" s="28" t="str">
        <x:v>Functional &amp; Applied Mathematics</x:v>
      </x:c>
      <x:c r="D349" s="28" t="str">
        <x:v>FS L1/L2 flexible</x:v>
      </x:c>
      <x:c r="E349" s="28" t="str">
        <x:v>Proportional Reasoning</x:v>
      </x:c>
      <x:c r="F349" s="28" t="str">
        <x:v>Recipes, Ratio and Direct Proportion</x:v>
      </x:c>
      <x:c r="G349" s="28" t="str">
        <x:v>Use fractions/FDP equivalence</x:v>
      </x:c>
      <x:c r="H349" s="28" t="str">
        <x:v>Connection</x:v>
      </x:c>
      <x:c r="I349" s="28" t="str">
        <x:v>Movement, Nutrition</x:v>
      </x:c>
      <x:c r="J349" s="28" t="str">
        <x:v>Live, Asynchronous, Independent</x:v>
      </x:c>
      <x:c r="K349" s="28" t="str">
        <x:v>Explanation; interactive choices; Scratchpad working; portfolio evidence</x:v>
      </x:c>
      <x:c r="L349" s="28" t="str">
        <x:v>Everyday number</x:v>
      </x:c>
      <x:c r="M349" s="36" t="str">
        <x:v>Measures and rates</x:v>
      </x:c>
    </x:row>
    <x:row r="350" ht="54" customHeight="1">
      <x:c r="A350" s="35" t="str">
        <x:v>NEO-MATH-FS-03-PR-02</x:v>
      </x:c>
      <x:c r="B350" s="28" t="str">
        <x:v>NEO-MATH-FS-03</x:v>
      </x:c>
      <x:c r="C350" s="28" t="str">
        <x:v>Functional &amp; Applied Mathematics</x:v>
      </x:c>
      <x:c r="D350" s="28" t="str">
        <x:v>FS L1/L2 flexible</x:v>
      </x:c>
      <x:c r="E350" s="28" t="str">
        <x:v>Proportional Reasoning</x:v>
      </x:c>
      <x:c r="F350" s="28" t="str">
        <x:v>Recipes, Ratio and Direct Proportion</x:v>
      </x:c>
      <x:c r="G350" s="28" t="str">
        <x:v>Use simple ratio</x:v>
      </x:c>
      <x:c r="H350" s="28" t="str">
        <x:v>Connection</x:v>
      </x:c>
      <x:c r="I350" s="28" t="str">
        <x:v>Movement, Nutrition</x:v>
      </x:c>
      <x:c r="J350" s="28" t="str">
        <x:v>Live, Asynchronous, Independent</x:v>
      </x:c>
      <x:c r="K350" s="28" t="str">
        <x:v>Explanation; interactive choices; Scratchpad working; portfolio evidence</x:v>
      </x:c>
      <x:c r="L350" s="28" t="str">
        <x:v>Everyday number</x:v>
      </x:c>
      <x:c r="M350" s="36" t="str">
        <x:v>Measures and rates</x:v>
      </x:c>
    </x:row>
    <x:row r="351" ht="54" customHeight="1">
      <x:c r="A351" s="35" t="str">
        <x:v>NEO-MATH-FS-03-PR-03</x:v>
      </x:c>
      <x:c r="B351" s="28" t="str">
        <x:v>NEO-MATH-FS-03</x:v>
      </x:c>
      <x:c r="C351" s="28" t="str">
        <x:v>Functional &amp; Applied Mathematics</x:v>
      </x:c>
      <x:c r="D351" s="28" t="str">
        <x:v>FS L1/L2 flexible</x:v>
      </x:c>
      <x:c r="E351" s="28" t="str">
        <x:v>Proportional Reasoning</x:v>
      </x:c>
      <x:c r="F351" s="28" t="str">
        <x:v>Recipes, Ratio and Direct Proportion</x:v>
      </x:c>
      <x:c r="G351" s="28" t="str">
        <x:v>Direct proportion</x:v>
      </x:c>
      <x:c r="H351" s="28" t="str">
        <x:v>Connection</x:v>
      </x:c>
      <x:c r="I351" s="28" t="str">
        <x:v>Movement, Nutrition</x:v>
      </x:c>
      <x:c r="J351" s="28" t="str">
        <x:v>Live, Asynchronous, Independent</x:v>
      </x:c>
      <x:c r="K351" s="28" t="str">
        <x:v>Explanation; interactive choices; Scratchpad working; portfolio evidence</x:v>
      </x:c>
      <x:c r="L351" s="28" t="str">
        <x:v>Everyday number</x:v>
      </x:c>
      <x:c r="M351" s="36" t="str">
        <x:v>Measures and rates</x:v>
      </x:c>
    </x:row>
    <x:row r="352" ht="54" customHeight="1">
      <x:c r="A352" s="35" t="str">
        <x:v>NEO-MATH-FS-03-PR-04</x:v>
      </x:c>
      <x:c r="B352" s="28" t="str">
        <x:v>NEO-MATH-FS-03</x:v>
      </x:c>
      <x:c r="C352" s="28" t="str">
        <x:v>Functional &amp; Applied Mathematics</x:v>
      </x:c>
      <x:c r="D352" s="28" t="str">
        <x:v>FS L1/L2 flexible</x:v>
      </x:c>
      <x:c r="E352" s="28" t="str">
        <x:v>Proportional Reasoning</x:v>
      </x:c>
      <x:c r="F352" s="28" t="str">
        <x:v>Recipes, Ratio and Direct Proportion</x:v>
      </x:c>
      <x:c r="G352" s="28" t="str">
        <x:v>Inverse proportion at Level 2</x:v>
      </x:c>
      <x:c r="H352" s="28" t="str">
        <x:v>Connection</x:v>
      </x:c>
      <x:c r="I352" s="28" t="str">
        <x:v>Movement, Nutrition</x:v>
      </x:c>
      <x:c r="J352" s="28" t="str">
        <x:v>Live, Asynchronous, Independent</x:v>
      </x:c>
      <x:c r="K352" s="28" t="str">
        <x:v>Explanation; interactive choices; Scratchpad working; portfolio evidence</x:v>
      </x:c>
      <x:c r="L352" s="28" t="str">
        <x:v>Everyday number</x:v>
      </x:c>
      <x:c r="M352" s="36" t="str">
        <x:v>Measures and rates</x:v>
      </x:c>
    </x:row>
    <x:row r="353" ht="54" customHeight="1">
      <x:c r="A353" s="35" t="str">
        <x:v>NEO-MATH-FS-03-PR-05</x:v>
      </x:c>
      <x:c r="B353" s="28" t="str">
        <x:v>NEO-MATH-FS-03</x:v>
      </x:c>
      <x:c r="C353" s="28" t="str">
        <x:v>Functional &amp; Applied Mathematics</x:v>
      </x:c>
      <x:c r="D353" s="28" t="str">
        <x:v>FS L1/L2 flexible</x:v>
      </x:c>
      <x:c r="E353" s="28" t="str">
        <x:v>Proportional Reasoning</x:v>
      </x:c>
      <x:c r="F353" s="28" t="str">
        <x:v>Recipes, Ratio and Direct Proportion</x:v>
      </x:c>
      <x:c r="G353" s="28" t="str">
        <x:v>Scale quantities</x:v>
      </x:c>
      <x:c r="H353" s="28" t="str">
        <x:v>Connection</x:v>
      </x:c>
      <x:c r="I353" s="28" t="str">
        <x:v>Movement, Nutrition</x:v>
      </x:c>
      <x:c r="J353" s="28" t="str">
        <x:v>Live, Asynchronous, Independent</x:v>
      </x:c>
      <x:c r="K353" s="28" t="str">
        <x:v>Explanation; interactive choices; Scratchpad working; portfolio evidence</x:v>
      </x:c>
      <x:c r="L353" s="28" t="str">
        <x:v>Everyday number</x:v>
      </x:c>
      <x:c r="M353" s="36" t="str">
        <x:v>Measures and rates</x:v>
      </x:c>
    </x:row>
    <x:row r="354" ht="54" customHeight="1">
      <x:c r="A354" s="35" t="str">
        <x:v>NEO-MATH-FS-03-PR-06</x:v>
      </x:c>
      <x:c r="B354" s="28" t="str">
        <x:v>NEO-MATH-FS-03</x:v>
      </x:c>
      <x:c r="C354" s="28" t="str">
        <x:v>Functional &amp; Applied Mathematics</x:v>
      </x:c>
      <x:c r="D354" s="28" t="str">
        <x:v>FS L1/L2 flexible</x:v>
      </x:c>
      <x:c r="E354" s="28" t="str">
        <x:v>Proportional Reasoning</x:v>
      </x:c>
      <x:c r="F354" s="28" t="str">
        <x:v>Recipes, Ratio and Direct Proportion</x:v>
      </x:c>
      <x:c r="G354" s="28" t="str">
        <x:v>Interpret units</x:v>
      </x:c>
      <x:c r="H354" s="28" t="str">
        <x:v>Connection</x:v>
      </x:c>
      <x:c r="I354" s="28" t="str">
        <x:v>Movement, Nutrition</x:v>
      </x:c>
      <x:c r="J354" s="28" t="str">
        <x:v>Live, Asynchronous, Independent</x:v>
      </x:c>
      <x:c r="K354" s="28" t="str">
        <x:v>Explanation; interactive choices; Scratchpad working; portfolio evidence</x:v>
      </x:c>
      <x:c r="L354" s="28" t="str">
        <x:v>Everyday number</x:v>
      </x:c>
      <x:c r="M354" s="36" t="str">
        <x:v>Measures and rates</x:v>
      </x:c>
    </x:row>
    <x:row r="355" ht="54" customHeight="1">
      <x:c r="A355" s="35" t="str">
        <x:v>NEO-MATH-FS-04-APP-01</x:v>
      </x:c>
      <x:c r="B355" s="28" t="str">
        <x:v>NEO-MATH-FS-04</x:v>
      </x:c>
      <x:c r="C355" s="28" t="str">
        <x:v>Functional &amp; Applied Mathematics</x:v>
      </x:c>
      <x:c r="D355" s="28" t="str">
        <x:v>FS L1/L2 flexible</x:v>
      </x:c>
      <x:c r="E355" s="28" t="str">
        <x:v>Financial &amp; Applied Reasoning</x:v>
      </x:c>
      <x:c r="F355" s="28" t="str">
        <x:v>Pay, Speed, Density and Real Rates</x:v>
      </x:c>
      <x:c r="G355" s="28" t="str">
        <x:v>Calculate unit rates</x:v>
      </x:c>
      <x:c r="H355" s="28" t="str">
        <x:v>Connection</x:v>
      </x:c>
      <x:c r="I355" s="28" t="str">
        <x:v>Reflection, Movement</x:v>
      </x:c>
      <x:c r="J355" s="28" t="str">
        <x:v>Live, Asynchronous, Independent</x:v>
      </x:c>
      <x:c r="K355" s="28" t="str">
        <x:v>Explanation; interactive choices; Scratchpad working; portfolio evidence</x:v>
      </x:c>
      <x:c r="L355" s="28" t="str">
        <x:v>Ratio and money</x:v>
      </x:c>
      <x:c r="M355" s="36" t="str">
        <x:v>Travel and scheduling</x:v>
      </x:c>
    </x:row>
    <x:row r="356" ht="54" customHeight="1">
      <x:c r="A356" s="35" t="str">
        <x:v>NEO-MATH-FS-04-APP-02</x:v>
      </x:c>
      <x:c r="B356" s="28" t="str">
        <x:v>NEO-MATH-FS-04</x:v>
      </x:c>
      <x:c r="C356" s="28" t="str">
        <x:v>Functional &amp; Applied Mathematics</x:v>
      </x:c>
      <x:c r="D356" s="28" t="str">
        <x:v>FS L1/L2 flexible</x:v>
      </x:c>
      <x:c r="E356" s="28" t="str">
        <x:v>Financial &amp; Applied Reasoning</x:v>
      </x:c>
      <x:c r="F356" s="28" t="str">
        <x:v>Pay, Speed, Density and Real Rates</x:v>
      </x:c>
      <x:c r="G356" s="28" t="str">
        <x:v>Rates of pay</x:v>
      </x:c>
      <x:c r="H356" s="28" t="str">
        <x:v>Connection</x:v>
      </x:c>
      <x:c r="I356" s="28" t="str">
        <x:v>Reflection, Movement</x:v>
      </x:c>
      <x:c r="J356" s="28" t="str">
        <x:v>Live, Asynchronous, Independent</x:v>
      </x:c>
      <x:c r="K356" s="28" t="str">
        <x:v>Explanation; interactive choices; Scratchpad working; portfolio evidence</x:v>
      </x:c>
      <x:c r="L356" s="28" t="str">
        <x:v>Ratio and money</x:v>
      </x:c>
      <x:c r="M356" s="36" t="str">
        <x:v>Travel and scheduling</x:v>
      </x:c>
    </x:row>
    <x:row r="357" ht="54" customHeight="1">
      <x:c r="A357" s="35" t="str">
        <x:v>NEO-MATH-FS-04-APP-03</x:v>
      </x:c>
      <x:c r="B357" s="28" t="str">
        <x:v>NEO-MATH-FS-04</x:v>
      </x:c>
      <x:c r="C357" s="28" t="str">
        <x:v>Functional &amp; Applied Mathematics</x:v>
      </x:c>
      <x:c r="D357" s="28" t="str">
        <x:v>FS L1/L2 flexible</x:v>
      </x:c>
      <x:c r="E357" s="28" t="str">
        <x:v>Financial &amp; Applied Reasoning</x:v>
      </x:c>
      <x:c r="F357" s="28" t="str">
        <x:v>Pay, Speed, Density and Real Rates</x:v>
      </x:c>
      <x:c r="G357" s="28" t="str">
        <x:v>Speed/density at Level 2</x:v>
      </x:c>
      <x:c r="H357" s="28" t="str">
        <x:v>Connection</x:v>
      </x:c>
      <x:c r="I357" s="28" t="str">
        <x:v>Reflection, Movement</x:v>
      </x:c>
      <x:c r="J357" s="28" t="str">
        <x:v>Live, Asynchronous, Independent</x:v>
      </x:c>
      <x:c r="K357" s="28" t="str">
        <x:v>Explanation; interactive choices; Scratchpad working; portfolio evidence</x:v>
      </x:c>
      <x:c r="L357" s="28" t="str">
        <x:v>Ratio and money</x:v>
      </x:c>
      <x:c r="M357" s="36" t="str">
        <x:v>Travel and scheduling</x:v>
      </x:c>
    </x:row>
    <x:row r="358" ht="54" customHeight="1">
      <x:c r="A358" s="35" t="str">
        <x:v>NEO-MATH-FS-04-APP-04</x:v>
      </x:c>
      <x:c r="B358" s="28" t="str">
        <x:v>NEO-MATH-FS-04</x:v>
      </x:c>
      <x:c r="C358" s="28" t="str">
        <x:v>Functional &amp; Applied Mathematics</x:v>
      </x:c>
      <x:c r="D358" s="28" t="str">
        <x:v>FS L1/L2 flexible</x:v>
      </x:c>
      <x:c r="E358" s="28" t="str">
        <x:v>Financial &amp; Applied Reasoning</x:v>
      </x:c>
      <x:c r="F358" s="28" t="str">
        <x:v>Pay, Speed, Density and Real Rates</x:v>
      </x:c>
      <x:c r="G358" s="28" t="str">
        <x:v>Compare offers</x:v>
      </x:c>
      <x:c r="H358" s="28" t="str">
        <x:v>Connection</x:v>
      </x:c>
      <x:c r="I358" s="28" t="str">
        <x:v>Reflection, Movement</x:v>
      </x:c>
      <x:c r="J358" s="28" t="str">
        <x:v>Live, Asynchronous, Independent</x:v>
      </x:c>
      <x:c r="K358" s="28" t="str">
        <x:v>Explanation; interactive choices; Scratchpad working; portfolio evidence</x:v>
      </x:c>
      <x:c r="L358" s="28" t="str">
        <x:v>Ratio and money</x:v>
      </x:c>
      <x:c r="M358" s="36" t="str">
        <x:v>Travel and scheduling</x:v>
      </x:c>
    </x:row>
    <x:row r="359" ht="54" customHeight="1">
      <x:c r="A359" s="35" t="str">
        <x:v>NEO-MATH-FS-04-APP-05</x:v>
      </x:c>
      <x:c r="B359" s="28" t="str">
        <x:v>NEO-MATH-FS-04</x:v>
      </x:c>
      <x:c r="C359" s="28" t="str">
        <x:v>Functional &amp; Applied Mathematics</x:v>
      </x:c>
      <x:c r="D359" s="28" t="str">
        <x:v>FS L1/L2 flexible</x:v>
      </x:c>
      <x:c r="E359" s="28" t="str">
        <x:v>Financial &amp; Applied Reasoning</x:v>
      </x:c>
      <x:c r="F359" s="28" t="str">
        <x:v>Pay, Speed, Density and Real Rates</x:v>
      </x:c>
      <x:c r="G359" s="28" t="str">
        <x:v>Convert units</x:v>
      </x:c>
      <x:c r="H359" s="28" t="str">
        <x:v>Connection</x:v>
      </x:c>
      <x:c r="I359" s="28" t="str">
        <x:v>Reflection, Movement</x:v>
      </x:c>
      <x:c r="J359" s="28" t="str">
        <x:v>Live, Asynchronous, Independent</x:v>
      </x:c>
      <x:c r="K359" s="28" t="str">
        <x:v>Explanation; interactive choices; Scratchpad working; portfolio evidence</x:v>
      </x:c>
      <x:c r="L359" s="28" t="str">
        <x:v>Ratio and money</x:v>
      </x:c>
      <x:c r="M359" s="36" t="str">
        <x:v>Travel and scheduling</x:v>
      </x:c>
    </x:row>
    <x:row r="360" ht="54" customHeight="1">
      <x:c r="A360" s="35" t="str">
        <x:v>NEO-MATH-FS-04-APP-06</x:v>
      </x:c>
      <x:c r="B360" s="28" t="str">
        <x:v>NEO-MATH-FS-04</x:v>
      </x:c>
      <x:c r="C360" s="28" t="str">
        <x:v>Functional &amp; Applied Mathematics</x:v>
      </x:c>
      <x:c r="D360" s="28" t="str">
        <x:v>FS L1/L2 flexible</x:v>
      </x:c>
      <x:c r="E360" s="28" t="str">
        <x:v>Financial &amp; Applied Reasoning</x:v>
      </x:c>
      <x:c r="F360" s="28" t="str">
        <x:v>Pay, Speed, Density and Real Rates</x:v>
      </x:c>
      <x:c r="G360" s="28" t="str">
        <x:v>Interpret compound measures</x:v>
      </x:c>
      <x:c r="H360" s="28" t="str">
        <x:v>Connection</x:v>
      </x:c>
      <x:c r="I360" s="28" t="str">
        <x:v>Reflection, Movement</x:v>
      </x:c>
      <x:c r="J360" s="28" t="str">
        <x:v>Live, Asynchronous, Independent</x:v>
      </x:c>
      <x:c r="K360" s="28" t="str">
        <x:v>Explanation; interactive choices; Scratchpad working; portfolio evidence</x:v>
      </x:c>
      <x:c r="L360" s="28" t="str">
        <x:v>Ratio and money</x:v>
      </x:c>
      <x:c r="M360" s="36" t="str">
        <x:v>Travel and scheduling</x:v>
      </x:c>
    </x:row>
    <x:row r="361" ht="54" customHeight="1">
      <x:c r="A361" s="35" t="str">
        <x:v>NEO-MATH-FS-05-GEO-01</x:v>
      </x:c>
      <x:c r="B361" s="28" t="str">
        <x:v>NEO-MATH-FS-05</x:v>
      </x:c>
      <x:c r="C361" s="28" t="str">
        <x:v>Functional &amp; Applied Mathematics</x:v>
      </x:c>
      <x:c r="D361" s="28" t="str">
        <x:v>FS L1/L2 flexible</x:v>
      </x:c>
      <x:c r="E361" s="28" t="str">
        <x:v>Spatial Reasoning</x:v>
      </x:c>
      <x:c r="F361" s="28" t="str">
        <x:v>Measure, Scale and Making Things Fit</x:v>
      </x:c>
      <x:c r="G361" s="28" t="str">
        <x:v>Convert units</x:v>
      </x:c>
      <x:c r="H361" s="28" t="str">
        <x:v>Creativity</x:v>
      </x:c>
      <x:c r="I361" s="28" t="str">
        <x:v>Movement, Reflection</x:v>
      </x:c>
      <x:c r="J361" s="28" t="str">
        <x:v>Live, Asynchronous, Independent</x:v>
      </x:c>
      <x:c r="K361" s="28" t="str">
        <x:v>Explanation; interactive choices; Scratchpad working; portfolio evidence</x:v>
      </x:c>
      <x:c r="L361" s="28" t="str">
        <x:v>Number and ratio</x:v>
      </x:c>
      <x:c r="M361" s="36" t="str">
        <x:v>Applied design project</x:v>
      </x:c>
    </x:row>
    <x:row r="362" ht="54" customHeight="1">
      <x:c r="A362" s="35" t="str">
        <x:v>NEO-MATH-FS-05-GEO-02</x:v>
      </x:c>
      <x:c r="B362" s="28" t="str">
        <x:v>NEO-MATH-FS-05</x:v>
      </x:c>
      <x:c r="C362" s="28" t="str">
        <x:v>Functional &amp; Applied Mathematics</x:v>
      </x:c>
      <x:c r="D362" s="28" t="str">
        <x:v>FS L1/L2 flexible</x:v>
      </x:c>
      <x:c r="E362" s="28" t="str">
        <x:v>Spatial Reasoning</x:v>
      </x:c>
      <x:c r="F362" s="28" t="str">
        <x:v>Measure, Scale and Making Things Fit</x:v>
      </x:c>
      <x:c r="G362" s="28" t="str">
        <x:v>Use scales/maps</x:v>
      </x:c>
      <x:c r="H362" s="28" t="str">
        <x:v>Creativity</x:v>
      </x:c>
      <x:c r="I362" s="28" t="str">
        <x:v>Movement, Reflection</x:v>
      </x:c>
      <x:c r="J362" s="28" t="str">
        <x:v>Live, Asynchronous, Independent</x:v>
      </x:c>
      <x:c r="K362" s="28" t="str">
        <x:v>Explanation; interactive choices; Scratchpad working; portfolio evidence</x:v>
      </x:c>
      <x:c r="L362" s="28" t="str">
        <x:v>Number and ratio</x:v>
      </x:c>
      <x:c r="M362" s="36" t="str">
        <x:v>Applied design project</x:v>
      </x:c>
    </x:row>
    <x:row r="363" ht="54" customHeight="1">
      <x:c r="A363" s="35" t="str">
        <x:v>NEO-MATH-FS-05-GEO-03</x:v>
      </x:c>
      <x:c r="B363" s="28" t="str">
        <x:v>NEO-MATH-FS-05</x:v>
      </x:c>
      <x:c r="C363" s="28" t="str">
        <x:v>Functional &amp; Applied Mathematics</x:v>
      </x:c>
      <x:c r="D363" s="28" t="str">
        <x:v>FS L1/L2 flexible</x:v>
      </x:c>
      <x:c r="E363" s="28" t="str">
        <x:v>Spatial Reasoning</x:v>
      </x:c>
      <x:c r="F363" s="28" t="str">
        <x:v>Measure, Scale and Making Things Fit</x:v>
      </x:c>
      <x:c r="G363" s="28" t="str">
        <x:v>Perimeter/area</x:v>
      </x:c>
      <x:c r="H363" s="28" t="str">
        <x:v>Creativity</x:v>
      </x:c>
      <x:c r="I363" s="28" t="str">
        <x:v>Movement, Reflection</x:v>
      </x:c>
      <x:c r="J363" s="28" t="str">
        <x:v>Live, Asynchronous, Independent</x:v>
      </x:c>
      <x:c r="K363" s="28" t="str">
        <x:v>Explanation; interactive choices; Scratchpad working; portfolio evidence</x:v>
      </x:c>
      <x:c r="L363" s="28" t="str">
        <x:v>Number and ratio</x:v>
      </x:c>
      <x:c r="M363" s="36" t="str">
        <x:v>Applied design project</x:v>
      </x:c>
    </x:row>
    <x:row r="364" ht="54" customHeight="1">
      <x:c r="A364" s="35" t="str">
        <x:v>NEO-MATH-FS-05-GEO-04</x:v>
      </x:c>
      <x:c r="B364" s="28" t="str">
        <x:v>NEO-MATH-FS-05</x:v>
      </x:c>
      <x:c r="C364" s="28" t="str">
        <x:v>Functional &amp; Applied Mathematics</x:v>
      </x:c>
      <x:c r="D364" s="28" t="str">
        <x:v>FS L1/L2 flexible</x:v>
      </x:c>
      <x:c r="E364" s="28" t="str">
        <x:v>Spatial Reasoning</x:v>
      </x:c>
      <x:c r="F364" s="28" t="str">
        <x:v>Measure, Scale and Making Things Fit</x:v>
      </x:c>
      <x:c r="G364" s="28" t="str">
        <x:v>Volume</x:v>
      </x:c>
      <x:c r="H364" s="28" t="str">
        <x:v>Creativity</x:v>
      </x:c>
      <x:c r="I364" s="28" t="str">
        <x:v>Movement, Reflection</x:v>
      </x:c>
      <x:c r="J364" s="28" t="str">
        <x:v>Live, Asynchronous, Independent</x:v>
      </x:c>
      <x:c r="K364" s="28" t="str">
        <x:v>Explanation; interactive choices; Scratchpad working; portfolio evidence</x:v>
      </x:c>
      <x:c r="L364" s="28" t="str">
        <x:v>Number and ratio</x:v>
      </x:c>
      <x:c r="M364" s="36" t="str">
        <x:v>Applied design project</x:v>
      </x:c>
    </x:row>
    <x:row r="365" ht="54" customHeight="1">
      <x:c r="A365" s="35" t="str">
        <x:v>NEO-MATH-FS-05-GEO-05</x:v>
      </x:c>
      <x:c r="B365" s="28" t="str">
        <x:v>NEO-MATH-FS-05</x:v>
      </x:c>
      <x:c r="C365" s="28" t="str">
        <x:v>Functional &amp; Applied Mathematics</x:v>
      </x:c>
      <x:c r="D365" s="28" t="str">
        <x:v>FS L1/L2 flexible</x:v>
      </x:c>
      <x:c r="E365" s="28" t="str">
        <x:v>Spatial Reasoning</x:v>
      </x:c>
      <x:c r="F365" s="28" t="str">
        <x:v>Measure, Scale and Making Things Fit</x:v>
      </x:c>
      <x:c r="G365" s="28" t="str">
        <x:v>Plans/elevations/nets</x:v>
      </x:c>
      <x:c r="H365" s="28" t="str">
        <x:v>Creativity</x:v>
      </x:c>
      <x:c r="I365" s="28" t="str">
        <x:v>Movement, Reflection</x:v>
      </x:c>
      <x:c r="J365" s="28" t="str">
        <x:v>Live, Asynchronous, Independent</x:v>
      </x:c>
      <x:c r="K365" s="28" t="str">
        <x:v>Explanation; interactive choices; Scratchpad working; portfolio evidence</x:v>
      </x:c>
      <x:c r="L365" s="28" t="str">
        <x:v>Number and ratio</x:v>
      </x:c>
      <x:c r="M365" s="36" t="str">
        <x:v>Applied design project</x:v>
      </x:c>
    </x:row>
    <x:row r="366" ht="54" customHeight="1">
      <x:c r="A366" s="35" t="str">
        <x:v>NEO-MATH-FS-05-GEO-06</x:v>
      </x:c>
      <x:c r="B366" s="28" t="str">
        <x:v>NEO-MATH-FS-05</x:v>
      </x:c>
      <x:c r="C366" s="28" t="str">
        <x:v>Functional &amp; Applied Mathematics</x:v>
      </x:c>
      <x:c r="D366" s="28" t="str">
        <x:v>FS L1/L2 flexible</x:v>
      </x:c>
      <x:c r="E366" s="28" t="str">
        <x:v>Spatial Reasoning</x:v>
      </x:c>
      <x:c r="F366" s="28" t="str">
        <x:v>Measure, Scale and Making Things Fit</x:v>
      </x:c>
      <x:c r="G366" s="28" t="str">
        <x:v>Angles/coordinates by level</x:v>
      </x:c>
      <x:c r="H366" s="28" t="str">
        <x:v>Creativity</x:v>
      </x:c>
      <x:c r="I366" s="28" t="str">
        <x:v>Movement, Reflection</x:v>
      </x:c>
      <x:c r="J366" s="28" t="str">
        <x:v>Live, Asynchronous, Independent</x:v>
      </x:c>
      <x:c r="K366" s="28" t="str">
        <x:v>Explanation; interactive choices; Scratchpad working; portfolio evidence</x:v>
      </x:c>
      <x:c r="L366" s="28" t="str">
        <x:v>Number and ratio</x:v>
      </x:c>
      <x:c r="M366" s="36" t="str">
        <x:v>Applied design project</x:v>
      </x:c>
    </x:row>
    <x:row r="367" ht="54" customHeight="1">
      <x:c r="A367" s="35" t="str">
        <x:v>NEO-MATH-FS-05-GEO-07</x:v>
      </x:c>
      <x:c r="B367" s="28" t="str">
        <x:v>NEO-MATH-FS-05</x:v>
      </x:c>
      <x:c r="C367" s="28" t="str">
        <x:v>Functional &amp; Applied Mathematics</x:v>
      </x:c>
      <x:c r="D367" s="28" t="str">
        <x:v>FS L1/L2 flexible</x:v>
      </x:c>
      <x:c r="E367" s="28" t="str">
        <x:v>Spatial Reasoning</x:v>
      </x:c>
      <x:c r="F367" s="28" t="str">
        <x:v>Measure, Scale and Making Things Fit</x:v>
      </x:c>
      <x:c r="G367" s="28" t="str">
        <x:v>Calculate actual dimensions</x:v>
      </x:c>
      <x:c r="H367" s="28" t="str">
        <x:v>Creativity</x:v>
      </x:c>
      <x:c r="I367" s="28" t="str">
        <x:v>Movement, Reflection</x:v>
      </x:c>
      <x:c r="J367" s="28" t="str">
        <x:v>Live, Asynchronous, Independent</x:v>
      </x:c>
      <x:c r="K367" s="28" t="str">
        <x:v>Explanation; interactive choices; Scratchpad working; portfolio evidence</x:v>
      </x:c>
      <x:c r="L367" s="28" t="str">
        <x:v>Number and ratio</x:v>
      </x:c>
      <x:c r="M367" s="36" t="str">
        <x:v>Applied design project</x:v>
      </x:c>
    </x:row>
    <x:row r="368" ht="54" customHeight="1">
      <x:c r="A368" s="35" t="str">
        <x:v>NEO-MATH-FS-06-APP-01</x:v>
      </x:c>
      <x:c r="B368" s="28" t="str">
        <x:v>NEO-MATH-FS-06</x:v>
      </x:c>
      <x:c r="C368" s="28" t="str">
        <x:v>Functional &amp; Applied Mathematics</x:v>
      </x:c>
      <x:c r="D368" s="28" t="str">
        <x:v>FS L1/L2 flexible</x:v>
      </x:c>
      <x:c r="E368" s="28" t="str">
        <x:v>Financial &amp; Applied Reasoning</x:v>
      </x:c>
      <x:c r="F368" s="28" t="str">
        <x:v>Time, Travel and Scheduling</x:v>
      </x:c>
      <x:c r="G368" s="28" t="str">
        <x:v>Calculate time intervals</x:v>
      </x:c>
      <x:c r="H368" s="28" t="str">
        <x:v>Reflection</x:v>
      </x:c>
      <x:c r="I368" s="28" t="str">
        <x:v>Movement, Connection</x:v>
      </x:c>
      <x:c r="J368" s="28" t="str">
        <x:v>Live, Asynchronous, Independent</x:v>
      </x:c>
      <x:c r="K368" s="28" t="str">
        <x:v>Explanation; interactive choices; Scratchpad working; portfolio evidence</x:v>
      </x:c>
      <x:c r="L368" s="28" t="str">
        <x:v>Rates and measure</x:v>
      </x:c>
      <x:c r="M368" s="36" t="str">
        <x:v>Multi-step decision making</x:v>
      </x:c>
    </x:row>
    <x:row r="369" ht="54" customHeight="1">
      <x:c r="A369" s="35" t="str">
        <x:v>NEO-MATH-FS-06-APP-02</x:v>
      </x:c>
      <x:c r="B369" s="28" t="str">
        <x:v>NEO-MATH-FS-06</x:v>
      </x:c>
      <x:c r="C369" s="28" t="str">
        <x:v>Functional &amp; Applied Mathematics</x:v>
      </x:c>
      <x:c r="D369" s="28" t="str">
        <x:v>FS L1/L2 flexible</x:v>
      </x:c>
      <x:c r="E369" s="28" t="str">
        <x:v>Financial &amp; Applied Reasoning</x:v>
      </x:c>
      <x:c r="F369" s="28" t="str">
        <x:v>Time, Travel and Scheduling</x:v>
      </x:c>
      <x:c r="G369" s="28" t="str">
        <x:v>Read timetables</x:v>
      </x:c>
      <x:c r="H369" s="28" t="str">
        <x:v>Reflection</x:v>
      </x:c>
      <x:c r="I369" s="28" t="str">
        <x:v>Movement, Connection</x:v>
      </x:c>
      <x:c r="J369" s="28" t="str">
        <x:v>Live, Asynchronous, Independent</x:v>
      </x:c>
      <x:c r="K369" s="28" t="str">
        <x:v>Explanation; interactive choices; Scratchpad working; portfolio evidence</x:v>
      </x:c>
      <x:c r="L369" s="28" t="str">
        <x:v>Rates and measure</x:v>
      </x:c>
      <x:c r="M369" s="36" t="str">
        <x:v>Multi-step decision making</x:v>
      </x:c>
    </x:row>
    <x:row r="370" ht="54" customHeight="1">
      <x:c r="A370" s="35" t="str">
        <x:v>NEO-MATH-FS-06-APP-03</x:v>
      </x:c>
      <x:c r="B370" s="28" t="str">
        <x:v>NEO-MATH-FS-06</x:v>
      </x:c>
      <x:c r="C370" s="28" t="str">
        <x:v>Functional &amp; Applied Mathematics</x:v>
      </x:c>
      <x:c r="D370" s="28" t="str">
        <x:v>FS L1/L2 flexible</x:v>
      </x:c>
      <x:c r="E370" s="28" t="str">
        <x:v>Financial &amp; Applied Reasoning</x:v>
      </x:c>
      <x:c r="F370" s="28" t="str">
        <x:v>Time, Travel and Scheduling</x:v>
      </x:c>
      <x:c r="G370" s="28" t="str">
        <x:v>Use speed/distance/time at Level 2</x:v>
      </x:c>
      <x:c r="H370" s="28" t="str">
        <x:v>Reflection</x:v>
      </x:c>
      <x:c r="I370" s="28" t="str">
        <x:v>Movement, Connection</x:v>
      </x:c>
      <x:c r="J370" s="28" t="str">
        <x:v>Live, Asynchronous, Independent</x:v>
      </x:c>
      <x:c r="K370" s="28" t="str">
        <x:v>Explanation; interactive choices; Scratchpad working; portfolio evidence</x:v>
      </x:c>
      <x:c r="L370" s="28" t="str">
        <x:v>Rates and measure</x:v>
      </x:c>
      <x:c r="M370" s="36" t="str">
        <x:v>Multi-step decision making</x:v>
      </x:c>
    </x:row>
    <x:row r="371" ht="54" customHeight="1">
      <x:c r="A371" s="35" t="str">
        <x:v>NEO-MATH-FS-06-APP-04</x:v>
      </x:c>
      <x:c r="B371" s="28" t="str">
        <x:v>NEO-MATH-FS-06</x:v>
      </x:c>
      <x:c r="C371" s="28" t="str">
        <x:v>Functional &amp; Applied Mathematics</x:v>
      </x:c>
      <x:c r="D371" s="28" t="str">
        <x:v>FS L1/L2 flexible</x:v>
      </x:c>
      <x:c r="E371" s="28" t="str">
        <x:v>Financial &amp; Applied Reasoning</x:v>
      </x:c>
      <x:c r="F371" s="28" t="str">
        <x:v>Time, Travel and Scheduling</x:v>
      </x:c>
      <x:c r="G371" s="28" t="str">
        <x:v>Compare routes</x:v>
      </x:c>
      <x:c r="H371" s="28" t="str">
        <x:v>Reflection</x:v>
      </x:c>
      <x:c r="I371" s="28" t="str">
        <x:v>Movement, Connection</x:v>
      </x:c>
      <x:c r="J371" s="28" t="str">
        <x:v>Live, Asynchronous, Independent</x:v>
      </x:c>
      <x:c r="K371" s="28" t="str">
        <x:v>Explanation; interactive choices; Scratchpad working; portfolio evidence</x:v>
      </x:c>
      <x:c r="L371" s="28" t="str">
        <x:v>Rates and measure</x:v>
      </x:c>
      <x:c r="M371" s="36" t="str">
        <x:v>Multi-step decision making</x:v>
      </x:c>
    </x:row>
    <x:row r="372" ht="54" customHeight="1">
      <x:c r="A372" s="35" t="str">
        <x:v>NEO-MATH-FS-06-APP-05</x:v>
      </x:c>
      <x:c r="B372" s="28" t="str">
        <x:v>NEO-MATH-FS-06</x:v>
      </x:c>
      <x:c r="C372" s="28" t="str">
        <x:v>Functional &amp; Applied Mathematics</x:v>
      </x:c>
      <x:c r="D372" s="28" t="str">
        <x:v>FS L1/L2 flexible</x:v>
      </x:c>
      <x:c r="E372" s="28" t="str">
        <x:v>Financial &amp; Applied Reasoning</x:v>
      </x:c>
      <x:c r="F372" s="28" t="str">
        <x:v>Time, Travel and Scheduling</x:v>
      </x:c>
      <x:c r="G372" s="28" t="str">
        <x:v>Use money</x:v>
      </x:c>
      <x:c r="H372" s="28" t="str">
        <x:v>Reflection</x:v>
      </x:c>
      <x:c r="I372" s="28" t="str">
        <x:v>Movement, Connection</x:v>
      </x:c>
      <x:c r="J372" s="28" t="str">
        <x:v>Live, Asynchronous, Independent</x:v>
      </x:c>
      <x:c r="K372" s="28" t="str">
        <x:v>Explanation; interactive choices; Scratchpad working; portfolio evidence</x:v>
      </x:c>
      <x:c r="L372" s="28" t="str">
        <x:v>Rates and measure</x:v>
      </x:c>
      <x:c r="M372" s="36" t="str">
        <x:v>Multi-step decision making</x:v>
      </x:c>
    </x:row>
    <x:row r="373" ht="54" customHeight="1">
      <x:c r="A373" s="35" t="str">
        <x:v>NEO-MATH-FS-06-APP-06</x:v>
      </x:c>
      <x:c r="B373" s="28" t="str">
        <x:v>NEO-MATH-FS-06</x:v>
      </x:c>
      <x:c r="C373" s="28" t="str">
        <x:v>Functional &amp; Applied Mathematics</x:v>
      </x:c>
      <x:c r="D373" s="28" t="str">
        <x:v>FS L1/L2 flexible</x:v>
      </x:c>
      <x:c r="E373" s="28" t="str">
        <x:v>Financial &amp; Applied Reasoning</x:v>
      </x:c>
      <x:c r="F373" s="28" t="str">
        <x:v>Time, Travel and Scheduling</x:v>
      </x:c>
      <x:c r="G373" s="28" t="str">
        <x:v>Build contingency</x:v>
      </x:c>
      <x:c r="H373" s="28" t="str">
        <x:v>Reflection</x:v>
      </x:c>
      <x:c r="I373" s="28" t="str">
        <x:v>Movement, Connection</x:v>
      </x:c>
      <x:c r="J373" s="28" t="str">
        <x:v>Live, Asynchronous, Independent</x:v>
      </x:c>
      <x:c r="K373" s="28" t="str">
        <x:v>Explanation; interactive choices; Scratchpad working; portfolio evidence</x:v>
      </x:c>
      <x:c r="L373" s="28" t="str">
        <x:v>Rates and measure</x:v>
      </x:c>
      <x:c r="M373" s="36" t="str">
        <x:v>Multi-step decision making</x:v>
      </x:c>
    </x:row>
    <x:row r="374" ht="54" customHeight="1">
      <x:c r="A374" s="35" t="str">
        <x:v>NEO-MATH-FS-06-APP-07</x:v>
      </x:c>
      <x:c r="B374" s="28" t="str">
        <x:v>NEO-MATH-FS-06</x:v>
      </x:c>
      <x:c r="C374" s="28" t="str">
        <x:v>Functional &amp; Applied Mathematics</x:v>
      </x:c>
      <x:c r="D374" s="28" t="str">
        <x:v>FS L1/L2 flexible</x:v>
      </x:c>
      <x:c r="E374" s="28" t="str">
        <x:v>Financial &amp; Applied Reasoning</x:v>
      </x:c>
      <x:c r="F374" s="28" t="str">
        <x:v>Time, Travel and Scheduling</x:v>
      </x:c>
      <x:c r="G374" s="28" t="str">
        <x:v>Explain assumptions</x:v>
      </x:c>
      <x:c r="H374" s="28" t="str">
        <x:v>Reflection</x:v>
      </x:c>
      <x:c r="I374" s="28" t="str">
        <x:v>Movement, Connection</x:v>
      </x:c>
      <x:c r="J374" s="28" t="str">
        <x:v>Live, Asynchronous, Independent</x:v>
      </x:c>
      <x:c r="K374" s="28" t="str">
        <x:v>Explanation; interactive choices; Scratchpad working; portfolio evidence</x:v>
      </x:c>
      <x:c r="L374" s="28" t="str">
        <x:v>Rates and measure</x:v>
      </x:c>
      <x:c r="M374" s="36" t="str">
        <x:v>Multi-step decision making</x:v>
      </x:c>
    </x:row>
    <x:row r="375" ht="54" customHeight="1">
      <x:c r="A375" s="35" t="str">
        <x:v>NEO-MATH-FS-07-DAT-01</x:v>
      </x:c>
      <x:c r="B375" s="28" t="str">
        <x:v>NEO-MATH-FS-07</x:v>
      </x:c>
      <x:c r="C375" s="28" t="str">
        <x:v>Functional &amp; Applied Mathematics</x:v>
      </x:c>
      <x:c r="D375" s="28" t="str">
        <x:v>FS L1/L2 flexible</x:v>
      </x:c>
      <x:c r="E375" s="28" t="str">
        <x:v>Data &amp; Uncertainty</x:v>
      </x:c>
      <x:c r="F375" s="28" t="str">
        <x:v>Charts, Averages and Claims</x:v>
      </x:c>
      <x:c r="G375" s="28" t="str">
        <x:v>Read/construct charts</x:v>
      </x:c>
      <x:c r="H375" s="28" t="str">
        <x:v>Reflection</x:v>
      </x:c>
      <x:c r="I375" s="28" t="str">
        <x:v>Connection, Creativity</x:v>
      </x:c>
      <x:c r="J375" s="28" t="str">
        <x:v>Live, Asynchronous, Independent</x:v>
      </x:c>
      <x:c r="K375" s="28" t="str">
        <x:v>Explanation; interactive choices; Scratchpad working; portfolio evidence</x:v>
      </x:c>
      <x:c r="L375" s="28" t="str">
        <x:v>Everyday number</x:v>
      </x:c>
      <x:c r="M375" s="36" t="str">
        <x:v>Probability and combined evidence</x:v>
      </x:c>
    </x:row>
    <x:row r="376" ht="54" customHeight="1">
      <x:c r="A376" s="35" t="str">
        <x:v>NEO-MATH-FS-07-DAT-02</x:v>
      </x:c>
      <x:c r="B376" s="28" t="str">
        <x:v>NEO-MATH-FS-07</x:v>
      </x:c>
      <x:c r="C376" s="28" t="str">
        <x:v>Functional &amp; Applied Mathematics</x:v>
      </x:c>
      <x:c r="D376" s="28" t="str">
        <x:v>FS L1/L2 flexible</x:v>
      </x:c>
      <x:c r="E376" s="28" t="str">
        <x:v>Data &amp; Uncertainty</x:v>
      </x:c>
      <x:c r="F376" s="28" t="str">
        <x:v>Charts, Averages and Claims</x:v>
      </x:c>
      <x:c r="G376" s="28" t="str">
        <x:v>Group data</x:v>
      </x:c>
      <x:c r="H376" s="28" t="str">
        <x:v>Reflection</x:v>
      </x:c>
      <x:c r="I376" s="28" t="str">
        <x:v>Connection, Creativity</x:v>
      </x:c>
      <x:c r="J376" s="28" t="str">
        <x:v>Live, Asynchronous, Independent</x:v>
      </x:c>
      <x:c r="K376" s="28" t="str">
        <x:v>Explanation; interactive choices; Scratchpad working; portfolio evidence</x:v>
      </x:c>
      <x:c r="L376" s="28" t="str">
        <x:v>Everyday number</x:v>
      </x:c>
      <x:c r="M376" s="36" t="str">
        <x:v>Probability and combined evidence</x:v>
      </x:c>
    </x:row>
    <x:row r="377" ht="54" customHeight="1">
      <x:c r="A377" s="35" t="str">
        <x:v>NEO-MATH-FS-07-DAT-03</x:v>
      </x:c>
      <x:c r="B377" s="28" t="str">
        <x:v>NEO-MATH-FS-07</x:v>
      </x:c>
      <x:c r="C377" s="28" t="str">
        <x:v>Functional &amp; Applied Mathematics</x:v>
      </x:c>
      <x:c r="D377" s="28" t="str">
        <x:v>FS L1/L2 flexible</x:v>
      </x:c>
      <x:c r="E377" s="28" t="str">
        <x:v>Data &amp; Uncertainty</x:v>
      </x:c>
      <x:c r="F377" s="28" t="str">
        <x:v>Charts, Averages and Claims</x:v>
      </x:c>
      <x:c r="G377" s="28" t="str">
        <x:v>Calculate averages/range by level</x:v>
      </x:c>
      <x:c r="H377" s="28" t="str">
        <x:v>Reflection</x:v>
      </x:c>
      <x:c r="I377" s="28" t="str">
        <x:v>Connection, Creativity</x:v>
      </x:c>
      <x:c r="J377" s="28" t="str">
        <x:v>Live, Asynchronous, Independent</x:v>
      </x:c>
      <x:c r="K377" s="28" t="str">
        <x:v>Explanation; interactive choices; Scratchpad working; portfolio evidence</x:v>
      </x:c>
      <x:c r="L377" s="28" t="str">
        <x:v>Everyday number</x:v>
      </x:c>
      <x:c r="M377" s="36" t="str">
        <x:v>Probability and combined evidence</x:v>
      </x:c>
    </x:row>
    <x:row r="378" ht="54" customHeight="1">
      <x:c r="A378" s="35" t="str">
        <x:v>NEO-MATH-FS-07-DAT-04</x:v>
      </x:c>
      <x:c r="B378" s="28" t="str">
        <x:v>NEO-MATH-FS-07</x:v>
      </x:c>
      <x:c r="C378" s="28" t="str">
        <x:v>Functional &amp; Applied Mathematics</x:v>
      </x:c>
      <x:c r="D378" s="28" t="str">
        <x:v>FS L1/L2 flexible</x:v>
      </x:c>
      <x:c r="E378" s="28" t="str">
        <x:v>Data &amp; Uncertainty</x:v>
      </x:c>
      <x:c r="F378" s="28" t="str">
        <x:v>Charts, Averages and Claims</x:v>
      </x:c>
      <x:c r="G378" s="28" t="str">
        <x:v>Compare data sets</x:v>
      </x:c>
      <x:c r="H378" s="28" t="str">
        <x:v>Reflection</x:v>
      </x:c>
      <x:c r="I378" s="28" t="str">
        <x:v>Connection, Creativity</x:v>
      </x:c>
      <x:c r="J378" s="28" t="str">
        <x:v>Live, Asynchronous, Independent</x:v>
      </x:c>
      <x:c r="K378" s="28" t="str">
        <x:v>Explanation; interactive choices; Scratchpad working; portfolio evidence</x:v>
      </x:c>
      <x:c r="L378" s="28" t="str">
        <x:v>Everyday number</x:v>
      </x:c>
      <x:c r="M378" s="36" t="str">
        <x:v>Probability and combined evidence</x:v>
      </x:c>
    </x:row>
    <x:row r="379" ht="54" customHeight="1">
      <x:c r="A379" s="35" t="str">
        <x:v>NEO-MATH-FS-07-DAT-05</x:v>
      </x:c>
      <x:c r="B379" s="28" t="str">
        <x:v>NEO-MATH-FS-07</x:v>
      </x:c>
      <x:c r="C379" s="28" t="str">
        <x:v>Functional &amp; Applied Mathematics</x:v>
      </x:c>
      <x:c r="D379" s="28" t="str">
        <x:v>FS L1/L2 flexible</x:v>
      </x:c>
      <x:c r="E379" s="28" t="str">
        <x:v>Data &amp; Uncertainty</x:v>
      </x:c>
      <x:c r="F379" s="28" t="str">
        <x:v>Charts, Averages and Claims</x:v>
      </x:c>
      <x:c r="G379" s="28" t="str">
        <x:v>Interpret scatter/correlation at L2</x:v>
      </x:c>
      <x:c r="H379" s="28" t="str">
        <x:v>Reflection</x:v>
      </x:c>
      <x:c r="I379" s="28" t="str">
        <x:v>Connection, Creativity</x:v>
      </x:c>
      <x:c r="J379" s="28" t="str">
        <x:v>Live, Asynchronous, Independent</x:v>
      </x:c>
      <x:c r="K379" s="28" t="str">
        <x:v>Explanation; interactive choices; Scratchpad working; portfolio evidence</x:v>
      </x:c>
      <x:c r="L379" s="28" t="str">
        <x:v>Everyday number</x:v>
      </x:c>
      <x:c r="M379" s="36" t="str">
        <x:v>Probability and combined evidence</x:v>
      </x:c>
    </x:row>
    <x:row r="380" ht="54" customHeight="1">
      <x:c r="A380" s="35" t="str">
        <x:v>NEO-MATH-FS-07-DAT-06</x:v>
      </x:c>
      <x:c r="B380" s="28" t="str">
        <x:v>NEO-MATH-FS-07</x:v>
      </x:c>
      <x:c r="C380" s="28" t="str">
        <x:v>Functional &amp; Applied Mathematics</x:v>
      </x:c>
      <x:c r="D380" s="28" t="str">
        <x:v>FS L1/L2 flexible</x:v>
      </x:c>
      <x:c r="E380" s="28" t="str">
        <x:v>Data &amp; Uncertainty</x:v>
      </x:c>
      <x:c r="F380" s="28" t="str">
        <x:v>Charts, Averages and Claims</x:v>
      </x:c>
      <x:c r="G380" s="28" t="str">
        <x:v>Critique a claim</x:v>
      </x:c>
      <x:c r="H380" s="28" t="str">
        <x:v>Reflection</x:v>
      </x:c>
      <x:c r="I380" s="28" t="str">
        <x:v>Connection, Creativity</x:v>
      </x:c>
      <x:c r="J380" s="28" t="str">
        <x:v>Live, Asynchronous, Independent</x:v>
      </x:c>
      <x:c r="K380" s="28" t="str">
        <x:v>Explanation; interactive choices; Scratchpad working; portfolio evidence</x:v>
      </x:c>
      <x:c r="L380" s="28" t="str">
        <x:v>Everyday number</x:v>
      </x:c>
      <x:c r="M380" s="36" t="str">
        <x:v>Probability and combined evidence</x:v>
      </x:c>
    </x:row>
    <x:row r="381" ht="54" customHeight="1">
      <x:c r="A381" s="35" t="str">
        <x:v>NEO-MATH-FS-08-DAT-01</x:v>
      </x:c>
      <x:c r="B381" s="28" t="str">
        <x:v>NEO-MATH-FS-08</x:v>
      </x:c>
      <x:c r="C381" s="28" t="str">
        <x:v>Functional &amp; Applied Mathematics</x:v>
      </x:c>
      <x:c r="D381" s="28" t="str">
        <x:v>FS L1/L2 flexible</x:v>
      </x:c>
      <x:c r="E381" s="28" t="str">
        <x:v>Data &amp; Uncertainty</x:v>
      </x:c>
      <x:c r="F381" s="28" t="str">
        <x:v>Probability, Risk and Everyday Decisions</x:v>
      </x:c>
      <x:c r="G381" s="28" t="str">
        <x:v>Use probability scale</x:v>
      </x:c>
      <x:c r="H381" s="28" t="str">
        <x:v>Reflection</x:v>
      </x:c>
      <x:c r="I381" s="28" t="str">
        <x:v>Connection, Rest</x:v>
      </x:c>
      <x:c r="J381" s="28" t="str">
        <x:v>Live, Asynchronous, Independent</x:v>
      </x:c>
      <x:c r="K381" s="28" t="str">
        <x:v>Explanation; interactive choices; Scratchpad working; portfolio evidence</x:v>
      </x:c>
      <x:c r="L381" s="28" t="str">
        <x:v>Charts and fractions</x:v>
      </x:c>
      <x:c r="M381" s="36" t="str">
        <x:v>Decision project</x:v>
      </x:c>
    </x:row>
    <x:row r="382" ht="54" customHeight="1">
      <x:c r="A382" s="35" t="str">
        <x:v>NEO-MATH-FS-08-DAT-02</x:v>
      </x:c>
      <x:c r="B382" s="28" t="str">
        <x:v>NEO-MATH-FS-08</x:v>
      </x:c>
      <x:c r="C382" s="28" t="str">
        <x:v>Functional &amp; Applied Mathematics</x:v>
      </x:c>
      <x:c r="D382" s="28" t="str">
        <x:v>FS L1/L2 flexible</x:v>
      </x:c>
      <x:c r="E382" s="28" t="str">
        <x:v>Data &amp; Uncertainty</x:v>
      </x:c>
      <x:c r="F382" s="28" t="str">
        <x:v>Probability, Risk and Everyday Decisions</x:v>
      </x:c>
      <x:c r="G382" s="28" t="str">
        <x:v>Calculate simple events</x:v>
      </x:c>
      <x:c r="H382" s="28" t="str">
        <x:v>Reflection</x:v>
      </x:c>
      <x:c r="I382" s="28" t="str">
        <x:v>Connection, Rest</x:v>
      </x:c>
      <x:c r="J382" s="28" t="str">
        <x:v>Live, Asynchronous, Independent</x:v>
      </x:c>
      <x:c r="K382" s="28" t="str">
        <x:v>Explanation; interactive choices; Scratchpad working; portfolio evidence</x:v>
      </x:c>
      <x:c r="L382" s="28" t="str">
        <x:v>Charts and fractions</x:v>
      </x:c>
      <x:c r="M382" s="36" t="str">
        <x:v>Decision project</x:v>
      </x:c>
    </x:row>
    <x:row r="383" ht="54" customHeight="1">
      <x:c r="A383" s="35" t="str">
        <x:v>NEO-MATH-FS-08-DAT-03</x:v>
      </x:c>
      <x:c r="B383" s="28" t="str">
        <x:v>NEO-MATH-FS-08</x:v>
      </x:c>
      <x:c r="C383" s="28" t="str">
        <x:v>Functional &amp; Applied Mathematics</x:v>
      </x:c>
      <x:c r="D383" s="28" t="str">
        <x:v>FS L1/L2 flexible</x:v>
      </x:c>
      <x:c r="E383" s="28" t="str">
        <x:v>Data &amp; Uncertainty</x:v>
      </x:c>
      <x:c r="F383" s="28" t="str">
        <x:v>Probability, Risk and Everyday Decisions</x:v>
      </x:c>
      <x:c r="G383" s="28" t="str">
        <x:v>Express probability in multiple forms at L2</x:v>
      </x:c>
      <x:c r="H383" s="28" t="str">
        <x:v>Reflection</x:v>
      </x:c>
      <x:c r="I383" s="28" t="str">
        <x:v>Connection, Rest</x:v>
      </x:c>
      <x:c r="J383" s="28" t="str">
        <x:v>Live, Asynchronous, Independent</x:v>
      </x:c>
      <x:c r="K383" s="28" t="str">
        <x:v>Explanation; interactive choices; Scratchpad working; portfolio evidence</x:v>
      </x:c>
      <x:c r="L383" s="28" t="str">
        <x:v>Charts and fractions</x:v>
      </x:c>
      <x:c r="M383" s="36" t="str">
        <x:v>Decision project</x:v>
      </x:c>
    </x:row>
    <x:row r="384" ht="54" customHeight="1">
      <x:c r="A384" s="35" t="str">
        <x:v>NEO-MATH-FS-08-DAT-04</x:v>
      </x:c>
      <x:c r="B384" s="28" t="str">
        <x:v>NEO-MATH-FS-08</x:v>
      </x:c>
      <x:c r="C384" s="28" t="str">
        <x:v>Functional &amp; Applied Mathematics</x:v>
      </x:c>
      <x:c r="D384" s="28" t="str">
        <x:v>FS L1/L2 flexible</x:v>
      </x:c>
      <x:c r="E384" s="28" t="str">
        <x:v>Data &amp; Uncertainty</x:v>
      </x:c>
      <x:c r="F384" s="28" t="str">
        <x:v>Probability, Risk and Everyday Decisions</x:v>
      </x:c>
      <x:c r="G384" s="28" t="str">
        <x:v>Use combined events/tables at L2</x:v>
      </x:c>
      <x:c r="H384" s="28" t="str">
        <x:v>Reflection</x:v>
      </x:c>
      <x:c r="I384" s="28" t="str">
        <x:v>Connection, Rest</x:v>
      </x:c>
      <x:c r="J384" s="28" t="str">
        <x:v>Live, Asynchronous, Independent</x:v>
      </x:c>
      <x:c r="K384" s="28" t="str">
        <x:v>Explanation; interactive choices; Scratchpad working; portfolio evidence</x:v>
      </x:c>
      <x:c r="L384" s="28" t="str">
        <x:v>Charts and fractions</x:v>
      </x:c>
      <x:c r="M384" s="36" t="str">
        <x:v>Decision project</x:v>
      </x:c>
    </x:row>
    <x:row r="385" ht="54" customHeight="1">
      <x:c r="A385" s="35" t="str">
        <x:v>NEO-MATH-FS-08-DAT-05</x:v>
      </x:c>
      <x:c r="B385" s="28" t="str">
        <x:v>NEO-MATH-FS-08</x:v>
      </x:c>
      <x:c r="C385" s="28" t="str">
        <x:v>Functional &amp; Applied Mathematics</x:v>
      </x:c>
      <x:c r="D385" s="28" t="str">
        <x:v>FS L1/L2 flexible</x:v>
      </x:c>
      <x:c r="E385" s="28" t="str">
        <x:v>Data &amp; Uncertainty</x:v>
      </x:c>
      <x:c r="F385" s="28" t="str">
        <x:v>Probability, Risk and Everyday Decisions</x:v>
      </x:c>
      <x:c r="G385" s="28" t="str">
        <x:v>Interpret likelihood</x:v>
      </x:c>
      <x:c r="H385" s="28" t="str">
        <x:v>Reflection</x:v>
      </x:c>
      <x:c r="I385" s="28" t="str">
        <x:v>Connection, Rest</x:v>
      </x:c>
      <x:c r="J385" s="28" t="str">
        <x:v>Live, Asynchronous, Independent</x:v>
      </x:c>
      <x:c r="K385" s="28" t="str">
        <x:v>Explanation; interactive choices; Scratchpad working; portfolio evidence</x:v>
      </x:c>
      <x:c r="L385" s="28" t="str">
        <x:v>Charts and fractions</x:v>
      </x:c>
      <x:c r="M385" s="36" t="str">
        <x:v>Decision project</x:v>
      </x:c>
    </x:row>
    <x:row r="386" ht="54" customHeight="1">
      <x:c r="A386" s="35" t="str">
        <x:v>NEO-MATH-FS-09-MOD-01</x:v>
      </x:c>
      <x:c r="B386" s="28" t="str">
        <x:v>NEO-MATH-FS-09</x:v>
      </x:c>
      <x:c r="C386" s="28" t="str">
        <x:v>Functional &amp; Applied Mathematics</x:v>
      </x:c>
      <x:c r="D386" s="28" t="str">
        <x:v>FS L1/L2 flexible</x:v>
      </x:c>
      <x:c r="E386" s="28" t="str">
        <x:v>Modelling</x:v>
      </x:c>
      <x:c r="F386" s="28" t="str">
        <x:v>Applied Decision Project</x:v>
      </x:c>
      <x:c r="G386" s="28" t="str">
        <x:v>Identify information</x:v>
      </x:c>
      <x:c r="H386" s="28" t="str">
        <x:v>Creativity</x:v>
      </x:c>
      <x:c r="I386" s="28" t="str">
        <x:v>Connection, Reflection</x:v>
      </x:c>
      <x:c r="J386" s="28" t="str">
        <x:v>Live, Asynchronous, Independent</x:v>
      </x:c>
      <x:c r="K386" s="28" t="str">
        <x:v>Explanation; interactive choices; Scratchpad working; portfolio evidence</x:v>
      </x:c>
      <x:c r="L386" s="28" t="str">
        <x:v>Functional units 1-8</x:v>
      </x:c>
      <x:c r="M386" s="36" t="str">
        <x:v>Assessment readiness / progression</x:v>
      </x:c>
    </x:row>
    <x:row r="387" ht="54" customHeight="1">
      <x:c r="A387" s="35" t="str">
        <x:v>NEO-MATH-FS-09-MOD-02</x:v>
      </x:c>
      <x:c r="B387" s="28" t="str">
        <x:v>NEO-MATH-FS-09</x:v>
      </x:c>
      <x:c r="C387" s="28" t="str">
        <x:v>Functional &amp; Applied Mathematics</x:v>
      </x:c>
      <x:c r="D387" s="28" t="str">
        <x:v>FS L1/L2 flexible</x:v>
      </x:c>
      <x:c r="E387" s="28" t="str">
        <x:v>Modelling</x:v>
      </x:c>
      <x:c r="F387" s="28" t="str">
        <x:v>Applied Decision Project</x:v>
      </x:c>
      <x:c r="G387" s="28" t="str">
        <x:v>Plan multiple steps</x:v>
      </x:c>
      <x:c r="H387" s="28" t="str">
        <x:v>Creativity</x:v>
      </x:c>
      <x:c r="I387" s="28" t="str">
        <x:v>Connection, Reflection</x:v>
      </x:c>
      <x:c r="J387" s="28" t="str">
        <x:v>Live, Asynchronous, Independent</x:v>
      </x:c>
      <x:c r="K387" s="28" t="str">
        <x:v>Explanation; interactive choices; Scratchpad working; portfolio evidence</x:v>
      </x:c>
      <x:c r="L387" s="28" t="str">
        <x:v>Functional units 1-8</x:v>
      </x:c>
      <x:c r="M387" s="36" t="str">
        <x:v>Assessment readiness / progression</x:v>
      </x:c>
    </x:row>
    <x:row r="388" ht="54" customHeight="1">
      <x:c r="A388" s="35" t="str">
        <x:v>NEO-MATH-FS-09-MOD-03</x:v>
      </x:c>
      <x:c r="B388" s="28" t="str">
        <x:v>NEO-MATH-FS-09</x:v>
      </x:c>
      <x:c r="C388" s="28" t="str">
        <x:v>Functional &amp; Applied Mathematics</x:v>
      </x:c>
      <x:c r="D388" s="28" t="str">
        <x:v>FS L1/L2 flexible</x:v>
      </x:c>
      <x:c r="E388" s="28" t="str">
        <x:v>Modelling</x:v>
      </x:c>
      <x:c r="F388" s="28" t="str">
        <x:v>Applied Decision Project</x:v>
      </x:c>
      <x:c r="G388" s="28" t="str">
        <x:v>Combine content areas</x:v>
      </x:c>
      <x:c r="H388" s="28" t="str">
        <x:v>Creativity</x:v>
      </x:c>
      <x:c r="I388" s="28" t="str">
        <x:v>Connection, Reflection</x:v>
      </x:c>
      <x:c r="J388" s="28" t="str">
        <x:v>Live, Asynchronous, Independent</x:v>
      </x:c>
      <x:c r="K388" s="28" t="str">
        <x:v>Explanation; interactive choices; Scratchpad working; portfolio evidence</x:v>
      </x:c>
      <x:c r="L388" s="28" t="str">
        <x:v>Functional units 1-8</x:v>
      </x:c>
      <x:c r="M388" s="36" t="str">
        <x:v>Assessment readiness / progression</x:v>
      </x:c>
    </x:row>
    <x:row r="389" ht="54" customHeight="1">
      <x:c r="A389" s="35" t="str">
        <x:v>NEO-MATH-FS-09-MOD-04</x:v>
      </x:c>
      <x:c r="B389" s="28" t="str">
        <x:v>NEO-MATH-FS-09</x:v>
      </x:c>
      <x:c r="C389" s="28" t="str">
        <x:v>Functional &amp; Applied Mathematics</x:v>
      </x:c>
      <x:c r="D389" s="28" t="str">
        <x:v>FS L1/L2 flexible</x:v>
      </x:c>
      <x:c r="E389" s="28" t="str">
        <x:v>Modelling</x:v>
      </x:c>
      <x:c r="F389" s="28" t="str">
        <x:v>Applied Decision Project</x:v>
      </x:c>
      <x:c r="G389" s="28" t="str">
        <x:v>Calculate to required accuracy</x:v>
      </x:c>
      <x:c r="H389" s="28" t="str">
        <x:v>Creativity</x:v>
      </x:c>
      <x:c r="I389" s="28" t="str">
        <x:v>Connection, Reflection</x:v>
      </x:c>
      <x:c r="J389" s="28" t="str">
        <x:v>Live, Asynchronous, Independent</x:v>
      </x:c>
      <x:c r="K389" s="28" t="str">
        <x:v>Explanation; interactive choices; Scratchpad working; portfolio evidence</x:v>
      </x:c>
      <x:c r="L389" s="28" t="str">
        <x:v>Functional units 1-8</x:v>
      </x:c>
      <x:c r="M389" s="36" t="str">
        <x:v>Assessment readiness / progression</x:v>
      </x:c>
    </x:row>
    <x:row r="390" ht="54" customHeight="1">
      <x:c r="A390" s="35" t="str">
        <x:v>NEO-MATH-FS-09-MOD-05</x:v>
      </x:c>
      <x:c r="B390" s="28" t="str">
        <x:v>NEO-MATH-FS-09</x:v>
      </x:c>
      <x:c r="C390" s="28" t="str">
        <x:v>Functional &amp; Applied Mathematics</x:v>
      </x:c>
      <x:c r="D390" s="28" t="str">
        <x:v>FS L1/L2 flexible</x:v>
      </x:c>
      <x:c r="E390" s="28" t="str">
        <x:v>Modelling</x:v>
      </x:c>
      <x:c r="F390" s="28" t="str">
        <x:v>Applied Decision Project</x:v>
      </x:c>
      <x:c r="G390" s="28" t="str">
        <x:v>Interpret</x:v>
      </x:c>
      <x:c r="H390" s="28" t="str">
        <x:v>Creativity</x:v>
      </x:c>
      <x:c r="I390" s="28" t="str">
        <x:v>Connection, Reflection</x:v>
      </x:c>
      <x:c r="J390" s="28" t="str">
        <x:v>Live, Asynchronous, Independent</x:v>
      </x:c>
      <x:c r="K390" s="28" t="str">
        <x:v>Explanation; interactive choices; Scratchpad working; portfolio evidence</x:v>
      </x:c>
      <x:c r="L390" s="28" t="str">
        <x:v>Functional units 1-8</x:v>
      </x:c>
      <x:c r="M390" s="36" t="str">
        <x:v>Assessment readiness / progression</x:v>
      </x:c>
    </x:row>
    <x:row r="391" ht="54" customHeight="1">
      <x:c r="A391" s="35" t="str">
        <x:v>NEO-MATH-FS-09-MOD-06</x:v>
      </x:c>
      <x:c r="B391" s="28" t="str">
        <x:v>NEO-MATH-FS-09</x:v>
      </x:c>
      <x:c r="C391" s="28" t="str">
        <x:v>Functional &amp; Applied Mathematics</x:v>
      </x:c>
      <x:c r="D391" s="28" t="str">
        <x:v>FS L1/L2 flexible</x:v>
      </x:c>
      <x:c r="E391" s="28" t="str">
        <x:v>Modelling</x:v>
      </x:c>
      <x:c r="F391" s="28" t="str">
        <x:v>Applied Decision Project</x:v>
      </x:c>
      <x:c r="G391" s="28" t="str">
        <x:v>Check reasonableness</x:v>
      </x:c>
      <x:c r="H391" s="28" t="str">
        <x:v>Creativity</x:v>
      </x:c>
      <x:c r="I391" s="28" t="str">
        <x:v>Connection, Reflection</x:v>
      </x:c>
      <x:c r="J391" s="28" t="str">
        <x:v>Live, Asynchronous, Independent</x:v>
      </x:c>
      <x:c r="K391" s="28" t="str">
        <x:v>Explanation; interactive choices; Scratchpad working; portfolio evidence</x:v>
      </x:c>
      <x:c r="L391" s="28" t="str">
        <x:v>Functional units 1-8</x:v>
      </x:c>
      <x:c r="M391" s="36" t="str">
        <x:v>Assessment readiness / progression</x:v>
      </x:c>
    </x:row>
    <x:row r="392" ht="54" customHeight="1">
      <x:c r="A392" s="35" t="str">
        <x:v>NEO-MATH-FS-09-MOD-07</x:v>
      </x:c>
      <x:c r="B392" s="28" t="str">
        <x:v>NEO-MATH-FS-09</x:v>
      </x:c>
      <x:c r="C392" s="28" t="str">
        <x:v>Functional &amp; Applied Mathematics</x:v>
      </x:c>
      <x:c r="D392" s="28" t="str">
        <x:v>FS L1/L2 flexible</x:v>
      </x:c>
      <x:c r="E392" s="28" t="str">
        <x:v>Modelling</x:v>
      </x:c>
      <x:c r="F392" s="28" t="str">
        <x:v>Applied Decision Project</x:v>
      </x:c>
      <x:c r="G392" s="28" t="str">
        <x:v>Present a recommendation</x:v>
      </x:c>
      <x:c r="H392" s="28" t="str">
        <x:v>Creativity</x:v>
      </x:c>
      <x:c r="I392" s="28" t="str">
        <x:v>Connection, Reflection</x:v>
      </x:c>
      <x:c r="J392" s="28" t="str">
        <x:v>Live, Asynchronous, Independent</x:v>
      </x:c>
      <x:c r="K392" s="28" t="str">
        <x:v>Explanation; interactive choices; Scratchpad working; portfolio evidence</x:v>
      </x:c>
      <x:c r="L392" s="28" t="str">
        <x:v>Functional units 1-8</x:v>
      </x:c>
      <x:c r="M392" s="36" t="str">
        <x:v>Assessment readiness / progression</x:v>
      </x:c>
    </x:row>
    <x:row r="393" ht="54" customHeight="1">
      <x:c r="A393" s="35" t="str">
        <x:v>NEO-MATH-FS-10-SRL-01</x:v>
      </x:c>
      <x:c r="B393" s="28" t="str">
        <x:v>NEO-MATH-FS-10</x:v>
      </x:c>
      <x:c r="C393" s="28" t="str">
        <x:v>Functional &amp; Applied Mathematics</x:v>
      </x:c>
      <x:c r="D393" s="28" t="str">
        <x:v>FS L1/L2 flexible</x:v>
      </x:c>
      <x:c r="E393" s="28" t="str">
        <x:v>Self-Regulated Mathematical Learning</x:v>
      </x:c>
      <x:c r="F393" s="28" t="str">
        <x:v>Functional Skills Assessment Navigation</x:v>
      </x:c>
      <x:c r="G393" s="28" t="str">
        <x:v>Read mathematical information</x:v>
      </x:c>
      <x:c r="H393" s="28" t="str">
        <x:v>Rest</x:v>
      </x:c>
      <x:c r="I393" s="28" t="str">
        <x:v>Reflection, Connection</x:v>
      </x:c>
      <x:c r="J393" s="28" t="str">
        <x:v>Live, Asynchronous, Independent</x:v>
      </x:c>
      <x:c r="K393" s="28" t="str">
        <x:v>Explanation; interactive choices; Scratchpad working; portfolio evidence</x:v>
      </x:c>
      <x:c r="L393" s="28" t="str">
        <x:v>Applied decision project</x:v>
      </x:c>
      <x:c r="M393" s="36" t="str">
        <x:v>On-demand assessment / next pathway</x:v>
      </x:c>
    </x:row>
    <x:row r="394" ht="54" customHeight="1">
      <x:c r="A394" s="35" t="str">
        <x:v>NEO-MATH-FS-10-SRL-02</x:v>
      </x:c>
      <x:c r="B394" s="28" t="str">
        <x:v>NEO-MATH-FS-10</x:v>
      </x:c>
      <x:c r="C394" s="28" t="str">
        <x:v>Functional &amp; Applied Mathematics</x:v>
      </x:c>
      <x:c r="D394" s="28" t="str">
        <x:v>FS L1/L2 flexible</x:v>
      </x:c>
      <x:c r="E394" s="28" t="str">
        <x:v>Self-Regulated Mathematical Learning</x:v>
      </x:c>
      <x:c r="F394" s="28" t="str">
        <x:v>Functional Skills Assessment Navigation</x:v>
      </x:c>
      <x:c r="G394" s="28" t="str">
        <x:v>Identify operations</x:v>
      </x:c>
      <x:c r="H394" s="28" t="str">
        <x:v>Rest</x:v>
      </x:c>
      <x:c r="I394" s="28" t="str">
        <x:v>Reflection, Connection</x:v>
      </x:c>
      <x:c r="J394" s="28" t="str">
        <x:v>Live, Asynchronous, Independent</x:v>
      </x:c>
      <x:c r="K394" s="28" t="str">
        <x:v>Explanation; interactive choices; Scratchpad working; portfolio evidence</x:v>
      </x:c>
      <x:c r="L394" s="28" t="str">
        <x:v>Applied decision project</x:v>
      </x:c>
      <x:c r="M394" s="36" t="str">
        <x:v>On-demand assessment / next pathway</x:v>
      </x:c>
    </x:row>
    <x:row r="395" ht="54" customHeight="1">
      <x:c r="A395" s="35" t="str">
        <x:v>NEO-MATH-FS-10-SRL-03</x:v>
      </x:c>
      <x:c r="B395" s="28" t="str">
        <x:v>NEO-MATH-FS-10</x:v>
      </x:c>
      <x:c r="C395" s="28" t="str">
        <x:v>Functional &amp; Applied Mathematics</x:v>
      </x:c>
      <x:c r="D395" s="28" t="str">
        <x:v>FS L1/L2 flexible</x:v>
      </x:c>
      <x:c r="E395" s="28" t="str">
        <x:v>Self-Regulated Mathematical Learning</x:v>
      </x:c>
      <x:c r="F395" s="28" t="str">
        <x:v>Functional Skills Assessment Navigation</x:v>
      </x:c>
      <x:c r="G395" s="28" t="str">
        <x:v>Plan steps</x:v>
      </x:c>
      <x:c r="H395" s="28" t="str">
        <x:v>Rest</x:v>
      </x:c>
      <x:c r="I395" s="28" t="str">
        <x:v>Reflection, Connection</x:v>
      </x:c>
      <x:c r="J395" s="28" t="str">
        <x:v>Live, Asynchronous, Independent</x:v>
      </x:c>
      <x:c r="K395" s="28" t="str">
        <x:v>Explanation; interactive choices; Scratchpad working; portfolio evidence</x:v>
      </x:c>
      <x:c r="L395" s="28" t="str">
        <x:v>Applied decision project</x:v>
      </x:c>
      <x:c r="M395" s="36" t="str">
        <x:v>On-demand assessment / next pathway</x:v>
      </x:c>
    </x:row>
    <x:row r="396" ht="54" customHeight="1">
      <x:c r="A396" s="35" t="str">
        <x:v>NEO-MATH-FS-10-SRL-04</x:v>
      </x:c>
      <x:c r="B396" s="28" t="str">
        <x:v>NEO-MATH-FS-10</x:v>
      </x:c>
      <x:c r="C396" s="28" t="str">
        <x:v>Functional &amp; Applied Mathematics</x:v>
      </x:c>
      <x:c r="D396" s="28" t="str">
        <x:v>FS L1/L2 flexible</x:v>
      </x:c>
      <x:c r="E396" s="28" t="str">
        <x:v>Self-Regulated Mathematical Learning</x:v>
      </x:c>
      <x:c r="F396" s="28" t="str">
        <x:v>Functional Skills Assessment Navigation</x:v>
      </x:c>
      <x:c r="G396" s="28" t="str">
        <x:v>Use required accuracy</x:v>
      </x:c>
      <x:c r="H396" s="28" t="str">
        <x:v>Rest</x:v>
      </x:c>
      <x:c r="I396" s="28" t="str">
        <x:v>Reflection, Connection</x:v>
      </x:c>
      <x:c r="J396" s="28" t="str">
        <x:v>Live, Asynchronous, Independent</x:v>
      </x:c>
      <x:c r="K396" s="28" t="str">
        <x:v>Explanation; interactive choices; Scratchpad working; portfolio evidence</x:v>
      </x:c>
      <x:c r="L396" s="28" t="str">
        <x:v>Applied decision project</x:v>
      </x:c>
      <x:c r="M396" s="36" t="str">
        <x:v>On-demand assessment / next pathway</x:v>
      </x:c>
    </x:row>
    <x:row r="397" ht="54" customHeight="1">
      <x:c r="A397" s="35" t="str">
        <x:v>NEO-MATH-FS-10-SRL-05</x:v>
      </x:c>
      <x:c r="B397" s="28" t="str">
        <x:v>NEO-MATH-FS-10</x:v>
      </x:c>
      <x:c r="C397" s="28" t="str">
        <x:v>Functional &amp; Applied Mathematics</x:v>
      </x:c>
      <x:c r="D397" s="28" t="str">
        <x:v>FS L1/L2 flexible</x:v>
      </x:c>
      <x:c r="E397" s="28" t="str">
        <x:v>Self-Regulated Mathematical Learning</x:v>
      </x:c>
      <x:c r="F397" s="28" t="str">
        <x:v>Functional Skills Assessment Navigation</x:v>
      </x:c>
      <x:c r="G397" s="28" t="str">
        <x:v>Check sense</x:v>
      </x:c>
      <x:c r="H397" s="28" t="str">
        <x:v>Rest</x:v>
      </x:c>
      <x:c r="I397" s="28" t="str">
        <x:v>Reflection, Connection</x:v>
      </x:c>
      <x:c r="J397" s="28" t="str">
        <x:v>Live, Asynchronous, Independent</x:v>
      </x:c>
      <x:c r="K397" s="28" t="str">
        <x:v>Explanation; interactive choices; Scratchpad working; portfolio evidence</x:v>
      </x:c>
      <x:c r="L397" s="28" t="str">
        <x:v>Applied decision project</x:v>
      </x:c>
      <x:c r="M397" s="36" t="str">
        <x:v>On-demand assessment / next pathway</x:v>
      </x:c>
    </x:row>
    <x:row r="398" ht="54" customHeight="1">
      <x:c r="A398" s="35" t="str">
        <x:v>NEO-MATH-FS-10-SRL-06</x:v>
      </x:c>
      <x:c r="B398" s="28" t="str">
        <x:v>NEO-MATH-FS-10</x:v>
      </x:c>
      <x:c r="C398" s="28" t="str">
        <x:v>Functional &amp; Applied Mathematics</x:v>
      </x:c>
      <x:c r="D398" s="28" t="str">
        <x:v>FS L1/L2 flexible</x:v>
      </x:c>
      <x:c r="E398" s="28" t="str">
        <x:v>Self-Regulated Mathematical Learning</x:v>
      </x:c>
      <x:c r="F398" s="28" t="str">
        <x:v>Functional Skills Assessment Navigation</x:v>
      </x:c>
      <x:c r="G398" s="28" t="str">
        <x:v>Explain results</x:v>
      </x:c>
      <x:c r="H398" s="28" t="str">
        <x:v>Rest</x:v>
      </x:c>
      <x:c r="I398" s="28" t="str">
        <x:v>Reflection, Connection</x:v>
      </x:c>
      <x:c r="J398" s="28" t="str">
        <x:v>Live, Asynchronous, Independent</x:v>
      </x:c>
      <x:c r="K398" s="28" t="str">
        <x:v>Explanation; interactive choices; Scratchpad working; portfolio evidence</x:v>
      </x:c>
      <x:c r="L398" s="28" t="str">
        <x:v>Applied decision project</x:v>
      </x:c>
      <x:c r="M398" s="36" t="str">
        <x:v>On-demand assessment / next pathway</x:v>
      </x:c>
    </x:row>
    <x:row r="399" ht="54" customHeight="1">
      <x:c r="A399" s="37" t="str">
        <x:v>NEO-MATH-FS-10-SRL-07</x:v>
      </x:c>
      <x:c r="B399" s="38" t="str">
        <x:v>NEO-MATH-FS-10</x:v>
      </x:c>
      <x:c r="C399" s="38" t="str">
        <x:v>Functional &amp; Applied Mathematics</x:v>
      </x:c>
      <x:c r="D399" s="38" t="str">
        <x:v>FS L1/L2 flexible</x:v>
      </x:c>
      <x:c r="E399" s="38" t="str">
        <x:v>Self-Regulated Mathematical Learning</x:v>
      </x:c>
      <x:c r="F399" s="38" t="str">
        <x:v>Functional Skills Assessment Navigation</x:v>
      </x:c>
      <x:c r="G399" s="38" t="str">
        <x:v>Use calculator/non-calculator strategies</x:v>
      </x:c>
      <x:c r="H399" s="38" t="str">
        <x:v>Rest</x:v>
      </x:c>
      <x:c r="I399" s="38" t="str">
        <x:v>Reflection, Connection</x:v>
      </x:c>
      <x:c r="J399" s="38" t="str">
        <x:v>Live, Asynchronous, Independent</x:v>
      </x:c>
      <x:c r="K399" s="38" t="str">
        <x:v>Explanation; interactive choices; Scratchpad working; portfolio evidence</x:v>
      </x:c>
      <x:c r="L399" s="38" t="str">
        <x:v>Applied decision project</x:v>
      </x:c>
      <x:c r="M399" s="39" t="str">
        <x:v>On-demand assessment / next pathway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eccf77ec21ca49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6" hidden="0" customWidth="1"/>
    <x:col min="4" max="4" width="32" hidden="0" customWidth="1"/>
    <x:col min="5" max="5" width="44" hidden="0" customWidth="1"/>
    <x:col min="6" max="6" width="24" hidden="0" customWidth="1"/>
    <x:col min="7" max="7" width="42" hidden="0" customWidth="1"/>
    <x:col min="8" max="8" width="50" hidden="0" customWidth="1"/>
    <x:col min="9" max="9" width="62" hidden="0" customWidth="1"/>
    <x:col min="10" max="10" width="42" hidden="0" customWidth="1"/>
  </x:cols>
  <x:sheetData>
    <x:row r="1" ht="28" customHeight="1">
      <x:c r="A1" s="5" t="str">
        <x:v>Qualification Overlay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12" t="str">
        <x:v>Overlay references describe where external frameworks assess canonical NEO mathematics. They do not define the curriculum spine. Verify specification details at annual review.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32" t="str">
        <x:v>Overlay Map ID</x:v>
      </x:c>
      <x:c r="B4" s="33" t="str">
        <x:v>Unit ID</x:v>
      </x:c>
      <x:c r="C4" s="33" t="str">
        <x:v>Pathway</x:v>
      </x:c>
      <x:c r="D4" s="33" t="str">
        <x:v>Unit Title</x:v>
      </x:c>
      <x:c r="E4" s="33" t="str">
        <x:v>Overlay</x:v>
      </x:c>
      <x:c r="F4" s="33" t="str">
        <x:v>Tier / Level</x:v>
      </x:c>
      <x:c r="G4" s="33" t="str">
        <x:v>Specification Reference</x:v>
      </x:c>
      <x:c r="H4" s="33" t="str">
        <x:v>Canonical Link Summary</x:v>
      </x:c>
      <x:c r="I4" s="33" t="str">
        <x:v>Source URL</x:v>
      </x:c>
      <x:c r="J4" s="34" t="str">
        <x:v>Review Note</x:v>
      </x:c>
    </x:row>
    <x:row r="5" ht="64" customHeight="1">
      <x:c r="A5" s="35" t="str">
        <x:v>OV-0001</x:v>
      </x:c>
      <x:c r="B5" s="28" t="str">
        <x:v>NEO-MATH-DISC-01</x:v>
      </x:c>
      <x:c r="C5" s="28" t="str">
        <x:v>Discovery / Reconnection</x:v>
      </x:c>
      <x:c r="D5" s="28" t="str">
        <x:v>Finding My Maths Starting Point</x:v>
      </x:c>
      <x:c r="E5" s="28" t="str">
        <x:v>NEO Canonical / Discovery</x:v>
      </x:c>
      <x:c r="F5" s="28" t="str">
        <x:v>Pathway diagnostic</x:v>
      </x:c>
      <x:c r="G5" s="28" t="str">
        <x:v>Not an awarding-body unit; informs pathway entry</x:v>
      </x:c>
      <x:c r="H5" s="28" t="str">
        <x:v>Outcome supports re-engagement, entry-point identification and movement into the canonical spine.</x:v>
      </x:c>
      <x:c r="I5" s="28" t="str"/>
      <x:c r="J5" s="36" t="str">
        <x:v>No external assessment claim; evidence informs pathway planning.</x:v>
      </x:c>
    </x:row>
    <x:row r="6" ht="64" customHeight="1">
      <x:c r="A6" s="35" t="str">
        <x:v>OV-0002</x:v>
      </x:c>
      <x:c r="B6" s="28" t="str">
        <x:v>NEO-MATH-DISC-02</x:v>
      </x:c>
      <x:c r="C6" s="28" t="str">
        <x:v>Discovery / Reconnection</x:v>
      </x:c>
      <x:c r="D6" s="28" t="str">
        <x:v>Numbers I Can Trust</x:v>
      </x:c>
      <x:c r="E6" s="28" t="str">
        <x:v>National Curriculum KS3 Mathematics</x:v>
      </x:c>
      <x:c r="F6" s="28" t="str">
        <x:v>KS3</x:v>
      </x:c>
      <x:c r="G6" s="28" t="str">
        <x:v>NC KS3 Number; FS L1 1-3,10-12; FS L2 1-2,9-10</x:v>
      </x:c>
      <x:c r="H6" s="28" t="str">
        <x:v>Canonical Stepping Stones build fluency, reasoning, representation and problem solving within the named domain.</x:v>
      </x:c>
      <x:c r="I6" s="28" t="str">
        <x:v>https://www.gov.uk/government/publications/national-curriculum-in-england-mathematics-programmes-of-study/national-curriculum-in-england-mathematics-programmes-of-study</x:v>
      </x:c>
      <x:c r="J6" s="36" t="str">
        <x:v>Statutory KS3 programme; sequence by readiness and secure understanding.</x:v>
      </x:c>
    </x:row>
    <x:row r="7" ht="64" customHeight="1">
      <x:c r="A7" s="35" t="str">
        <x:v>OV-0003</x:v>
      </x:c>
      <x:c r="B7" s="28" t="str">
        <x:v>NEO-MATH-DISC-02</x:v>
      </x:c>
      <x:c r="C7" s="28" t="str">
        <x:v>Discovery / Reconnection</x:v>
      </x:c>
      <x:c r="D7" s="28" t="str">
        <x:v>Numbers I Can Trust</x:v>
      </x:c>
      <x:c r="E7" s="28" t="str">
        <x:v>Pearson Edexcel Functional Skills Mathematics (2019)</x:v>
      </x:c>
      <x:c r="F7" s="28" t="str">
        <x:v>Level 1 / Level 2 differentiated</x:v>
      </x:c>
      <x:c r="G7" s="28" t="str">
        <x:v>NC KS3 Number; FS L1 1-3,10-12; FS L2 1-2,9-10</x:v>
      </x:c>
      <x:c r="H7" s="28" t="str">
        <x:v>Canonical learning is applied to realistic problems, decision making, checking reasonableness and communicating results.</x:v>
      </x:c>
      <x:c r="I7" s="28" t="str">
        <x:v>https://qualifications.pearson.com/en/qualifications/edexcel-functional-skills/maths-2019.html</x:v>
      </x:c>
      <x:c r="J7" s="36" t="str">
        <x:v>Pearson page lists L1/L2 review date 31 August 2028; verify at annual review.</x:v>
      </x:c>
    </x:row>
    <x:row r="8" ht="64" customHeight="1">
      <x:c r="A8" s="35" t="str">
        <x:v>OV-0004</x:v>
      </x:c>
      <x:c r="B8" s="28" t="str">
        <x:v>NEO-MATH-DISC-03</x:v>
      </x:c>
      <x:c r="C8" s="28" t="str">
        <x:v>Discovery / Reconnection</x:v>
      </x:c>
      <x:c r="D8" s="28" t="str">
        <x:v>Operations as Choices</x:v>
      </x:c>
      <x:c r="E8" s="28" t="str">
        <x:v>National Curriculum KS3 Mathematics</x:v>
      </x:c>
      <x:c r="F8" s="28" t="str">
        <x:v>KS3</x:v>
      </x:c>
      <x:c r="G8" s="28" t="str">
        <x:v>NC KS3 fluency/problem solving; FS L1 4,7,15; FS L2 2,12</x:v>
      </x:c>
      <x:c r="H8" s="28" t="str">
        <x:v>Canonical Stepping Stones build fluency, reasoning, representation and problem solving within the named domain.</x:v>
      </x:c>
      <x:c r="I8" s="28" t="str">
        <x:v>https://www.gov.uk/government/publications/national-curriculum-in-england-mathematics-programmes-of-study/national-curriculum-in-england-mathematics-programmes-of-study</x:v>
      </x:c>
      <x:c r="J8" s="36" t="str">
        <x:v>Statutory KS3 programme; sequence by readiness and secure understanding.</x:v>
      </x:c>
    </x:row>
    <x:row r="9" ht="64" customHeight="1">
      <x:c r="A9" s="35" t="str">
        <x:v>OV-0005</x:v>
      </x:c>
      <x:c r="B9" s="28" t="str">
        <x:v>NEO-MATH-DISC-03</x:v>
      </x:c>
      <x:c r="C9" s="28" t="str">
        <x:v>Discovery / Reconnection</x:v>
      </x:c>
      <x:c r="D9" s="28" t="str">
        <x:v>Operations as Choices</x:v>
      </x:c>
      <x:c r="E9" s="28" t="str">
        <x:v>Pearson Edexcel Functional Skills Mathematics (2019)</x:v>
      </x:c>
      <x:c r="F9" s="28" t="str">
        <x:v>Level 1 / Level 2 differentiated</x:v>
      </x:c>
      <x:c r="G9" s="28" t="str">
        <x:v>NC KS3 fluency/problem solving; FS L1 4,7,15; FS L2 2,12</x:v>
      </x:c>
      <x:c r="H9" s="28" t="str">
        <x:v>Canonical learning is applied to realistic problems, decision making, checking reasonableness and communicating results.</x:v>
      </x:c>
      <x:c r="I9" s="28" t="str">
        <x:v>https://qualifications.pearson.com/en/qualifications/edexcel-functional-skills/maths-2019.html</x:v>
      </x:c>
      <x:c r="J9" s="36" t="str">
        <x:v>Pearson page lists L1/L2 review date 31 August 2028; verify at annual review.</x:v>
      </x:c>
    </x:row>
    <x:row r="10" ht="64" customHeight="1">
      <x:c r="A10" s="35" t="str">
        <x:v>OV-0006</x:v>
      </x:c>
      <x:c r="B10" s="28" t="str">
        <x:v>NEO-MATH-DISC-04</x:v>
      </x:c>
      <x:c r="C10" s="28" t="str">
        <x:v>Discovery / Reconnection</x:v>
      </x:c>
      <x:c r="D10" s="28" t="str">
        <x:v>Fractions, Decimals and Percentages as One Family</x:v>
      </x:c>
      <x:c r="E10" s="28" t="str">
        <x:v>National Curriculum KS3 Mathematics</x:v>
      </x:c>
      <x:c r="F10" s="28" t="str">
        <x:v>KS3</x:v>
      </x:c>
      <x:c r="G10" s="28" t="str">
        <x:v>NC KS3 Number and Ratio; FS L1 8-17; FS L2 4-10</x:v>
      </x:c>
      <x:c r="H10" s="28" t="str">
        <x:v>Canonical Stepping Stones build fluency, reasoning, representation and problem solving within the named domain.</x:v>
      </x:c>
      <x:c r="I10" s="28" t="str">
        <x:v>https://www.gov.uk/government/publications/national-curriculum-in-england-mathematics-programmes-of-study/national-curriculum-in-england-mathematics-programmes-of-study</x:v>
      </x:c>
      <x:c r="J10" s="36" t="str">
        <x:v>Statutory KS3 programme; sequence by readiness and secure understanding.</x:v>
      </x:c>
    </x:row>
    <x:row r="11" ht="64" customHeight="1">
      <x:c r="A11" s="35" t="str">
        <x:v>OV-0007</x:v>
      </x:c>
      <x:c r="B11" s="28" t="str">
        <x:v>NEO-MATH-DISC-04</x:v>
      </x:c>
      <x:c r="C11" s="28" t="str">
        <x:v>Discovery / Reconnection</x:v>
      </x:c>
      <x:c r="D11" s="28" t="str">
        <x:v>Fractions, Decimals and Percentages as One Family</x:v>
      </x:c>
      <x:c r="E11" s="28" t="str">
        <x:v>Pearson Edexcel Functional Skills Mathematics (2019)</x:v>
      </x:c>
      <x:c r="F11" s="28" t="str">
        <x:v>Level 1 / Level 2 differentiated</x:v>
      </x:c>
      <x:c r="G11" s="28" t="str">
        <x:v>NC KS3 Number and Ratio; FS L1 8-17; FS L2 4-10</x:v>
      </x:c>
      <x:c r="H11" s="28" t="str">
        <x:v>Canonical learning is applied to realistic problems, decision making, checking reasonableness and communicating results.</x:v>
      </x:c>
      <x:c r="I11" s="28" t="str">
        <x:v>https://qualifications.pearson.com/en/qualifications/edexcel-functional-skills/maths-2019.html</x:v>
      </x:c>
      <x:c r="J11" s="36" t="str">
        <x:v>Pearson page lists L1/L2 review date 31 August 2028; verify at annual review.</x:v>
      </x:c>
    </x:row>
    <x:row r="12" ht="64" customHeight="1">
      <x:c r="A12" s="35" t="str">
        <x:v>OV-0008</x:v>
      </x:c>
      <x:c r="B12" s="28" t="str">
        <x:v>NEO-MATH-DISC-05</x:v>
      </x:c>
      <x:c r="C12" s="28" t="str">
        <x:v>Discovery / Reconnection</x:v>
      </x:c>
      <x:c r="D12" s="28" t="str">
        <x:v>Patterns Before Letters</x:v>
      </x:c>
      <x:c r="E12" s="28" t="str">
        <x:v>National Curriculum KS3 Mathematics</x:v>
      </x:c>
      <x:c r="F12" s="28" t="str">
        <x:v>KS3</x:v>
      </x:c>
      <x:c r="G12" s="28" t="str">
        <x:v>NC KS3 Algebra; FS L1 5; FS L2 3</x:v>
      </x:c>
      <x:c r="H12" s="28" t="str">
        <x:v>Canonical Stepping Stones build fluency, reasoning, representation and problem solving within the named domain.</x:v>
      </x:c>
      <x:c r="I12" s="28" t="str">
        <x:v>https://www.gov.uk/government/publications/national-curriculum-in-england-mathematics-programmes-of-study/national-curriculum-in-england-mathematics-programmes-of-study</x:v>
      </x:c>
      <x:c r="J12" s="36" t="str">
        <x:v>Statutory KS3 programme; sequence by readiness and secure understanding.</x:v>
      </x:c>
    </x:row>
    <x:row r="13" ht="64" customHeight="1">
      <x:c r="A13" s="35" t="str">
        <x:v>OV-0009</x:v>
      </x:c>
      <x:c r="B13" s="28" t="str">
        <x:v>NEO-MATH-DISC-05</x:v>
      </x:c>
      <x:c r="C13" s="28" t="str">
        <x:v>Discovery / Reconnection</x:v>
      </x:c>
      <x:c r="D13" s="28" t="str">
        <x:v>Patterns Before Letters</x:v>
      </x:c>
      <x:c r="E13" s="28" t="str">
        <x:v>Pearson Edexcel Functional Skills Mathematics (2019)</x:v>
      </x:c>
      <x:c r="F13" s="28" t="str">
        <x:v>Level 1 / Level 2 differentiated</x:v>
      </x:c>
      <x:c r="G13" s="28" t="str">
        <x:v>NC KS3 Algebra; FS L1 5; FS L2 3</x:v>
      </x:c>
      <x:c r="H13" s="28" t="str">
        <x:v>Canonical learning is applied to realistic problems, decision making, checking reasonableness and communicating results.</x:v>
      </x:c>
      <x:c r="I13" s="28" t="str">
        <x:v>https://qualifications.pearson.com/en/qualifications/edexcel-functional-skills/maths-2019.html</x:v>
      </x:c>
      <x:c r="J13" s="36" t="str">
        <x:v>Pearson page lists L1/L2 review date 31 August 2028; verify at annual review.</x:v>
      </x:c>
    </x:row>
    <x:row r="14" ht="64" customHeight="1">
      <x:c r="A14" s="35" t="str">
        <x:v>OV-0010</x:v>
      </x:c>
      <x:c r="B14" s="28" t="str">
        <x:v>NEO-MATH-DISC-06</x:v>
      </x:c>
      <x:c r="C14" s="28" t="str">
        <x:v>Discovery / Reconnection</x:v>
      </x:c>
      <x:c r="D14" s="28" t="str">
        <x:v>Shape, Space and Measure Around Me</x:v>
      </x:c>
      <x:c r="E14" s="28" t="str">
        <x:v>National Curriculum KS3 Mathematics</x:v>
      </x:c>
      <x:c r="F14" s="28" t="str">
        <x:v>KS3</x:v>
      </x:c>
      <x:c r="G14" s="28" t="str">
        <x:v>NC KS3 Geometry/Measures; FS L1 20-26; FS L2 14-22</x:v>
      </x:c>
      <x:c r="H14" s="28" t="str">
        <x:v>Canonical Stepping Stones build fluency, reasoning, representation and problem solving within the named domain.</x:v>
      </x:c>
      <x:c r="I14" s="28" t="str">
        <x:v>https://www.gov.uk/government/publications/national-curriculum-in-england-mathematics-programmes-of-study/national-curriculum-in-england-mathematics-programmes-of-study</x:v>
      </x:c>
      <x:c r="J14" s="36" t="str">
        <x:v>Statutory KS3 programme; sequence by readiness and secure understanding.</x:v>
      </x:c>
    </x:row>
    <x:row r="15" ht="64" customHeight="1">
      <x:c r="A15" s="35" t="str">
        <x:v>OV-0011</x:v>
      </x:c>
      <x:c r="B15" s="28" t="str">
        <x:v>NEO-MATH-DISC-06</x:v>
      </x:c>
      <x:c r="C15" s="28" t="str">
        <x:v>Discovery / Reconnection</x:v>
      </x:c>
      <x:c r="D15" s="28" t="str">
        <x:v>Shape, Space and Measure Around Me</x:v>
      </x:c>
      <x:c r="E15" s="28" t="str">
        <x:v>Pearson Edexcel Functional Skills Mathematics (2019)</x:v>
      </x:c>
      <x:c r="F15" s="28" t="str">
        <x:v>Level 1 / Level 2 differentiated</x:v>
      </x:c>
      <x:c r="G15" s="28" t="str">
        <x:v>NC KS3 Geometry/Measures; FS L1 20-26; FS L2 14-22</x:v>
      </x:c>
      <x:c r="H15" s="28" t="str">
        <x:v>Canonical learning is applied to realistic problems, decision making, checking reasonableness and communicating results.</x:v>
      </x:c>
      <x:c r="I15" s="28" t="str">
        <x:v>https://qualifications.pearson.com/en/qualifications/edexcel-functional-skills/maths-2019.html</x:v>
      </x:c>
      <x:c r="J15" s="36" t="str">
        <x:v>Pearson page lists L1/L2 review date 31 August 2028; verify at annual review.</x:v>
      </x:c>
    </x:row>
    <x:row r="16" ht="64" customHeight="1">
      <x:c r="A16" s="35" t="str">
        <x:v>OV-0012</x:v>
      </x:c>
      <x:c r="B16" s="28" t="str">
        <x:v>NEO-MATH-DISC-07</x:v>
      </x:c>
      <x:c r="C16" s="28" t="str">
        <x:v>Discovery / Reconnection</x:v>
      </x:c>
      <x:c r="D16" s="28" t="str">
        <x:v>What Can Data Really Tell Me?</x:v>
      </x:c>
      <x:c r="E16" s="28" t="str">
        <x:v>National Curriculum KS3 Mathematics</x:v>
      </x:c>
      <x:c r="F16" s="28" t="str">
        <x:v>KS3</x:v>
      </x:c>
      <x:c r="G16" s="28" t="str">
        <x:v>NC KS3 Statistics/Probability; FS L1 27-31; FS L2 23-28</x:v>
      </x:c>
      <x:c r="H16" s="28" t="str">
        <x:v>Canonical Stepping Stones build fluency, reasoning, representation and problem solving within the named domain.</x:v>
      </x:c>
      <x:c r="I16" s="28" t="str">
        <x:v>https://www.gov.uk/government/publications/national-curriculum-in-england-mathematics-programmes-of-study/national-curriculum-in-england-mathematics-programmes-of-study</x:v>
      </x:c>
      <x:c r="J16" s="36" t="str">
        <x:v>Statutory KS3 programme; sequence by readiness and secure understanding.</x:v>
      </x:c>
    </x:row>
    <x:row r="17" ht="64" customHeight="1">
      <x:c r="A17" s="35" t="str">
        <x:v>OV-0013</x:v>
      </x:c>
      <x:c r="B17" s="28" t="str">
        <x:v>NEO-MATH-DISC-07</x:v>
      </x:c>
      <x:c r="C17" s="28" t="str">
        <x:v>Discovery / Reconnection</x:v>
      </x:c>
      <x:c r="D17" s="28" t="str">
        <x:v>What Can Data Really Tell Me?</x:v>
      </x:c>
      <x:c r="E17" s="28" t="str">
        <x:v>Pearson Edexcel Functional Skills Mathematics (2019)</x:v>
      </x:c>
      <x:c r="F17" s="28" t="str">
        <x:v>Level 1 / Level 2 differentiated</x:v>
      </x:c>
      <x:c r="G17" s="28" t="str">
        <x:v>NC KS3 Statistics/Probability; FS L1 27-31; FS L2 23-28</x:v>
      </x:c>
      <x:c r="H17" s="28" t="str">
        <x:v>Canonical learning is applied to realistic problems, decision making, checking reasonableness and communicating results.</x:v>
      </x:c>
      <x:c r="I17" s="28" t="str">
        <x:v>https://qualifications.pearson.com/en/qualifications/edexcel-functional-skills/maths-2019.html</x:v>
      </x:c>
      <x:c r="J17" s="36" t="str">
        <x:v>Pearson page lists L1/L2 review date 31 August 2028; verify at annual review.</x:v>
      </x:c>
    </x:row>
    <x:row r="18" ht="64" customHeight="1">
      <x:c r="A18" s="35" t="str">
        <x:v>OV-0014</x:v>
      </x:c>
      <x:c r="B18" s="28" t="str">
        <x:v>NEO-MATH-DISC-08</x:v>
      </x:c>
      <x:c r="C18" s="28" t="str">
        <x:v>Discovery / Reconnection</x:v>
      </x:c>
      <x:c r="D18" s="28" t="str">
        <x:v>Maths for a Real Decision</x:v>
      </x:c>
      <x:c r="E18" s="28" t="str">
        <x:v>Pearson Edexcel Functional Skills Mathematics (2019)</x:v>
      </x:c>
      <x:c r="F18" s="28" t="str">
        <x:v>Level 1 / Level 2 differentiated</x:v>
      </x:c>
      <x:c r="G18" s="28" t="str">
        <x:v>FS problem solving and decision making; pathway bridge</x:v>
      </x:c>
      <x:c r="H18" s="28" t="str">
        <x:v>Canonical learning is applied to realistic problems, decision making, checking reasonableness and communicating results.</x:v>
      </x:c>
      <x:c r="I18" s="28" t="str">
        <x:v>https://qualifications.pearson.com/en/qualifications/edexcel-functional-skills/maths-2019.html</x:v>
      </x:c>
      <x:c r="J18" s="36" t="str">
        <x:v>Pearson page lists L1/L2 review date 31 August 2028; verify at annual review.</x:v>
      </x:c>
    </x:row>
    <x:row r="19" ht="64" customHeight="1">
      <x:c r="A19" s="35" t="str">
        <x:v>OV-0015</x:v>
      </x:c>
      <x:c r="B19" s="28" t="str">
        <x:v>NEO-MATH-Y7-01</x:v>
      </x:c>
      <x:c r="C19" s="28" t="str">
        <x:v>Year 7 Foundations</x:v>
      </x:c>
      <x:c r="D19" s="28" t="str">
        <x:v>How Much Is a Digit Worth?</x:v>
      </x:c>
      <x:c r="E19" s="28" t="str">
        <x:v>National Curriculum KS3 Mathematics</x:v>
      </x:c>
      <x:c r="F19" s="28" t="str">
        <x:v>KS3</x:v>
      </x:c>
      <x:c r="G19" s="28" t="str">
        <x:v>KS3 Number / Working Mathematically</x:v>
      </x:c>
      <x:c r="H19" s="28" t="str">
        <x:v>Canonical Stepping Stones build fluency, reasoning, representation and problem solving within the named domain.</x:v>
      </x:c>
      <x:c r="I19" s="28" t="str">
        <x:v>https://www.gov.uk/government/publications/national-curriculum-in-england-mathematics-programmes-of-study/national-curriculum-in-england-mathematics-programmes-of-study</x:v>
      </x:c>
      <x:c r="J19" s="36" t="str">
        <x:v>Statutory KS3 programme; sequence by readiness and secure understanding.</x:v>
      </x:c>
    </x:row>
    <x:row r="20" ht="64" customHeight="1">
      <x:c r="A20" s="35" t="str">
        <x:v>OV-0016</x:v>
      </x:c>
      <x:c r="B20" s="28" t="str">
        <x:v>NEO-MATH-Y7-02</x:v>
      </x:c>
      <x:c r="C20" s="28" t="str">
        <x:v>Year 7 Foundations</x:v>
      </x:c>
      <x:c r="D20" s="28" t="str">
        <x:v>Calculations That Make Sense</x:v>
      </x:c>
      <x:c r="E20" s="28" t="str">
        <x:v>National Curriculum KS3 Mathematics</x:v>
      </x:c>
      <x:c r="F20" s="28" t="str">
        <x:v>KS3</x:v>
      </x:c>
      <x:c r="G20" s="28" t="str">
        <x:v>KS3 Number; FS L1 2-7,15; FS L2 1-2,12</x:v>
      </x:c>
      <x:c r="H20" s="28" t="str">
        <x:v>Canonical Stepping Stones build fluency, reasoning, representation and problem solving within the named domain.</x:v>
      </x:c>
      <x:c r="I20" s="28" t="str">
        <x:v>https://www.gov.uk/government/publications/national-curriculum-in-england-mathematics-programmes-of-study/national-curriculum-in-england-mathematics-programmes-of-study</x:v>
      </x:c>
      <x:c r="J20" s="36" t="str">
        <x:v>Statutory KS3 programme; sequence by readiness and secure understanding.</x:v>
      </x:c>
    </x:row>
    <x:row r="21" ht="64" customHeight="1">
      <x:c r="A21" s="35" t="str">
        <x:v>OV-0017</x:v>
      </x:c>
      <x:c r="B21" s="28" t="str">
        <x:v>NEO-MATH-Y7-02</x:v>
      </x:c>
      <x:c r="C21" s="28" t="str">
        <x:v>Year 7 Foundations</x:v>
      </x:c>
      <x:c r="D21" s="28" t="str">
        <x:v>Calculations That Make Sense</x:v>
      </x:c>
      <x:c r="E21" s="28" t="str">
        <x:v>Pearson Edexcel Functional Skills Mathematics (2019)</x:v>
      </x:c>
      <x:c r="F21" s="28" t="str">
        <x:v>Level 1 / Level 2 differentiated</x:v>
      </x:c>
      <x:c r="G21" s="28" t="str">
        <x:v>KS3 Number; FS L1 2-7,15; FS L2 1-2,12</x:v>
      </x:c>
      <x:c r="H21" s="28" t="str">
        <x:v>Canonical learning is applied to realistic problems, decision making, checking reasonableness and communicating results.</x:v>
      </x:c>
      <x:c r="I21" s="28" t="str">
        <x:v>https://qualifications.pearson.com/en/qualifications/edexcel-functional-skills/maths-2019.html</x:v>
      </x:c>
      <x:c r="J21" s="36" t="str">
        <x:v>Pearson page lists L1/L2 review date 31 August 2028; verify at annual review.</x:v>
      </x:c>
    </x:row>
    <x:row r="22" ht="64" customHeight="1">
      <x:c r="A22" s="35" t="str">
        <x:v>OV-0018</x:v>
      </x:c>
      <x:c r="B22" s="28" t="str">
        <x:v>NEO-MATH-Y7-03</x:v>
      </x:c>
      <x:c r="C22" s="28" t="str">
        <x:v>Year 7 Foundations</x:v>
      </x:c>
      <x:c r="D22" s="28" t="str">
        <x:v>Patterns, Factors and Hidden Structure</x:v>
      </x:c>
      <x:c r="E22" s="28" t="str">
        <x:v>National Curriculum KS3 Mathematics</x:v>
      </x:c>
      <x:c r="F22" s="28" t="str">
        <x:v>KS3</x:v>
      </x:c>
      <x:c r="G22" s="28" t="str">
        <x:v>KS3 Number and Algebra</x:v>
      </x:c>
      <x:c r="H22" s="28" t="str">
        <x:v>Canonical Stepping Stones build fluency, reasoning, representation and problem solving within the named domain.</x:v>
      </x:c>
      <x:c r="I22" s="28" t="str">
        <x:v>https://www.gov.uk/government/publications/national-curriculum-in-england-mathematics-programmes-of-study/national-curriculum-in-england-mathematics-programmes-of-study</x:v>
      </x:c>
      <x:c r="J22" s="36" t="str">
        <x:v>Statutory KS3 programme; sequence by readiness and secure understanding.</x:v>
      </x:c>
    </x:row>
    <x:row r="23" ht="64" customHeight="1">
      <x:c r="A23" s="35" t="str">
        <x:v>OV-0019</x:v>
      </x:c>
      <x:c r="B23" s="28" t="str">
        <x:v>NEO-MATH-Y7-04</x:v>
      </x:c>
      <x:c r="C23" s="28" t="str">
        <x:v>Year 7 Foundations</x:v>
      </x:c>
      <x:c r="D23" s="28" t="str">
        <x:v>One Amount, Three Languages</x:v>
      </x:c>
      <x:c r="E23" s="28" t="str">
        <x:v>National Curriculum KS3 Mathematics</x:v>
      </x:c>
      <x:c r="F23" s="28" t="str">
        <x:v>KS3</x:v>
      </x:c>
      <x:c r="G23" s="28" t="str">
        <x:v>KS3 Number/Ratio; FS L1 8-17; FS L2 4-10</x:v>
      </x:c>
      <x:c r="H23" s="28" t="str">
        <x:v>Canonical Stepping Stones build fluency, reasoning, representation and problem solving within the named domain.</x:v>
      </x:c>
      <x:c r="I23" s="28" t="str">
        <x:v>https://www.gov.uk/government/publications/national-curriculum-in-england-mathematics-programmes-of-study/national-curriculum-in-england-mathematics-programmes-of-study</x:v>
      </x:c>
      <x:c r="J23" s="36" t="str">
        <x:v>Statutory KS3 programme; sequence by readiness and secure understanding.</x:v>
      </x:c>
    </x:row>
    <x:row r="24" ht="64" customHeight="1">
      <x:c r="A24" s="35" t="str">
        <x:v>OV-0020</x:v>
      </x:c>
      <x:c r="B24" s="28" t="str">
        <x:v>NEO-MATH-Y7-04</x:v>
      </x:c>
      <x:c r="C24" s="28" t="str">
        <x:v>Year 7 Foundations</x:v>
      </x:c>
      <x:c r="D24" s="28" t="str">
        <x:v>One Amount, Three Languages</x:v>
      </x:c>
      <x:c r="E24" s="28" t="str">
        <x:v>Pearson Edexcel Functional Skills Mathematics (2019)</x:v>
      </x:c>
      <x:c r="F24" s="28" t="str">
        <x:v>Level 1 / Level 2 differentiated</x:v>
      </x:c>
      <x:c r="G24" s="28" t="str">
        <x:v>KS3 Number/Ratio; FS L1 8-17; FS L2 4-10</x:v>
      </x:c>
      <x:c r="H24" s="28" t="str">
        <x:v>Canonical learning is applied to realistic problems, decision making, checking reasonableness and communicating results.</x:v>
      </x:c>
      <x:c r="I24" s="28" t="str">
        <x:v>https://qualifications.pearson.com/en/qualifications/edexcel-functional-skills/maths-2019.html</x:v>
      </x:c>
      <x:c r="J24" s="36" t="str">
        <x:v>Pearson page lists L1/L2 review date 31 August 2028; verify at annual review.</x:v>
      </x:c>
    </x:row>
    <x:row r="25" ht="64" customHeight="1">
      <x:c r="A25" s="35" t="str">
        <x:v>OV-0021</x:v>
      </x:c>
      <x:c r="B25" s="28" t="str">
        <x:v>NEO-MATH-Y7-05</x:v>
      </x:c>
      <x:c r="C25" s="28" t="str">
        <x:v>Year 7 Foundations</x:v>
      </x:c>
      <x:c r="D25" s="28" t="str">
        <x:v>Angles Tell Us Why</x:v>
      </x:c>
      <x:c r="E25" s="28" t="str">
        <x:v>National Curriculum KS3 Mathematics</x:v>
      </x:c>
      <x:c r="F25" s="28" t="str">
        <x:v>KS3</x:v>
      </x:c>
      <x:c r="G25" s="28" t="str">
        <x:v>KS3 Geometry and Measures</x:v>
      </x:c>
      <x:c r="H25" s="28" t="str">
        <x:v>Canonical Stepping Stones build fluency, reasoning, representation and problem solving within the named domain.</x:v>
      </x:c>
      <x:c r="I25" s="28" t="str">
        <x:v>https://www.gov.uk/government/publications/national-curriculum-in-england-mathematics-programmes-of-study/national-curriculum-in-england-mathematics-programmes-of-study</x:v>
      </x:c>
      <x:c r="J25" s="36" t="str">
        <x:v>Statutory KS3 programme; sequence by readiness and secure understanding.</x:v>
      </x:c>
    </x:row>
    <x:row r="26" ht="64" customHeight="1">
      <x:c r="A26" s="35" t="str">
        <x:v>OV-0022</x:v>
      </x:c>
      <x:c r="B26" s="28" t="str">
        <x:v>NEO-MATH-Y7-06</x:v>
      </x:c>
      <x:c r="C26" s="28" t="str">
        <x:v>Year 7 Foundations</x:v>
      </x:c>
      <x:c r="D26" s="28" t="str">
        <x:v>Perimeter and Area: Same Shape Story?</x:v>
      </x:c>
      <x:c r="E26" s="28" t="str">
        <x:v>National Curriculum KS3 Mathematics</x:v>
      </x:c>
      <x:c r="F26" s="28" t="str">
        <x:v>KS3</x:v>
      </x:c>
      <x:c r="G26" s="28" t="str">
        <x:v>KS3 Geometry/Measures; FS L1 20,22; FS L2 16</x:v>
      </x:c>
      <x:c r="H26" s="28" t="str">
        <x:v>Canonical Stepping Stones build fluency, reasoning, representation and problem solving within the named domain.</x:v>
      </x:c>
      <x:c r="I26" s="28" t="str">
        <x:v>https://www.gov.uk/government/publications/national-curriculum-in-england-mathematics-programmes-of-study/national-curriculum-in-england-mathematics-programmes-of-study</x:v>
      </x:c>
      <x:c r="J26" s="36" t="str">
        <x:v>Statutory KS3 programme; sequence by readiness and secure understanding.</x:v>
      </x:c>
    </x:row>
    <x:row r="27" ht="64" customHeight="1">
      <x:c r="A27" s="35" t="str">
        <x:v>OV-0023</x:v>
      </x:c>
      <x:c r="B27" s="28" t="str">
        <x:v>NEO-MATH-Y7-06</x:v>
      </x:c>
      <x:c r="C27" s="28" t="str">
        <x:v>Year 7 Foundations</x:v>
      </x:c>
      <x:c r="D27" s="28" t="str">
        <x:v>Perimeter and Area: Same Shape Story?</x:v>
      </x:c>
      <x:c r="E27" s="28" t="str">
        <x:v>Pearson Edexcel Functional Skills Mathematics (2019)</x:v>
      </x:c>
      <x:c r="F27" s="28" t="str">
        <x:v>Level 1 / Level 2 differentiated</x:v>
      </x:c>
      <x:c r="G27" s="28" t="str">
        <x:v>KS3 Geometry/Measures; FS L1 20,22; FS L2 16</x:v>
      </x:c>
      <x:c r="H27" s="28" t="str">
        <x:v>Canonical learning is applied to realistic problems, decision making, checking reasonableness and communicating results.</x:v>
      </x:c>
      <x:c r="I27" s="28" t="str">
        <x:v>https://qualifications.pearson.com/en/qualifications/edexcel-functional-skills/maths-2019.html</x:v>
      </x:c>
      <x:c r="J27" s="36" t="str">
        <x:v>Pearson page lists L1/L2 review date 31 August 2028; verify at annual review.</x:v>
      </x:c>
    </x:row>
    <x:row r="28" ht="64" customHeight="1">
      <x:c r="A28" s="35" t="str">
        <x:v>OV-0024</x:v>
      </x:c>
      <x:c r="B28" s="28" t="str">
        <x:v>NEO-MATH-Y7-07</x:v>
      </x:c>
      <x:c r="C28" s="28" t="str">
        <x:v>Year 7 Foundations</x:v>
      </x:c>
      <x:c r="D28" s="28" t="str">
        <x:v>Relationships That Scale</x:v>
      </x:c>
      <x:c r="E28" s="28" t="str">
        <x:v>National Curriculum KS3 Mathematics</x:v>
      </x:c>
      <x:c r="F28" s="28" t="str">
        <x:v>KS3</x:v>
      </x:c>
      <x:c r="G28" s="28" t="str">
        <x:v>KS3 Ratio and Proportion; 4MA1 1.7; FS L1 17; FS L2 11</x:v>
      </x:c>
      <x:c r="H28" s="28" t="str">
        <x:v>Canonical Stepping Stones build fluency, reasoning, representation and problem solving within the named domain.</x:v>
      </x:c>
      <x:c r="I28" s="28" t="str">
        <x:v>https://www.gov.uk/government/publications/national-curriculum-in-england-mathematics-programmes-of-study/national-curriculum-in-england-mathematics-programmes-of-study</x:v>
      </x:c>
      <x:c r="J28" s="36" t="str">
        <x:v>Statutory KS3 programme; sequence by readiness and secure understanding.</x:v>
      </x:c>
    </x:row>
    <x:row r="29" ht="64" customHeight="1">
      <x:c r="A29" s="35" t="str">
        <x:v>OV-0025</x:v>
      </x:c>
      <x:c r="B29" s="28" t="str">
        <x:v>NEO-MATH-Y7-07</x:v>
      </x:c>
      <x:c r="C29" s="28" t="str">
        <x:v>Year 7 Foundations</x:v>
      </x:c>
      <x:c r="D29" s="28" t="str">
        <x:v>Relationships That Scale</x:v>
      </x:c>
      <x:c r="E29" s="28" t="str">
        <x:v>Pearson Edexcel International GCSE Mathematics A (4MA1)</x:v>
      </x:c>
      <x:c r="F29" s="28" t="str">
        <x:v>Foundation/Higher bridge</x:v>
      </x:c>
      <x:c r="G29" s="28" t="str">
        <x:v>KS3 Ratio and Proportion; 4MA1 1.7; FS L1 17; FS L2 11</x:v>
      </x:c>
      <x:c r="H29" s="28" t="str">
        <x:v>Canonical outcomes map to the relevant 4MA1 content while the lesson remains inquiry-led and representation-rich.</x:v>
      </x:c>
      <x:c r="I29" s="28" t="str">
        <x:v>https://qualifications.pearson.com/en/qualifications/edexcel-international-gcses/international-gcse-mathematics-a-2016.html</x:v>
      </x:c>
      <x:c r="J29" s="36" t="str">
        <x:v>Current NEO draft names 4MA1. Recheck Pearson specification issue and entry route annually.</x:v>
      </x:c>
    </x:row>
    <x:row r="30" ht="64" customHeight="1">
      <x:c r="A30" s="35" t="str">
        <x:v>OV-0026</x:v>
      </x:c>
      <x:c r="B30" s="28" t="str">
        <x:v>NEO-MATH-Y7-07</x:v>
      </x:c>
      <x:c r="C30" s="28" t="str">
        <x:v>Year 7 Foundations</x:v>
      </x:c>
      <x:c r="D30" s="28" t="str">
        <x:v>Relationships That Scale</x:v>
      </x:c>
      <x:c r="E30" s="28" t="str">
        <x:v>Pearson Edexcel Functional Skills Mathematics (2019)</x:v>
      </x:c>
      <x:c r="F30" s="28" t="str">
        <x:v>Level 1 / Level 2 differentiated</x:v>
      </x:c>
      <x:c r="G30" s="28" t="str">
        <x:v>KS3 Ratio and Proportion; 4MA1 1.7; FS L1 17; FS L2 11</x:v>
      </x:c>
      <x:c r="H30" s="28" t="str">
        <x:v>Canonical learning is applied to realistic problems, decision making, checking reasonableness and communicating results.</x:v>
      </x:c>
      <x:c r="I30" s="28" t="str">
        <x:v>https://qualifications.pearson.com/en/qualifications/edexcel-functional-skills/maths-2019.html</x:v>
      </x:c>
      <x:c r="J30" s="36" t="str">
        <x:v>Pearson page lists L1/L2 review date 31 August 2028; verify at annual review.</x:v>
      </x:c>
    </x:row>
    <x:row r="31" ht="64" customHeight="1">
      <x:c r="A31" s="35" t="str">
        <x:v>OV-0027</x:v>
      </x:c>
      <x:c r="B31" s="28" t="str">
        <x:v>NEO-MATH-Y7-08</x:v>
      </x:c>
      <x:c r="C31" s="28" t="str">
        <x:v>Year 7 Foundations</x:v>
      </x:c>
      <x:c r="D31" s="28" t="str">
        <x:v>Coordinates and Moves</x:v>
      </x:c>
      <x:c r="E31" s="28" t="str">
        <x:v>National Curriculum KS3 Mathematics</x:v>
      </x:c>
      <x:c r="F31" s="28" t="str">
        <x:v>KS3</x:v>
      </x:c>
      <x:c r="G31" s="28" t="str">
        <x:v>KS3 Geometry/Algebra</x:v>
      </x:c>
      <x:c r="H31" s="28" t="str">
        <x:v>Canonical Stepping Stones build fluency, reasoning, representation and problem solving within the named domain.</x:v>
      </x:c>
      <x:c r="I31" s="28" t="str">
        <x:v>https://www.gov.uk/government/publications/national-curriculum-in-england-mathematics-programmes-of-study/national-curriculum-in-england-mathematics-programmes-of-study</x:v>
      </x:c>
      <x:c r="J31" s="36" t="str">
        <x:v>Statutory KS3 programme; sequence by readiness and secure understanding.</x:v>
      </x:c>
    </x:row>
    <x:row r="32" ht="64" customHeight="1">
      <x:c r="A32" s="35" t="str">
        <x:v>OV-0028</x:v>
      </x:c>
      <x:c r="B32" s="28" t="str">
        <x:v>NEO-MATH-Y7-09</x:v>
      </x:c>
      <x:c r="C32" s="28" t="str">
        <x:v>Year 7 Foundations</x:v>
      </x:c>
      <x:c r="D32" s="28" t="str">
        <x:v>Averages and Fair Shares</x:v>
      </x:c>
      <x:c r="E32" s="28" t="str">
        <x:v>National Curriculum KS3 Mathematics</x:v>
      </x:c>
      <x:c r="F32" s="28" t="str">
        <x:v>KS3</x:v>
      </x:c>
      <x:c r="G32" s="28" t="str">
        <x:v>KS3 Statistics; FS L1 27-29; FS L2 23-25</x:v>
      </x:c>
      <x:c r="H32" s="28" t="str">
        <x:v>Canonical Stepping Stones build fluency, reasoning, representation and problem solving within the named domain.</x:v>
      </x:c>
      <x:c r="I32" s="28" t="str">
        <x:v>https://www.gov.uk/government/publications/national-curriculum-in-england-mathematics-programmes-of-study/national-curriculum-in-england-mathematics-programmes-of-study</x:v>
      </x:c>
      <x:c r="J32" s="36" t="str">
        <x:v>Statutory KS3 programme; sequence by readiness and secure understanding.</x:v>
      </x:c>
    </x:row>
    <x:row r="33" ht="64" customHeight="1">
      <x:c r="A33" s="35" t="str">
        <x:v>OV-0029</x:v>
      </x:c>
      <x:c r="B33" s="28" t="str">
        <x:v>NEO-MATH-Y7-09</x:v>
      </x:c>
      <x:c r="C33" s="28" t="str">
        <x:v>Year 7 Foundations</x:v>
      </x:c>
      <x:c r="D33" s="28" t="str">
        <x:v>Averages and Fair Shares</x:v>
      </x:c>
      <x:c r="E33" s="28" t="str">
        <x:v>Pearson Edexcel Functional Skills Mathematics (2019)</x:v>
      </x:c>
      <x:c r="F33" s="28" t="str">
        <x:v>Level 1 / Level 2 differentiated</x:v>
      </x:c>
      <x:c r="G33" s="28" t="str">
        <x:v>KS3 Statistics; FS L1 27-29; FS L2 23-25</x:v>
      </x:c>
      <x:c r="H33" s="28" t="str">
        <x:v>Canonical learning is applied to realistic problems, decision making, checking reasonableness and communicating results.</x:v>
      </x:c>
      <x:c r="I33" s="28" t="str">
        <x:v>https://qualifications.pearson.com/en/qualifications/edexcel-functional-skills/maths-2019.html</x:v>
      </x:c>
      <x:c r="J33" s="36" t="str">
        <x:v>Pearson page lists L1/L2 review date 31 August 2028; verify at annual review.</x:v>
      </x:c>
    </x:row>
    <x:row r="34" ht="64" customHeight="1">
      <x:c r="A34" s="35" t="str">
        <x:v>OV-0030</x:v>
      </x:c>
      <x:c r="B34" s="28" t="str">
        <x:v>NEO-MATH-Y7-10</x:v>
      </x:c>
      <x:c r="C34" s="28" t="str">
        <x:v>Year 7 Foundations</x:v>
      </x:c>
      <x:c r="D34" s="28" t="str">
        <x:v>Chance, Experiments and Fairness</x:v>
      </x:c>
      <x:c r="E34" s="28" t="str">
        <x:v>National Curriculum KS3 Mathematics</x:v>
      </x:c>
      <x:c r="F34" s="28" t="str">
        <x:v>KS3</x:v>
      </x:c>
      <x:c r="G34" s="28" t="str">
        <x:v>KS3 Probability; FS L1 30-31; FS L2 26-27</x:v>
      </x:c>
      <x:c r="H34" s="28" t="str">
        <x:v>Canonical Stepping Stones build fluency, reasoning, representation and problem solving within the named domain.</x:v>
      </x:c>
      <x:c r="I34" s="28" t="str">
        <x:v>https://www.gov.uk/government/publications/national-curriculum-in-england-mathematics-programmes-of-study/national-curriculum-in-england-mathematics-programmes-of-study</x:v>
      </x:c>
      <x:c r="J34" s="36" t="str">
        <x:v>Statutory KS3 programme; sequence by readiness and secure understanding.</x:v>
      </x:c>
    </x:row>
    <x:row r="35" ht="64" customHeight="1">
      <x:c r="A35" s="35" t="str">
        <x:v>OV-0031</x:v>
      </x:c>
      <x:c r="B35" s="28" t="str">
        <x:v>NEO-MATH-Y7-10</x:v>
      </x:c>
      <x:c r="C35" s="28" t="str">
        <x:v>Year 7 Foundations</x:v>
      </x:c>
      <x:c r="D35" s="28" t="str">
        <x:v>Chance, Experiments and Fairness</x:v>
      </x:c>
      <x:c r="E35" s="28" t="str">
        <x:v>Pearson Edexcel Functional Skills Mathematics (2019)</x:v>
      </x:c>
      <x:c r="F35" s="28" t="str">
        <x:v>Level 1 / Level 2 differentiated</x:v>
      </x:c>
      <x:c r="G35" s="28" t="str">
        <x:v>KS3 Probability; FS L1 30-31; FS L2 26-27</x:v>
      </x:c>
      <x:c r="H35" s="28" t="str">
        <x:v>Canonical learning is applied to realistic problems, decision making, checking reasonableness and communicating results.</x:v>
      </x:c>
      <x:c r="I35" s="28" t="str">
        <x:v>https://qualifications.pearson.com/en/qualifications/edexcel-functional-skills/maths-2019.html</x:v>
      </x:c>
      <x:c r="J35" s="36" t="str">
        <x:v>Pearson page lists L1/L2 review date 31 August 2028; verify at annual review.</x:v>
      </x:c>
    </x:row>
    <x:row r="36" ht="64" customHeight="1">
      <x:c r="A36" s="35" t="str">
        <x:v>OV-0032</x:v>
      </x:c>
      <x:c r="B36" s="28" t="str">
        <x:v>NEO-MATH-Y8-01</x:v>
      </x:c>
      <x:c r="C36" s="28" t="str">
        <x:v>Year 8 Connections</x:v>
      </x:c>
      <x:c r="D36" s="28" t="str">
        <x:v>Percent Change and the Story of Growth</x:v>
      </x:c>
      <x:c r="E36" s="28" t="str">
        <x:v>National Curriculum KS3 Mathematics</x:v>
      </x:c>
      <x:c r="F36" s="28" t="str">
        <x:v>KS3</x:v>
      </x:c>
      <x:c r="G36" s="28" t="str">
        <x:v>KS3 Number/Ratio; 4MA1 1.6; FS L2 5-6,13</x:v>
      </x:c>
      <x:c r="H36" s="28" t="str">
        <x:v>Canonical Stepping Stones build fluency, reasoning, representation and problem solving within the named domain.</x:v>
      </x:c>
      <x:c r="I36" s="28" t="str">
        <x:v>https://www.gov.uk/government/publications/national-curriculum-in-england-mathematics-programmes-of-study/national-curriculum-in-england-mathematics-programmes-of-study</x:v>
      </x:c>
      <x:c r="J36" s="36" t="str">
        <x:v>Statutory KS3 programme; sequence by readiness and secure understanding.</x:v>
      </x:c>
    </x:row>
    <x:row r="37" ht="64" customHeight="1">
      <x:c r="A37" s="35" t="str">
        <x:v>OV-0033</x:v>
      </x:c>
      <x:c r="B37" s="28" t="str">
        <x:v>NEO-MATH-Y8-01</x:v>
      </x:c>
      <x:c r="C37" s="28" t="str">
        <x:v>Year 8 Connections</x:v>
      </x:c>
      <x:c r="D37" s="28" t="str">
        <x:v>Percent Change and the Story of Growth</x:v>
      </x:c>
      <x:c r="E37" s="28" t="str">
        <x:v>Pearson Edexcel International GCSE Mathematics A (4MA1)</x:v>
      </x:c>
      <x:c r="F37" s="28" t="str">
        <x:v>Foundation/Higher bridge</x:v>
      </x:c>
      <x:c r="G37" s="28" t="str">
        <x:v>KS3 Number/Ratio; 4MA1 1.6; FS L2 5-6,13</x:v>
      </x:c>
      <x:c r="H37" s="28" t="str">
        <x:v>Canonical outcomes map to the relevant 4MA1 content while the lesson remains inquiry-led and representation-rich.</x:v>
      </x:c>
      <x:c r="I37" s="28" t="str">
        <x:v>https://qualifications.pearson.com/en/qualifications/edexcel-international-gcses/international-gcse-mathematics-a-2016.html</x:v>
      </x:c>
      <x:c r="J37" s="36" t="str">
        <x:v>Current NEO draft names 4MA1. Recheck Pearson specification issue and entry route annually.</x:v>
      </x:c>
    </x:row>
    <x:row r="38" ht="64" customHeight="1">
      <x:c r="A38" s="35" t="str">
        <x:v>OV-0034</x:v>
      </x:c>
      <x:c r="B38" s="28" t="str">
        <x:v>NEO-MATH-Y8-01</x:v>
      </x:c>
      <x:c r="C38" s="28" t="str">
        <x:v>Year 8 Connections</x:v>
      </x:c>
      <x:c r="D38" s="28" t="str">
        <x:v>Percent Change and the Story of Growth</x:v>
      </x:c>
      <x:c r="E38" s="28" t="str">
        <x:v>Pearson Edexcel Functional Skills Mathematics (2019)</x:v>
      </x:c>
      <x:c r="F38" s="28" t="str">
        <x:v>Level 2</x:v>
      </x:c>
      <x:c r="G38" s="28" t="str">
        <x:v>KS3 Number/Ratio; 4MA1 1.6; FS L2 5-6,13</x:v>
      </x:c>
      <x:c r="H38" s="28" t="str">
        <x:v>Canonical learning is applied to realistic problems, decision making, checking reasonableness and communicating results.</x:v>
      </x:c>
      <x:c r="I38" s="28" t="str">
        <x:v>https://qualifications.pearson.com/en/qualifications/edexcel-functional-skills/maths-2019.html</x:v>
      </x:c>
      <x:c r="J38" s="36" t="str">
        <x:v>Pearson page lists L1/L2 review date 31 August 2028; verify at annual review.</x:v>
      </x:c>
    </x:row>
    <x:row r="39" ht="64" customHeight="1">
      <x:c r="A39" s="35" t="str">
        <x:v>OV-0035</x:v>
      </x:c>
      <x:c r="B39" s="28" t="str">
        <x:v>NEO-MATH-Y8-02</x:v>
      </x:c>
      <x:c r="C39" s="28" t="str">
        <x:v>Year 8 Connections</x:v>
      </x:c>
      <x:c r="D39" s="28" t="str">
        <x:v>Algebra as a Language of Structure</x:v>
      </x:c>
      <x:c r="E39" s="28" t="str">
        <x:v>National Curriculum KS3 Mathematics</x:v>
      </x:c>
      <x:c r="F39" s="28" t="str">
        <x:v>KS3</x:v>
      </x:c>
      <x:c r="G39" s="28" t="str">
        <x:v>KS3 Algebra; 4MA1 2.1-2.3</x:v>
      </x:c>
      <x:c r="H39" s="28" t="str">
        <x:v>Canonical Stepping Stones build fluency, reasoning, representation and problem solving within the named domain.</x:v>
      </x:c>
      <x:c r="I39" s="28" t="str">
        <x:v>https://www.gov.uk/government/publications/national-curriculum-in-england-mathematics-programmes-of-study/national-curriculum-in-england-mathematics-programmes-of-study</x:v>
      </x:c>
      <x:c r="J39" s="36" t="str">
        <x:v>Statutory KS3 programme; sequence by readiness and secure understanding.</x:v>
      </x:c>
    </x:row>
    <x:row r="40" ht="64" customHeight="1">
      <x:c r="A40" s="35" t="str">
        <x:v>OV-0036</x:v>
      </x:c>
      <x:c r="B40" s="28" t="str">
        <x:v>NEO-MATH-Y8-02</x:v>
      </x:c>
      <x:c r="C40" s="28" t="str">
        <x:v>Year 8 Connections</x:v>
      </x:c>
      <x:c r="D40" s="28" t="str">
        <x:v>Algebra as a Language of Structure</x:v>
      </x:c>
      <x:c r="E40" s="28" t="str">
        <x:v>Pearson Edexcel International GCSE Mathematics A (4MA1)</x:v>
      </x:c>
      <x:c r="F40" s="28" t="str">
        <x:v>Foundation/Higher bridge</x:v>
      </x:c>
      <x:c r="G40" s="28" t="str">
        <x:v>KS3 Algebra; 4MA1 2.1-2.3</x:v>
      </x:c>
      <x:c r="H40" s="28" t="str">
        <x:v>Canonical outcomes map to the relevant 4MA1 content while the lesson remains inquiry-led and representation-rich.</x:v>
      </x:c>
      <x:c r="I40" s="28" t="str">
        <x:v>https://qualifications.pearson.com/en/qualifications/edexcel-international-gcses/international-gcse-mathematics-a-2016.html</x:v>
      </x:c>
      <x:c r="J40" s="36" t="str">
        <x:v>Current NEO draft names 4MA1. Recheck Pearson specification issue and entry route annually.</x:v>
      </x:c>
    </x:row>
    <x:row r="41" ht="64" customHeight="1">
      <x:c r="A41" s="35" t="str">
        <x:v>OV-0037</x:v>
      </x:c>
      <x:c r="B41" s="28" t="str">
        <x:v>NEO-MATH-Y8-03</x:v>
      </x:c>
      <x:c r="C41" s="28" t="str">
        <x:v>Year 8 Connections</x:v>
      </x:c>
      <x:c r="D41" s="28" t="str">
        <x:v>Equations: Keeping a Relationship in Balance</x:v>
      </x:c>
      <x:c r="E41" s="28" t="str">
        <x:v>National Curriculum KS3 Mathematics</x:v>
      </x:c>
      <x:c r="F41" s="28" t="str">
        <x:v>KS3</x:v>
      </x:c>
      <x:c r="G41" s="28" t="str">
        <x:v>KS3 Algebra; 4MA1 2.4</x:v>
      </x:c>
      <x:c r="H41" s="28" t="str">
        <x:v>Canonical Stepping Stones build fluency, reasoning, representation and problem solving within the named domain.</x:v>
      </x:c>
      <x:c r="I41" s="28" t="str">
        <x:v>https://www.gov.uk/government/publications/national-curriculum-in-england-mathematics-programmes-of-study/national-curriculum-in-england-mathematics-programmes-of-study</x:v>
      </x:c>
      <x:c r="J41" s="36" t="str">
        <x:v>Statutory KS3 programme; sequence by readiness and secure understanding.</x:v>
      </x:c>
    </x:row>
    <x:row r="42" ht="64" customHeight="1">
      <x:c r="A42" s="35" t="str">
        <x:v>OV-0038</x:v>
      </x:c>
      <x:c r="B42" s="28" t="str">
        <x:v>NEO-MATH-Y8-03</x:v>
      </x:c>
      <x:c r="C42" s="28" t="str">
        <x:v>Year 8 Connections</x:v>
      </x:c>
      <x:c r="D42" s="28" t="str">
        <x:v>Equations: Keeping a Relationship in Balance</x:v>
      </x:c>
      <x:c r="E42" s="28" t="str">
        <x:v>Pearson Edexcel International GCSE Mathematics A (4MA1)</x:v>
      </x:c>
      <x:c r="F42" s="28" t="str">
        <x:v>Foundation/Higher bridge</x:v>
      </x:c>
      <x:c r="G42" s="28" t="str">
        <x:v>KS3 Algebra; 4MA1 2.4</x:v>
      </x:c>
      <x:c r="H42" s="28" t="str">
        <x:v>Canonical outcomes map to the relevant 4MA1 content while the lesson remains inquiry-led and representation-rich.</x:v>
      </x:c>
      <x:c r="I42" s="28" t="str">
        <x:v>https://qualifications.pearson.com/en/qualifications/edexcel-international-gcses/international-gcse-mathematics-a-2016.html</x:v>
      </x:c>
      <x:c r="J42" s="36" t="str">
        <x:v>Current NEO draft names 4MA1. Recheck Pearson specification issue and entry route annually.</x:v>
      </x:c>
    </x:row>
    <x:row r="43" ht="64" customHeight="1">
      <x:c r="A43" s="35" t="str">
        <x:v>OV-0039</x:v>
      </x:c>
      <x:c r="B43" s="28" t="str">
        <x:v>NEO-MATH-Y8-03</x:v>
      </x:c>
      <x:c r="C43" s="28" t="str">
        <x:v>Year 8 Connections</x:v>
      </x:c>
      <x:c r="D43" s="28" t="str">
        <x:v>Equations: Keeping a Relationship in Balance</x:v>
      </x:c>
      <x:c r="E43" s="28" t="str">
        <x:v>Pearson Edexcel Functional Skills Mathematics (2019)</x:v>
      </x:c>
      <x:c r="F43" s="28" t="str">
        <x:v>Level 2</x:v>
      </x:c>
      <x:c r="G43" s="28" t="str">
        <x:v>KS3 Algebra; 4MA1 2.4</x:v>
      </x:c>
      <x:c r="H43" s="28" t="str">
        <x:v>Canonical learning is applied to realistic problems, decision making, checking reasonableness and communicating results.</x:v>
      </x:c>
      <x:c r="I43" s="28" t="str">
        <x:v>https://qualifications.pearson.com/en/qualifications/edexcel-functional-skills/maths-2019.html</x:v>
      </x:c>
      <x:c r="J43" s="36" t="str">
        <x:v>Pearson page lists L1/L2 review date 31 August 2028; verify at annual review.</x:v>
      </x:c>
    </x:row>
    <x:row r="44" ht="64" customHeight="1">
      <x:c r="A44" s="35" t="str">
        <x:v>OV-0040</x:v>
      </x:c>
      <x:c r="B44" s="28" t="str">
        <x:v>NEO-MATH-Y8-04</x:v>
      </x:c>
      <x:c r="C44" s="28" t="str">
        <x:v>Year 8 Connections</x:v>
      </x:c>
      <x:c r="D44" s="28" t="str">
        <x:v>Lines Tell Stories of Change</x:v>
      </x:c>
      <x:c r="E44" s="28" t="str">
        <x:v>National Curriculum KS3 Mathematics</x:v>
      </x:c>
      <x:c r="F44" s="28" t="str">
        <x:v>KS3</x:v>
      </x:c>
      <x:c r="G44" s="28" t="str">
        <x:v>KS3 Algebra/Graphs; 4MA1 3.3 H-I and related coordinate graph content</x:v>
      </x:c>
      <x:c r="H44" s="28" t="str">
        <x:v>Canonical Stepping Stones build fluency, reasoning, representation and problem solving within the named domain.</x:v>
      </x:c>
      <x:c r="I44" s="28" t="str">
        <x:v>https://www.gov.uk/government/publications/national-curriculum-in-england-mathematics-programmes-of-study/national-curriculum-in-england-mathematics-programmes-of-study</x:v>
      </x:c>
      <x:c r="J44" s="36" t="str">
        <x:v>Statutory KS3 programme; sequence by readiness and secure understanding.</x:v>
      </x:c>
    </x:row>
    <x:row r="45" ht="64" customHeight="1">
      <x:c r="A45" s="35" t="str">
        <x:v>OV-0041</x:v>
      </x:c>
      <x:c r="B45" s="28" t="str">
        <x:v>NEO-MATH-Y8-04</x:v>
      </x:c>
      <x:c r="C45" s="28" t="str">
        <x:v>Year 8 Connections</x:v>
      </x:c>
      <x:c r="D45" s="28" t="str">
        <x:v>Lines Tell Stories of Change</x:v>
      </x:c>
      <x:c r="E45" s="28" t="str">
        <x:v>Pearson Edexcel International GCSE Mathematics A (4MA1)</x:v>
      </x:c>
      <x:c r="F45" s="28" t="str">
        <x:v>Foundation / Higher as mapped</x:v>
      </x:c>
      <x:c r="G45" s="28" t="str">
        <x:v>KS3 Algebra/Graphs; 4MA1 3.3 H-I and related coordinate graph content</x:v>
      </x:c>
      <x:c r="H45" s="28" t="str">
        <x:v>Canonical outcomes map to the relevant 4MA1 content while the lesson remains inquiry-led and representation-rich.</x:v>
      </x:c>
      <x:c r="I45" s="28" t="str">
        <x:v>https://qualifications.pearson.com/en/qualifications/edexcel-international-gcses/international-gcse-mathematics-a-2016.html</x:v>
      </x:c>
      <x:c r="J45" s="36" t="str">
        <x:v>Current NEO draft names 4MA1. Recheck Pearson specification issue and entry route annually.</x:v>
      </x:c>
    </x:row>
    <x:row r="46" ht="64" customHeight="1">
      <x:c r="A46" s="35" t="str">
        <x:v>OV-0042</x:v>
      </x:c>
      <x:c r="B46" s="28" t="str">
        <x:v>NEO-MATH-Y8-05</x:v>
      </x:c>
      <x:c r="C46" s="28" t="str">
        <x:v>Year 8 Connections</x:v>
      </x:c>
      <x:c r="D46" s="28" t="str">
        <x:v>Sequences: From Steps to Rules</x:v>
      </x:c>
      <x:c r="E46" s="28" t="str">
        <x:v>National Curriculum KS3 Mathematics</x:v>
      </x:c>
      <x:c r="F46" s="28" t="str">
        <x:v>KS3</x:v>
      </x:c>
      <x:c r="G46" s="28" t="str">
        <x:v>KS3 Algebra; 4MA1 3.1</x:v>
      </x:c>
      <x:c r="H46" s="28" t="str">
        <x:v>Canonical Stepping Stones build fluency, reasoning, representation and problem solving within the named domain.</x:v>
      </x:c>
      <x:c r="I46" s="28" t="str">
        <x:v>https://www.gov.uk/government/publications/national-curriculum-in-england-mathematics-programmes-of-study/national-curriculum-in-england-mathematics-programmes-of-study</x:v>
      </x:c>
      <x:c r="J46" s="36" t="str">
        <x:v>Statutory KS3 programme; sequence by readiness and secure understanding.</x:v>
      </x:c>
    </x:row>
    <x:row r="47" ht="64" customHeight="1">
      <x:c r="A47" s="35" t="str">
        <x:v>OV-0043</x:v>
      </x:c>
      <x:c r="B47" s="28" t="str">
        <x:v>NEO-MATH-Y8-05</x:v>
      </x:c>
      <x:c r="C47" s="28" t="str">
        <x:v>Year 8 Connections</x:v>
      </x:c>
      <x:c r="D47" s="28" t="str">
        <x:v>Sequences: From Steps to Rules</x:v>
      </x:c>
      <x:c r="E47" s="28" t="str">
        <x:v>Pearson Edexcel International GCSE Mathematics A (4MA1)</x:v>
      </x:c>
      <x:c r="F47" s="28" t="str">
        <x:v>Foundation/Higher bridge</x:v>
      </x:c>
      <x:c r="G47" s="28" t="str">
        <x:v>KS3 Algebra; 4MA1 3.1</x:v>
      </x:c>
      <x:c r="H47" s="28" t="str">
        <x:v>Canonical outcomes map to the relevant 4MA1 content while the lesson remains inquiry-led and representation-rich.</x:v>
      </x:c>
      <x:c r="I47" s="28" t="str">
        <x:v>https://qualifications.pearson.com/en/qualifications/edexcel-international-gcses/international-gcse-mathematics-a-2016.html</x:v>
      </x:c>
      <x:c r="J47" s="36" t="str">
        <x:v>Current NEO draft names 4MA1. Recheck Pearson specification issue and entry route annually.</x:v>
      </x:c>
    </x:row>
    <x:row r="48" ht="64" customHeight="1">
      <x:c r="A48" s="35" t="str">
        <x:v>OV-0044</x:v>
      </x:c>
      <x:c r="B48" s="28" t="str">
        <x:v>NEO-MATH-Y8-06</x:v>
      </x:c>
      <x:c r="C48" s="28" t="str">
        <x:v>Year 8 Connections</x:v>
      </x:c>
      <x:c r="D48" s="28" t="str">
        <x:v>Parallel Lines and Polygon Logic</x:v>
      </x:c>
      <x:c r="E48" s="28" t="str">
        <x:v>National Curriculum KS3 Mathematics</x:v>
      </x:c>
      <x:c r="F48" s="28" t="str">
        <x:v>KS3</x:v>
      </x:c>
      <x:c r="G48" s="28" t="str">
        <x:v>KS3 Geometry; 4MA1 4.1-4.2,4.7</x:v>
      </x:c>
      <x:c r="H48" s="28" t="str">
        <x:v>Canonical Stepping Stones build fluency, reasoning, representation and problem solving within the named domain.</x:v>
      </x:c>
      <x:c r="I48" s="28" t="str">
        <x:v>https://www.gov.uk/government/publications/national-curriculum-in-england-mathematics-programmes-of-study/national-curriculum-in-england-mathematics-programmes-of-study</x:v>
      </x:c>
      <x:c r="J48" s="36" t="str">
        <x:v>Statutory KS3 programme; sequence by readiness and secure understanding.</x:v>
      </x:c>
    </x:row>
    <x:row r="49" ht="64" customHeight="1">
      <x:c r="A49" s="35" t="str">
        <x:v>OV-0045</x:v>
      </x:c>
      <x:c r="B49" s="28" t="str">
        <x:v>NEO-MATH-Y8-06</x:v>
      </x:c>
      <x:c r="C49" s="28" t="str">
        <x:v>Year 8 Connections</x:v>
      </x:c>
      <x:c r="D49" s="28" t="str">
        <x:v>Parallel Lines and Polygon Logic</x:v>
      </x:c>
      <x:c r="E49" s="28" t="str">
        <x:v>Pearson Edexcel International GCSE Mathematics A (4MA1)</x:v>
      </x:c>
      <x:c r="F49" s="28" t="str">
        <x:v>Foundation/Higher bridge</x:v>
      </x:c>
      <x:c r="G49" s="28" t="str">
        <x:v>KS3 Geometry; 4MA1 4.1-4.2,4.7</x:v>
      </x:c>
      <x:c r="H49" s="28" t="str">
        <x:v>Canonical outcomes map to the relevant 4MA1 content while the lesson remains inquiry-led and representation-rich.</x:v>
      </x:c>
      <x:c r="I49" s="28" t="str">
        <x:v>https://qualifications.pearson.com/en/qualifications/edexcel-international-gcses/international-gcse-mathematics-a-2016.html</x:v>
      </x:c>
      <x:c r="J49" s="36" t="str">
        <x:v>Current NEO draft names 4MA1. Recheck Pearson specification issue and entry route annually.</x:v>
      </x:c>
    </x:row>
    <x:row r="50" ht="64" customHeight="1">
      <x:c r="A50" s="35" t="str">
        <x:v>OV-0046</x:v>
      </x:c>
      <x:c r="B50" s="28" t="str">
        <x:v>NEO-MATH-Y8-07</x:v>
      </x:c>
      <x:c r="C50" s="28" t="str">
        <x:v>Year 8 Connections</x:v>
      </x:c>
      <x:c r="D50" s="28" t="str">
        <x:v>Circles, Prisms and Packaging</x:v>
      </x:c>
      <x:c r="E50" s="28" t="str">
        <x:v>National Curriculum KS3 Mathematics</x:v>
      </x:c>
      <x:c r="F50" s="28" t="str">
        <x:v>KS3</x:v>
      </x:c>
      <x:c r="G50" s="28" t="str">
        <x:v>KS3 Geometry/Measures; 4MA1 4.9-4.10; FS L2 16-17</x:v>
      </x:c>
      <x:c r="H50" s="28" t="str">
        <x:v>Canonical Stepping Stones build fluency, reasoning, representation and problem solving within the named domain.</x:v>
      </x:c>
      <x:c r="I50" s="28" t="str">
        <x:v>https://www.gov.uk/government/publications/national-curriculum-in-england-mathematics-programmes-of-study/national-curriculum-in-england-mathematics-programmes-of-study</x:v>
      </x:c>
      <x:c r="J50" s="36" t="str">
        <x:v>Statutory KS3 programme; sequence by readiness and secure understanding.</x:v>
      </x:c>
    </x:row>
    <x:row r="51" ht="64" customHeight="1">
      <x:c r="A51" s="35" t="str">
        <x:v>OV-0047</x:v>
      </x:c>
      <x:c r="B51" s="28" t="str">
        <x:v>NEO-MATH-Y8-07</x:v>
      </x:c>
      <x:c r="C51" s="28" t="str">
        <x:v>Year 8 Connections</x:v>
      </x:c>
      <x:c r="D51" s="28" t="str">
        <x:v>Circles, Prisms and Packaging</x:v>
      </x:c>
      <x:c r="E51" s="28" t="str">
        <x:v>Pearson Edexcel International GCSE Mathematics A (4MA1)</x:v>
      </x:c>
      <x:c r="F51" s="28" t="str">
        <x:v>Foundation/Higher bridge</x:v>
      </x:c>
      <x:c r="G51" s="28" t="str">
        <x:v>KS3 Geometry/Measures; 4MA1 4.9-4.10; FS L2 16-17</x:v>
      </x:c>
      <x:c r="H51" s="28" t="str">
        <x:v>Canonical outcomes map to the relevant 4MA1 content while the lesson remains inquiry-led and representation-rich.</x:v>
      </x:c>
      <x:c r="I51" s="28" t="str">
        <x:v>https://qualifications.pearson.com/en/qualifications/edexcel-international-gcses/international-gcse-mathematics-a-2016.html</x:v>
      </x:c>
      <x:c r="J51" s="36" t="str">
        <x:v>Current NEO draft names 4MA1. Recheck Pearson specification issue and entry route annually.</x:v>
      </x:c>
    </x:row>
    <x:row r="52" ht="64" customHeight="1">
      <x:c r="A52" s="35" t="str">
        <x:v>OV-0048</x:v>
      </x:c>
      <x:c r="B52" s="28" t="str">
        <x:v>NEO-MATH-Y8-07</x:v>
      </x:c>
      <x:c r="C52" s="28" t="str">
        <x:v>Year 8 Connections</x:v>
      </x:c>
      <x:c r="D52" s="28" t="str">
        <x:v>Circles, Prisms and Packaging</x:v>
      </x:c>
      <x:c r="E52" s="28" t="str">
        <x:v>Pearson Edexcel Functional Skills Mathematics (2019)</x:v>
      </x:c>
      <x:c r="F52" s="28" t="str">
        <x:v>Level 2</x:v>
      </x:c>
      <x:c r="G52" s="28" t="str">
        <x:v>KS3 Geometry/Measures; 4MA1 4.9-4.10; FS L2 16-17</x:v>
      </x:c>
      <x:c r="H52" s="28" t="str">
        <x:v>Canonical learning is applied to realistic problems, decision making, checking reasonableness and communicating results.</x:v>
      </x:c>
      <x:c r="I52" s="28" t="str">
        <x:v>https://qualifications.pearson.com/en/qualifications/edexcel-functional-skills/maths-2019.html</x:v>
      </x:c>
      <x:c r="J52" s="36" t="str">
        <x:v>Pearson page lists L1/L2 review date 31 August 2028; verify at annual review.</x:v>
      </x:c>
    </x:row>
    <x:row r="53" ht="64" customHeight="1">
      <x:c r="A53" s="35" t="str">
        <x:v>OV-0049</x:v>
      </x:c>
      <x:c r="B53" s="28" t="str">
        <x:v>NEO-MATH-Y8-08</x:v>
      </x:c>
      <x:c r="C53" s="28" t="str">
        <x:v>Year 8 Connections</x:v>
      </x:c>
      <x:c r="D53" s="28" t="str">
        <x:v>Rates, Best Value and Direct Proportion</x:v>
      </x:c>
      <x:c r="E53" s="28" t="str">
        <x:v>National Curriculum KS3 Mathematics</x:v>
      </x:c>
      <x:c r="F53" s="28" t="str">
        <x:v>KS3</x:v>
      </x:c>
      <x:c r="G53" s="28" t="str">
        <x:v>KS3 Ratio/Rates; 4MA1 1.7,4.4; FS L1 17; FS L2 11,15</x:v>
      </x:c>
      <x:c r="H53" s="28" t="str">
        <x:v>Canonical Stepping Stones build fluency, reasoning, representation and problem solving within the named domain.</x:v>
      </x:c>
      <x:c r="I53" s="28" t="str">
        <x:v>https://www.gov.uk/government/publications/national-curriculum-in-england-mathematics-programmes-of-study/national-curriculum-in-england-mathematics-programmes-of-study</x:v>
      </x:c>
      <x:c r="J53" s="36" t="str">
        <x:v>Statutory KS3 programme; sequence by readiness and secure understanding.</x:v>
      </x:c>
    </x:row>
    <x:row r="54" ht="64" customHeight="1">
      <x:c r="A54" s="35" t="str">
        <x:v>OV-0050</x:v>
      </x:c>
      <x:c r="B54" s="28" t="str">
        <x:v>NEO-MATH-Y8-08</x:v>
      </x:c>
      <x:c r="C54" s="28" t="str">
        <x:v>Year 8 Connections</x:v>
      </x:c>
      <x:c r="D54" s="28" t="str">
        <x:v>Rates, Best Value and Direct Proportion</x:v>
      </x:c>
      <x:c r="E54" s="28" t="str">
        <x:v>Pearson Edexcel International GCSE Mathematics A (4MA1)</x:v>
      </x:c>
      <x:c r="F54" s="28" t="str">
        <x:v>Foundation/Higher bridge</x:v>
      </x:c>
      <x:c r="G54" s="28" t="str">
        <x:v>KS3 Ratio/Rates; 4MA1 1.7,4.4; FS L1 17; FS L2 11,15</x:v>
      </x:c>
      <x:c r="H54" s="28" t="str">
        <x:v>Canonical outcomes map to the relevant 4MA1 content while the lesson remains inquiry-led and representation-rich.</x:v>
      </x:c>
      <x:c r="I54" s="28" t="str">
        <x:v>https://qualifications.pearson.com/en/qualifications/edexcel-international-gcses/international-gcse-mathematics-a-2016.html</x:v>
      </x:c>
      <x:c r="J54" s="36" t="str">
        <x:v>Current NEO draft names 4MA1. Recheck Pearson specification issue and entry route annually.</x:v>
      </x:c>
    </x:row>
    <x:row r="55" ht="64" customHeight="1">
      <x:c r="A55" s="35" t="str">
        <x:v>OV-0051</x:v>
      </x:c>
      <x:c r="B55" s="28" t="str">
        <x:v>NEO-MATH-Y8-08</x:v>
      </x:c>
      <x:c r="C55" s="28" t="str">
        <x:v>Year 8 Connections</x:v>
      </x:c>
      <x:c r="D55" s="28" t="str">
        <x:v>Rates, Best Value and Direct Proportion</x:v>
      </x:c>
      <x:c r="E55" s="28" t="str">
        <x:v>Pearson Edexcel Functional Skills Mathematics (2019)</x:v>
      </x:c>
      <x:c r="F55" s="28" t="str">
        <x:v>Level 1 / Level 2 differentiated</x:v>
      </x:c>
      <x:c r="G55" s="28" t="str">
        <x:v>KS3 Ratio/Rates; 4MA1 1.7,4.4; FS L1 17; FS L2 11,15</x:v>
      </x:c>
      <x:c r="H55" s="28" t="str">
        <x:v>Canonical learning is applied to realistic problems, decision making, checking reasonableness and communicating results.</x:v>
      </x:c>
      <x:c r="I55" s="28" t="str">
        <x:v>https://qualifications.pearson.com/en/qualifications/edexcel-functional-skills/maths-2019.html</x:v>
      </x:c>
      <x:c r="J55" s="36" t="str">
        <x:v>Pearson page lists L1/L2 review date 31 August 2028; verify at annual review.</x:v>
      </x:c>
    </x:row>
    <x:row r="56" ht="64" customHeight="1">
      <x:c r="A56" s="35" t="str">
        <x:v>OV-0052</x:v>
      </x:c>
      <x:c r="B56" s="28" t="str">
        <x:v>NEO-MATH-Y8-09</x:v>
      </x:c>
      <x:c r="C56" s="28" t="str">
        <x:v>Year 8 Connections</x:v>
      </x:c>
      <x:c r="D56" s="28" t="str">
        <x:v>Comparing Data Without Hiding the Story</x:v>
      </x:c>
      <x:c r="E56" s="28" t="str">
        <x:v>National Curriculum KS3 Mathematics</x:v>
      </x:c>
      <x:c r="F56" s="28" t="str">
        <x:v>KS3</x:v>
      </x:c>
      <x:c r="G56" s="28" t="str">
        <x:v>KS3 Statistics; FS L2 23-25,28</x:v>
      </x:c>
      <x:c r="H56" s="28" t="str">
        <x:v>Canonical Stepping Stones build fluency, reasoning, representation and problem solving within the named domain.</x:v>
      </x:c>
      <x:c r="I56" s="28" t="str">
        <x:v>https://www.gov.uk/government/publications/national-curriculum-in-england-mathematics-programmes-of-study/national-curriculum-in-england-mathematics-programmes-of-study</x:v>
      </x:c>
      <x:c r="J56" s="36" t="str">
        <x:v>Statutory KS3 programme; sequence by readiness and secure understanding.</x:v>
      </x:c>
    </x:row>
    <x:row r="57" ht="64" customHeight="1">
      <x:c r="A57" s="35" t="str">
        <x:v>OV-0053</x:v>
      </x:c>
      <x:c r="B57" s="28" t="str">
        <x:v>NEO-MATH-Y8-09</x:v>
      </x:c>
      <x:c r="C57" s="28" t="str">
        <x:v>Year 8 Connections</x:v>
      </x:c>
      <x:c r="D57" s="28" t="str">
        <x:v>Comparing Data Without Hiding the Story</x:v>
      </x:c>
      <x:c r="E57" s="28" t="str">
        <x:v>Pearson Edexcel Functional Skills Mathematics (2019)</x:v>
      </x:c>
      <x:c r="F57" s="28" t="str">
        <x:v>Level 2</x:v>
      </x:c>
      <x:c r="G57" s="28" t="str">
        <x:v>KS3 Statistics; FS L2 23-25,28</x:v>
      </x:c>
      <x:c r="H57" s="28" t="str">
        <x:v>Canonical learning is applied to realistic problems, decision making, checking reasonableness and communicating results.</x:v>
      </x:c>
      <x:c r="I57" s="28" t="str">
        <x:v>https://qualifications.pearson.com/en/qualifications/edexcel-functional-skills/maths-2019.html</x:v>
      </x:c>
      <x:c r="J57" s="36" t="str">
        <x:v>Pearson page lists L1/L2 review date 31 August 2028; verify at annual review.</x:v>
      </x:c>
    </x:row>
    <x:row r="58" ht="64" customHeight="1">
      <x:c r="A58" s="35" t="str">
        <x:v>OV-0054</x:v>
      </x:c>
      <x:c r="B58" s="28" t="str">
        <x:v>NEO-MATH-Y8-10</x:v>
      </x:c>
      <x:c r="C58" s="28" t="str">
        <x:v>Year 8 Connections</x:v>
      </x:c>
      <x:c r="D58" s="28" t="str">
        <x:v>Building Probability Models</x:v>
      </x:c>
      <x:c r="E58" s="28" t="str">
        <x:v>National Curriculum KS3 Mathematics</x:v>
      </x:c>
      <x:c r="F58" s="28" t="str">
        <x:v>KS3</x:v>
      </x:c>
      <x:c r="G58" s="28" t="str">
        <x:v>KS3 Probability; 4MA1 7.1; FS L2 26-27</x:v>
      </x:c>
      <x:c r="H58" s="28" t="str">
        <x:v>Canonical Stepping Stones build fluency, reasoning, representation and problem solving within the named domain.</x:v>
      </x:c>
      <x:c r="I58" s="28" t="str">
        <x:v>https://www.gov.uk/government/publications/national-curriculum-in-england-mathematics-programmes-of-study/national-curriculum-in-england-mathematics-programmes-of-study</x:v>
      </x:c>
      <x:c r="J58" s="36" t="str">
        <x:v>Statutory KS3 programme; sequence by readiness and secure understanding.</x:v>
      </x:c>
    </x:row>
    <x:row r="59" ht="64" customHeight="1">
      <x:c r="A59" s="35" t="str">
        <x:v>OV-0055</x:v>
      </x:c>
      <x:c r="B59" s="28" t="str">
        <x:v>NEO-MATH-Y8-10</x:v>
      </x:c>
      <x:c r="C59" s="28" t="str">
        <x:v>Year 8 Connections</x:v>
      </x:c>
      <x:c r="D59" s="28" t="str">
        <x:v>Building Probability Models</x:v>
      </x:c>
      <x:c r="E59" s="28" t="str">
        <x:v>Pearson Edexcel International GCSE Mathematics A (4MA1)</x:v>
      </x:c>
      <x:c r="F59" s="28" t="str">
        <x:v>Foundation/Higher bridge</x:v>
      </x:c>
      <x:c r="G59" s="28" t="str">
        <x:v>KS3 Probability; 4MA1 7.1; FS L2 26-27</x:v>
      </x:c>
      <x:c r="H59" s="28" t="str">
        <x:v>Canonical outcomes map to the relevant 4MA1 content while the lesson remains inquiry-led and representation-rich.</x:v>
      </x:c>
      <x:c r="I59" s="28" t="str">
        <x:v>https://qualifications.pearson.com/en/qualifications/edexcel-international-gcses/international-gcse-mathematics-a-2016.html</x:v>
      </x:c>
      <x:c r="J59" s="36" t="str">
        <x:v>Current NEO draft names 4MA1. Recheck Pearson specification issue and entry route annually.</x:v>
      </x:c>
    </x:row>
    <x:row r="60" ht="64" customHeight="1">
      <x:c r="A60" s="35" t="str">
        <x:v>OV-0056</x:v>
      </x:c>
      <x:c r="B60" s="28" t="str">
        <x:v>NEO-MATH-Y8-10</x:v>
      </x:c>
      <x:c r="C60" s="28" t="str">
        <x:v>Year 8 Connections</x:v>
      </x:c>
      <x:c r="D60" s="28" t="str">
        <x:v>Building Probability Models</x:v>
      </x:c>
      <x:c r="E60" s="28" t="str">
        <x:v>Pearson Edexcel Functional Skills Mathematics (2019)</x:v>
      </x:c>
      <x:c r="F60" s="28" t="str">
        <x:v>Level 2</x:v>
      </x:c>
      <x:c r="G60" s="28" t="str">
        <x:v>KS3 Probability; 4MA1 7.1; FS L2 26-27</x:v>
      </x:c>
      <x:c r="H60" s="28" t="str">
        <x:v>Canonical learning is applied to realistic problems, decision making, checking reasonableness and communicating results.</x:v>
      </x:c>
      <x:c r="I60" s="28" t="str">
        <x:v>https://qualifications.pearson.com/en/qualifications/edexcel-functional-skills/maths-2019.html</x:v>
      </x:c>
      <x:c r="J60" s="36" t="str">
        <x:v>Pearson page lists L1/L2 review date 31 August 2028; verify at annual review.</x:v>
      </x:c>
    </x:row>
    <x:row r="61" ht="64" customHeight="1">
      <x:c r="A61" s="35" t="str">
        <x:v>OV-0057</x:v>
      </x:c>
      <x:c r="B61" s="28" t="str">
        <x:v>NEO-MATH-Y9-01</x:v>
      </x:c>
      <x:c r="C61" s="28" t="str">
        <x:v>Year 9 Bridge</x:v>
      </x:c>
      <x:c r="D61" s="28" t="str">
        <x:v>Accuracy, Powers and Scale</x:v>
      </x:c>
      <x:c r="E61" s="28" t="str">
        <x:v>National Curriculum KS3 Mathematics</x:v>
      </x:c>
      <x:c r="F61" s="28" t="str">
        <x:v>KS3</x:v>
      </x:c>
      <x:c r="G61" s="28" t="str">
        <x:v>KS3 Number; 4MA1 1.4,1.8,1.9</x:v>
      </x:c>
      <x:c r="H61" s="28" t="str">
        <x:v>Canonical Stepping Stones build fluency, reasoning, representation and problem solving within the named domain.</x:v>
      </x:c>
      <x:c r="I61" s="28" t="str">
        <x:v>https://www.gov.uk/government/publications/national-curriculum-in-england-mathematics-programmes-of-study/national-curriculum-in-england-mathematics-programmes-of-study</x:v>
      </x:c>
      <x:c r="J61" s="36" t="str">
        <x:v>Statutory KS3 programme; sequence by readiness and secure understanding.</x:v>
      </x:c>
    </x:row>
    <x:row r="62" ht="64" customHeight="1">
      <x:c r="A62" s="35" t="str">
        <x:v>OV-0058</x:v>
      </x:c>
      <x:c r="B62" s="28" t="str">
        <x:v>NEO-MATH-Y9-01</x:v>
      </x:c>
      <x:c r="C62" s="28" t="str">
        <x:v>Year 9 Bridge</x:v>
      </x:c>
      <x:c r="D62" s="28" t="str">
        <x:v>Accuracy, Powers and Scale</x:v>
      </x:c>
      <x:c r="E62" s="28" t="str">
        <x:v>Pearson Edexcel International GCSE Mathematics A (4MA1)</x:v>
      </x:c>
      <x:c r="F62" s="28" t="str">
        <x:v>Foundation / Higher as mapped</x:v>
      </x:c>
      <x:c r="G62" s="28" t="str">
        <x:v>KS3 Number; 4MA1 1.4,1.8,1.9</x:v>
      </x:c>
      <x:c r="H62" s="28" t="str">
        <x:v>Canonical outcomes map to the relevant 4MA1 content while the lesson remains inquiry-led and representation-rich.</x:v>
      </x:c>
      <x:c r="I62" s="28" t="str">
        <x:v>https://qualifications.pearson.com/en/qualifications/edexcel-international-gcses/international-gcse-mathematics-a-2016.html</x:v>
      </x:c>
      <x:c r="J62" s="36" t="str">
        <x:v>Current NEO draft names 4MA1. Recheck Pearson specification issue and entry route annually.</x:v>
      </x:c>
    </x:row>
    <x:row r="63" ht="64" customHeight="1">
      <x:c r="A63" s="35" t="str">
        <x:v>OV-0059</x:v>
      </x:c>
      <x:c r="B63" s="28" t="str">
        <x:v>NEO-MATH-Y9-02</x:v>
      </x:c>
      <x:c r="C63" s="28" t="str">
        <x:v>Year 9 Bridge</x:v>
      </x:c>
      <x:c r="D63" s="28" t="str">
        <x:v>Solids, Cross-Sections and Space</x:v>
      </x:c>
      <x:c r="E63" s="28" t="str">
        <x:v>National Curriculum KS3 Mathematics</x:v>
      </x:c>
      <x:c r="F63" s="28" t="str">
        <x:v>KS3</x:v>
      </x:c>
      <x:c r="G63" s="28" t="str">
        <x:v>KS3 Geometry; 4MA1 4.2,4.10; FS L2 17,20-22</x:v>
      </x:c>
      <x:c r="H63" s="28" t="str">
        <x:v>Canonical Stepping Stones build fluency, reasoning, representation and problem solving within the named domain.</x:v>
      </x:c>
      <x:c r="I63" s="28" t="str">
        <x:v>https://www.gov.uk/government/publications/national-curriculum-in-england-mathematics-programmes-of-study/national-curriculum-in-england-mathematics-programmes-of-study</x:v>
      </x:c>
      <x:c r="J63" s="36" t="str">
        <x:v>Statutory KS3 programme; sequence by readiness and secure understanding.</x:v>
      </x:c>
    </x:row>
    <x:row r="64" ht="64" customHeight="1">
      <x:c r="A64" s="35" t="str">
        <x:v>OV-0060</x:v>
      </x:c>
      <x:c r="B64" s="28" t="str">
        <x:v>NEO-MATH-Y9-02</x:v>
      </x:c>
      <x:c r="C64" s="28" t="str">
        <x:v>Year 9 Bridge</x:v>
      </x:c>
      <x:c r="D64" s="28" t="str">
        <x:v>Solids, Cross-Sections and Space</x:v>
      </x:c>
      <x:c r="E64" s="28" t="str">
        <x:v>Pearson Edexcel International GCSE Mathematics A (4MA1)</x:v>
      </x:c>
      <x:c r="F64" s="28" t="str">
        <x:v>Foundation/Higher bridge</x:v>
      </x:c>
      <x:c r="G64" s="28" t="str">
        <x:v>KS3 Geometry; 4MA1 4.2,4.10; FS L2 17,20-22</x:v>
      </x:c>
      <x:c r="H64" s="28" t="str">
        <x:v>Canonical outcomes map to the relevant 4MA1 content while the lesson remains inquiry-led and representation-rich.</x:v>
      </x:c>
      <x:c r="I64" s="28" t="str">
        <x:v>https://qualifications.pearson.com/en/qualifications/edexcel-international-gcses/international-gcse-mathematics-a-2016.html</x:v>
      </x:c>
      <x:c r="J64" s="36" t="str">
        <x:v>Current NEO draft names 4MA1. Recheck Pearson specification issue and entry route annually.</x:v>
      </x:c>
    </x:row>
    <x:row r="65" ht="64" customHeight="1">
      <x:c r="A65" s="35" t="str">
        <x:v>OV-0061</x:v>
      </x:c>
      <x:c r="B65" s="28" t="str">
        <x:v>NEO-MATH-Y9-02</x:v>
      </x:c>
      <x:c r="C65" s="28" t="str">
        <x:v>Year 9 Bridge</x:v>
      </x:c>
      <x:c r="D65" s="28" t="str">
        <x:v>Solids, Cross-Sections and Space</x:v>
      </x:c>
      <x:c r="E65" s="28" t="str">
        <x:v>Pearson Edexcel Functional Skills Mathematics (2019)</x:v>
      </x:c>
      <x:c r="F65" s="28" t="str">
        <x:v>Level 2</x:v>
      </x:c>
      <x:c r="G65" s="28" t="str">
        <x:v>KS3 Geometry; 4MA1 4.2,4.10; FS L2 17,20-22</x:v>
      </x:c>
      <x:c r="H65" s="28" t="str">
        <x:v>Canonical learning is applied to realistic problems, decision making, checking reasonableness and communicating results.</x:v>
      </x:c>
      <x:c r="I65" s="28" t="str">
        <x:v>https://qualifications.pearson.com/en/qualifications/edexcel-functional-skills/maths-2019.html</x:v>
      </x:c>
      <x:c r="J65" s="36" t="str">
        <x:v>Pearson page lists L1/L2 review date 31 August 2028; verify at annual review.</x:v>
      </x:c>
    </x:row>
    <x:row r="66" ht="64" customHeight="1">
      <x:c r="A66" s="35" t="str">
        <x:v>OV-0062</x:v>
      </x:c>
      <x:c r="B66" s="28" t="str">
        <x:v>NEO-MATH-Y9-03</x:v>
      </x:c>
      <x:c r="C66" s="28" t="str">
        <x:v>Year 9 Bridge</x:v>
      </x:c>
      <x:c r="D66" s="28" t="str">
        <x:v>Quadratics: When Change Itself Changes</x:v>
      </x:c>
      <x:c r="E66" s="28" t="str">
        <x:v>National Curriculum KS3 Mathematics</x:v>
      </x:c>
      <x:c r="F66" s="28" t="str">
        <x:v>KS3</x:v>
      </x:c>
      <x:c r="G66" s="28" t="str">
        <x:v>KS3 Algebra/Graphs; 4MA1 2.2,2.7,3.3; Higher extension</x:v>
      </x:c>
      <x:c r="H66" s="28" t="str">
        <x:v>Canonical Stepping Stones build fluency, reasoning, representation and problem solving within the named domain.</x:v>
      </x:c>
      <x:c r="I66" s="28" t="str">
        <x:v>https://www.gov.uk/government/publications/national-curriculum-in-england-mathematics-programmes-of-study/national-curriculum-in-england-mathematics-programmes-of-study</x:v>
      </x:c>
      <x:c r="J66" s="36" t="str">
        <x:v>Statutory KS3 programme; sequence by readiness and secure understanding.</x:v>
      </x:c>
    </x:row>
    <x:row r="67" ht="64" customHeight="1">
      <x:c r="A67" s="35" t="str">
        <x:v>OV-0063</x:v>
      </x:c>
      <x:c r="B67" s="28" t="str">
        <x:v>NEO-MATH-Y9-03</x:v>
      </x:c>
      <x:c r="C67" s="28" t="str">
        <x:v>Year 9 Bridge</x:v>
      </x:c>
      <x:c r="D67" s="28" t="str">
        <x:v>Quadratics: When Change Itself Changes</x:v>
      </x:c>
      <x:c r="E67" s="28" t="str">
        <x:v>Pearson Edexcel International GCSE Mathematics A (4MA1)</x:v>
      </x:c>
      <x:c r="F67" s="28" t="str">
        <x:v>Foundation / Higher as mapped</x:v>
      </x:c>
      <x:c r="G67" s="28" t="str">
        <x:v>KS3 Algebra/Graphs; 4MA1 2.2,2.7,3.3; Higher extension</x:v>
      </x:c>
      <x:c r="H67" s="28" t="str">
        <x:v>Canonical outcomes map to the relevant 4MA1 content while the lesson remains inquiry-led and representation-rich.</x:v>
      </x:c>
      <x:c r="I67" s="28" t="str">
        <x:v>https://qualifications.pearson.com/en/qualifications/edexcel-international-gcses/international-gcse-mathematics-a-2016.html</x:v>
      </x:c>
      <x:c r="J67" s="36" t="str">
        <x:v>Current NEO draft names 4MA1. Recheck Pearson specification issue and entry route annually.</x:v>
      </x:c>
    </x:row>
    <x:row r="68" ht="64" customHeight="1">
      <x:c r="A68" s="35" t="str">
        <x:v>OV-0064</x:v>
      </x:c>
      <x:c r="B68" s="28" t="str">
        <x:v>NEO-MATH-Y9-04</x:v>
      </x:c>
      <x:c r="C68" s="28" t="str">
        <x:v>Year 9 Bridge</x:v>
      </x:c>
      <x:c r="D68" s="28" t="str">
        <x:v>Precision, Loci and Safe Routes</x:v>
      </x:c>
      <x:c r="E68" s="28" t="str">
        <x:v>National Curriculum KS3 Mathematics</x:v>
      </x:c>
      <x:c r="F68" s="28" t="str">
        <x:v>KS3</x:v>
      </x:c>
      <x:c r="G68" s="28" t="str">
        <x:v>KS3 Geometry; 4MA1 4.4-4.5,4.11; FS L1 21,24-26; FS L2 18-22</x:v>
      </x:c>
      <x:c r="H68" s="28" t="str">
        <x:v>Canonical Stepping Stones build fluency, reasoning, representation and problem solving within the named domain.</x:v>
      </x:c>
      <x:c r="I68" s="28" t="str">
        <x:v>https://www.gov.uk/government/publications/national-curriculum-in-england-mathematics-programmes-of-study/national-curriculum-in-england-mathematics-programmes-of-study</x:v>
      </x:c>
      <x:c r="J68" s="36" t="str">
        <x:v>Statutory KS3 programme; sequence by readiness and secure understanding.</x:v>
      </x:c>
    </x:row>
    <x:row r="69" ht="64" customHeight="1">
      <x:c r="A69" s="35" t="str">
        <x:v>OV-0065</x:v>
      </x:c>
      <x:c r="B69" s="28" t="str">
        <x:v>NEO-MATH-Y9-04</x:v>
      </x:c>
      <x:c r="C69" s="28" t="str">
        <x:v>Year 9 Bridge</x:v>
      </x:c>
      <x:c r="D69" s="28" t="str">
        <x:v>Precision, Loci and Safe Routes</x:v>
      </x:c>
      <x:c r="E69" s="28" t="str">
        <x:v>Pearson Edexcel International GCSE Mathematics A (4MA1)</x:v>
      </x:c>
      <x:c r="F69" s="28" t="str">
        <x:v>Foundation/Higher bridge</x:v>
      </x:c>
      <x:c r="G69" s="28" t="str">
        <x:v>KS3 Geometry; 4MA1 4.4-4.5,4.11; FS L1 21,24-26; FS L2 18-22</x:v>
      </x:c>
      <x:c r="H69" s="28" t="str">
        <x:v>Canonical outcomes map to the relevant 4MA1 content while the lesson remains inquiry-led and representation-rich.</x:v>
      </x:c>
      <x:c r="I69" s="28" t="str">
        <x:v>https://qualifications.pearson.com/en/qualifications/edexcel-international-gcses/international-gcse-mathematics-a-2016.html</x:v>
      </x:c>
      <x:c r="J69" s="36" t="str">
        <x:v>Current NEO draft names 4MA1. Recheck Pearson specification issue and entry route annually.</x:v>
      </x:c>
    </x:row>
    <x:row r="70" ht="64" customHeight="1">
      <x:c r="A70" s="35" t="str">
        <x:v>OV-0066</x:v>
      </x:c>
      <x:c r="B70" s="28" t="str">
        <x:v>NEO-MATH-Y9-04</x:v>
      </x:c>
      <x:c r="C70" s="28" t="str">
        <x:v>Year 9 Bridge</x:v>
      </x:c>
      <x:c r="D70" s="28" t="str">
        <x:v>Precision, Loci and Safe Routes</x:v>
      </x:c>
      <x:c r="E70" s="28" t="str">
        <x:v>Pearson Edexcel Functional Skills Mathematics (2019)</x:v>
      </x:c>
      <x:c r="F70" s="28" t="str">
        <x:v>Level 1 / Level 2 differentiated</x:v>
      </x:c>
      <x:c r="G70" s="28" t="str">
        <x:v>KS3 Geometry; 4MA1 4.4-4.5,4.11; FS L1 21,24-26; FS L2 18-22</x:v>
      </x:c>
      <x:c r="H70" s="28" t="str">
        <x:v>Canonical learning is applied to realistic problems, decision making, checking reasonableness and communicating results.</x:v>
      </x:c>
      <x:c r="I70" s="28" t="str">
        <x:v>https://qualifications.pearson.com/en/qualifications/edexcel-functional-skills/maths-2019.html</x:v>
      </x:c>
      <x:c r="J70" s="36" t="str">
        <x:v>Pearson page lists L1/L2 review date 31 August 2028; verify at annual review.</x:v>
      </x:c>
    </x:row>
    <x:row r="71" ht="64" customHeight="1">
      <x:c r="A71" s="35" t="str">
        <x:v>OV-0067</x:v>
      </x:c>
      <x:c r="B71" s="28" t="str">
        <x:v>NEO-MATH-Y9-05</x:v>
      </x:c>
      <x:c r="C71" s="28" t="str">
        <x:v>Year 9 Bridge</x:v>
      </x:c>
      <x:c r="D71" s="28" t="str">
        <x:v>Inequalities: Mathematics with Boundaries</x:v>
      </x:c>
      <x:c r="E71" s="28" t="str">
        <x:v>National Curriculum KS3 Mathematics</x:v>
      </x:c>
      <x:c r="F71" s="28" t="str">
        <x:v>KS3</x:v>
      </x:c>
      <x:c r="G71" s="28" t="str">
        <x:v>KS3 Algebra; 4MA1 2.8</x:v>
      </x:c>
      <x:c r="H71" s="28" t="str">
        <x:v>Canonical Stepping Stones build fluency, reasoning, representation and problem solving within the named domain.</x:v>
      </x:c>
      <x:c r="I71" s="28" t="str">
        <x:v>https://www.gov.uk/government/publications/national-curriculum-in-england-mathematics-programmes-of-study/national-curriculum-in-england-mathematics-programmes-of-study</x:v>
      </x:c>
      <x:c r="J71" s="36" t="str">
        <x:v>Statutory KS3 programme; sequence by readiness and secure understanding.</x:v>
      </x:c>
    </x:row>
    <x:row r="72" ht="64" customHeight="1">
      <x:c r="A72" s="35" t="str">
        <x:v>OV-0068</x:v>
      </x:c>
      <x:c r="B72" s="28" t="str">
        <x:v>NEO-MATH-Y9-05</x:v>
      </x:c>
      <x:c r="C72" s="28" t="str">
        <x:v>Year 9 Bridge</x:v>
      </x:c>
      <x:c r="D72" s="28" t="str">
        <x:v>Inequalities: Mathematics with Boundaries</x:v>
      </x:c>
      <x:c r="E72" s="28" t="str">
        <x:v>Pearson Edexcel International GCSE Mathematics A (4MA1)</x:v>
      </x:c>
      <x:c r="F72" s="28" t="str">
        <x:v>Foundation / Higher as mapped</x:v>
      </x:c>
      <x:c r="G72" s="28" t="str">
        <x:v>KS3 Algebra; 4MA1 2.8</x:v>
      </x:c>
      <x:c r="H72" s="28" t="str">
        <x:v>Canonical outcomes map to the relevant 4MA1 content while the lesson remains inquiry-led and representation-rich.</x:v>
      </x:c>
      <x:c r="I72" s="28" t="str">
        <x:v>https://qualifications.pearson.com/en/qualifications/edexcel-international-gcses/international-gcse-mathematics-a-2016.html</x:v>
      </x:c>
      <x:c r="J72" s="36" t="str">
        <x:v>Current NEO draft names 4MA1. Recheck Pearson specification issue and entry route annually.</x:v>
      </x:c>
    </x:row>
    <x:row r="73" ht="64" customHeight="1">
      <x:c r="A73" s="35" t="str">
        <x:v>OV-0069</x:v>
      </x:c>
      <x:c r="B73" s="28" t="str">
        <x:v>NEO-MATH-Y9-06</x:v>
      </x:c>
      <x:c r="C73" s="28" t="str">
        <x:v>Year 9 Bridge</x:v>
      </x:c>
      <x:c r="D73" s="28" t="str">
        <x:v>Formulae and Rearranging: Changing the Subject</x:v>
      </x:c>
      <x:c r="E73" s="28" t="str">
        <x:v>National Curriculum KS3 Mathematics</x:v>
      </x:c>
      <x:c r="F73" s="28" t="str">
        <x:v>KS3</x:v>
      </x:c>
      <x:c r="G73" s="28" t="str">
        <x:v>KS3 Algebra; 4MA1 2.3</x:v>
      </x:c>
      <x:c r="H73" s="28" t="str">
        <x:v>Canonical Stepping Stones build fluency, reasoning, representation and problem solving within the named domain.</x:v>
      </x:c>
      <x:c r="I73" s="28" t="str">
        <x:v>https://www.gov.uk/government/publications/national-curriculum-in-england-mathematics-programmes-of-study/national-curriculum-in-england-mathematics-programmes-of-study</x:v>
      </x:c>
      <x:c r="J73" s="36" t="str">
        <x:v>Statutory KS3 programme; sequence by readiness and secure understanding.</x:v>
      </x:c>
    </x:row>
    <x:row r="74" ht="64" customHeight="1">
      <x:c r="A74" s="35" t="str">
        <x:v>OV-0070</x:v>
      </x:c>
      <x:c r="B74" s="28" t="str">
        <x:v>NEO-MATH-Y9-06</x:v>
      </x:c>
      <x:c r="C74" s="28" t="str">
        <x:v>Year 9 Bridge</x:v>
      </x:c>
      <x:c r="D74" s="28" t="str">
        <x:v>Formulae and Rearranging: Changing the Subject</x:v>
      </x:c>
      <x:c r="E74" s="28" t="str">
        <x:v>Pearson Edexcel International GCSE Mathematics A (4MA1)</x:v>
      </x:c>
      <x:c r="F74" s="28" t="str">
        <x:v>Foundation/Higher bridge</x:v>
      </x:c>
      <x:c r="G74" s="28" t="str">
        <x:v>KS3 Algebra; 4MA1 2.3</x:v>
      </x:c>
      <x:c r="H74" s="28" t="str">
        <x:v>Canonical outcomes map to the relevant 4MA1 content while the lesson remains inquiry-led and representation-rich.</x:v>
      </x:c>
      <x:c r="I74" s="28" t="str">
        <x:v>https://qualifications.pearson.com/en/qualifications/edexcel-international-gcses/international-gcse-mathematics-a-2016.html</x:v>
      </x:c>
      <x:c r="J74" s="36" t="str">
        <x:v>Current NEO draft names 4MA1. Recheck Pearson specification issue and entry route annually.</x:v>
      </x:c>
    </x:row>
    <x:row r="75" ht="64" customHeight="1">
      <x:c r="A75" s="35" t="str">
        <x:v>OV-0071</x:v>
      </x:c>
      <x:c r="B75" s="28" t="str">
        <x:v>NEO-MATH-Y9-07</x:v>
      </x:c>
      <x:c r="C75" s="28" t="str">
        <x:v>Year 9 Bridge</x:v>
      </x:c>
      <x:c r="D75" s="28" t="str">
        <x:v>Pythagoras and the Hidden Length</x:v>
      </x:c>
      <x:c r="E75" s="28" t="str">
        <x:v>National Curriculum KS3 Mathematics</x:v>
      </x:c>
      <x:c r="F75" s="28" t="str">
        <x:v>KS3</x:v>
      </x:c>
      <x:c r="G75" s="28" t="str">
        <x:v>KS3 Geometry; 4MA1 4.8</x:v>
      </x:c>
      <x:c r="H75" s="28" t="str">
        <x:v>Canonical Stepping Stones build fluency, reasoning, representation and problem solving within the named domain.</x:v>
      </x:c>
      <x:c r="I75" s="28" t="str">
        <x:v>https://www.gov.uk/government/publications/national-curriculum-in-england-mathematics-programmes-of-study/national-curriculum-in-england-mathematics-programmes-of-study</x:v>
      </x:c>
      <x:c r="J75" s="36" t="str">
        <x:v>Statutory KS3 programme; sequence by readiness and secure understanding.</x:v>
      </x:c>
    </x:row>
    <x:row r="76" ht="64" customHeight="1">
      <x:c r="A76" s="35" t="str">
        <x:v>OV-0072</x:v>
      </x:c>
      <x:c r="B76" s="28" t="str">
        <x:v>NEO-MATH-Y9-07</x:v>
      </x:c>
      <x:c r="C76" s="28" t="str">
        <x:v>Year 9 Bridge</x:v>
      </x:c>
      <x:c r="D76" s="28" t="str">
        <x:v>Pythagoras and the Hidden Length</x:v>
      </x:c>
      <x:c r="E76" s="28" t="str">
        <x:v>Pearson Edexcel International GCSE Mathematics A (4MA1)</x:v>
      </x:c>
      <x:c r="F76" s="28" t="str">
        <x:v>Foundation/Higher bridge</x:v>
      </x:c>
      <x:c r="G76" s="28" t="str">
        <x:v>KS3 Geometry; 4MA1 4.8</x:v>
      </x:c>
      <x:c r="H76" s="28" t="str">
        <x:v>Canonical outcomes map to the relevant 4MA1 content while the lesson remains inquiry-led and representation-rich.</x:v>
      </x:c>
      <x:c r="I76" s="28" t="str">
        <x:v>https://qualifications.pearson.com/en/qualifications/edexcel-international-gcses/international-gcse-mathematics-a-2016.html</x:v>
      </x:c>
      <x:c r="J76" s="36" t="str">
        <x:v>Current NEO draft names 4MA1. Recheck Pearson specification issue and entry route annually.</x:v>
      </x:c>
    </x:row>
    <x:row r="77" ht="64" customHeight="1">
      <x:c r="A77" s="35" t="str">
        <x:v>OV-0073</x:v>
      </x:c>
      <x:c r="B77" s="28" t="str">
        <x:v>NEO-MATH-Y9-08</x:v>
      </x:c>
      <x:c r="C77" s="28" t="str">
        <x:v>Year 9 Bridge</x:v>
      </x:c>
      <x:c r="D77" s="28" t="str">
        <x:v>Similarity and Scale: Same Shape, New Size</x:v>
      </x:c>
      <x:c r="E77" s="28" t="str">
        <x:v>National Curriculum KS3 Mathematics</x:v>
      </x:c>
      <x:c r="F77" s="28" t="str">
        <x:v>KS3</x:v>
      </x:c>
      <x:c r="G77" s="28" t="str">
        <x:v>KS3 Ratio/Geometry; 4MA1 4.11; FS L2 18</x:v>
      </x:c>
      <x:c r="H77" s="28" t="str">
        <x:v>Canonical Stepping Stones build fluency, reasoning, representation and problem solving within the named domain.</x:v>
      </x:c>
      <x:c r="I77" s="28" t="str">
        <x:v>https://www.gov.uk/government/publications/national-curriculum-in-england-mathematics-programmes-of-study/national-curriculum-in-england-mathematics-programmes-of-study</x:v>
      </x:c>
      <x:c r="J77" s="36" t="str">
        <x:v>Statutory KS3 programme; sequence by readiness and secure understanding.</x:v>
      </x:c>
    </x:row>
    <x:row r="78" ht="64" customHeight="1">
      <x:c r="A78" s="35" t="str">
        <x:v>OV-0074</x:v>
      </x:c>
      <x:c r="B78" s="28" t="str">
        <x:v>NEO-MATH-Y9-08</x:v>
      </x:c>
      <x:c r="C78" s="28" t="str">
        <x:v>Year 9 Bridge</x:v>
      </x:c>
      <x:c r="D78" s="28" t="str">
        <x:v>Similarity and Scale: Same Shape, New Size</x:v>
      </x:c>
      <x:c r="E78" s="28" t="str">
        <x:v>Pearson Edexcel International GCSE Mathematics A (4MA1)</x:v>
      </x:c>
      <x:c r="F78" s="28" t="str">
        <x:v>Foundation/Higher bridge</x:v>
      </x:c>
      <x:c r="G78" s="28" t="str">
        <x:v>KS3 Ratio/Geometry; 4MA1 4.11; FS L2 18</x:v>
      </x:c>
      <x:c r="H78" s="28" t="str">
        <x:v>Canonical outcomes map to the relevant 4MA1 content while the lesson remains inquiry-led and representation-rich.</x:v>
      </x:c>
      <x:c r="I78" s="28" t="str">
        <x:v>https://qualifications.pearson.com/en/qualifications/edexcel-international-gcses/international-gcse-mathematics-a-2016.html</x:v>
      </x:c>
      <x:c r="J78" s="36" t="str">
        <x:v>Current NEO draft names 4MA1. Recheck Pearson specification issue and entry route annually.</x:v>
      </x:c>
    </x:row>
    <x:row r="79" ht="64" customHeight="1">
      <x:c r="A79" s="35" t="str">
        <x:v>OV-0075</x:v>
      </x:c>
      <x:c r="B79" s="28" t="str">
        <x:v>NEO-MATH-Y9-08</x:v>
      </x:c>
      <x:c r="C79" s="28" t="str">
        <x:v>Year 9 Bridge</x:v>
      </x:c>
      <x:c r="D79" s="28" t="str">
        <x:v>Similarity and Scale: Same Shape, New Size</x:v>
      </x:c>
      <x:c r="E79" s="28" t="str">
        <x:v>Pearson Edexcel Functional Skills Mathematics (2019)</x:v>
      </x:c>
      <x:c r="F79" s="28" t="str">
        <x:v>Level 2</x:v>
      </x:c>
      <x:c r="G79" s="28" t="str">
        <x:v>KS3 Ratio/Geometry; 4MA1 4.11; FS L2 18</x:v>
      </x:c>
      <x:c r="H79" s="28" t="str">
        <x:v>Canonical learning is applied to realistic problems, decision making, checking reasonableness and communicating results.</x:v>
      </x:c>
      <x:c r="I79" s="28" t="str">
        <x:v>https://qualifications.pearson.com/en/qualifications/edexcel-functional-skills/maths-2019.html</x:v>
      </x:c>
      <x:c r="J79" s="36" t="str">
        <x:v>Pearson page lists L1/L2 review date 31 August 2028; verify at annual review.</x:v>
      </x:c>
    </x:row>
    <x:row r="80" ht="64" customHeight="1">
      <x:c r="A80" s="35" t="str">
        <x:v>OV-0076</x:v>
      </x:c>
      <x:c r="B80" s="28" t="str">
        <x:v>NEO-MATH-Y9-09</x:v>
      </x:c>
      <x:c r="C80" s="28" t="str">
        <x:v>Year 9 Bridge</x:v>
      </x:c>
      <x:c r="D80" s="28" t="str">
        <x:v>Sampling, Bias and What We Can Infer</x:v>
      </x:c>
      <x:c r="E80" s="28" t="str">
        <x:v>National Curriculum KS3 Mathematics</x:v>
      </x:c>
      <x:c r="F80" s="28" t="str">
        <x:v>KS3</x:v>
      </x:c>
      <x:c r="G80" s="28" t="str">
        <x:v>KS3 Statistics; 4MA1 6.1-6.2</x:v>
      </x:c>
      <x:c r="H80" s="28" t="str">
        <x:v>Canonical Stepping Stones build fluency, reasoning, representation and problem solving within the named domain.</x:v>
      </x:c>
      <x:c r="I80" s="28" t="str">
        <x:v>https://www.gov.uk/government/publications/national-curriculum-in-england-mathematics-programmes-of-study/national-curriculum-in-england-mathematics-programmes-of-study</x:v>
      </x:c>
      <x:c r="J80" s="36" t="str">
        <x:v>Statutory KS3 programme; sequence by readiness and secure understanding.</x:v>
      </x:c>
    </x:row>
    <x:row r="81" ht="64" customHeight="1">
      <x:c r="A81" s="35" t="str">
        <x:v>OV-0077</x:v>
      </x:c>
      <x:c r="B81" s="28" t="str">
        <x:v>NEO-MATH-Y9-09</x:v>
      </x:c>
      <x:c r="C81" s="28" t="str">
        <x:v>Year 9 Bridge</x:v>
      </x:c>
      <x:c r="D81" s="28" t="str">
        <x:v>Sampling, Bias and What We Can Infer</x:v>
      </x:c>
      <x:c r="E81" s="28" t="str">
        <x:v>Pearson Edexcel International GCSE Mathematics A (4MA1)</x:v>
      </x:c>
      <x:c r="F81" s="28" t="str">
        <x:v>Foundation/Higher bridge</x:v>
      </x:c>
      <x:c r="G81" s="28" t="str">
        <x:v>KS3 Statistics; 4MA1 6.1-6.2</x:v>
      </x:c>
      <x:c r="H81" s="28" t="str">
        <x:v>Canonical outcomes map to the relevant 4MA1 content while the lesson remains inquiry-led and representation-rich.</x:v>
      </x:c>
      <x:c r="I81" s="28" t="str">
        <x:v>https://qualifications.pearson.com/en/qualifications/edexcel-international-gcses/international-gcse-mathematics-a-2016.html</x:v>
      </x:c>
      <x:c r="J81" s="36" t="str">
        <x:v>Current NEO draft names 4MA1. Recheck Pearson specification issue and entry route annually.</x:v>
      </x:c>
    </x:row>
    <x:row r="82" ht="64" customHeight="1">
      <x:c r="A82" s="35" t="str">
        <x:v>OV-0078</x:v>
      </x:c>
      <x:c r="B82" s="28" t="str">
        <x:v>NEO-MATH-Y9-10</x:v>
      </x:c>
      <x:c r="C82" s="28" t="str">
        <x:v>Year 9 Bridge</x:v>
      </x:c>
      <x:c r="D82" s="28" t="str">
        <x:v>Probability Trees and Conditional Change</x:v>
      </x:c>
      <x:c r="E82" s="28" t="str">
        <x:v>National Curriculum KS3 Mathematics</x:v>
      </x:c>
      <x:c r="F82" s="28" t="str">
        <x:v>KS3</x:v>
      </x:c>
      <x:c r="G82" s="28" t="str">
        <x:v>KS3 Probability; 4MA1 1.5,7.1; Higher conditional/dependent extensions</x:v>
      </x:c>
      <x:c r="H82" s="28" t="str">
        <x:v>Canonical Stepping Stones build fluency, reasoning, representation and problem solving within the named domain.</x:v>
      </x:c>
      <x:c r="I82" s="28" t="str">
        <x:v>https://www.gov.uk/government/publications/national-curriculum-in-england-mathematics-programmes-of-study/national-curriculum-in-england-mathematics-programmes-of-study</x:v>
      </x:c>
      <x:c r="J82" s="36" t="str">
        <x:v>Statutory KS3 programme; sequence by readiness and secure understanding.</x:v>
      </x:c>
    </x:row>
    <x:row r="83" ht="64" customHeight="1">
      <x:c r="A83" s="35" t="str">
        <x:v>OV-0079</x:v>
      </x:c>
      <x:c r="B83" s="28" t="str">
        <x:v>NEO-MATH-Y9-10</x:v>
      </x:c>
      <x:c r="C83" s="28" t="str">
        <x:v>Year 9 Bridge</x:v>
      </x:c>
      <x:c r="D83" s="28" t="str">
        <x:v>Probability Trees and Conditional Change</x:v>
      </x:c>
      <x:c r="E83" s="28" t="str">
        <x:v>Pearson Edexcel International GCSE Mathematics A (4MA1)</x:v>
      </x:c>
      <x:c r="F83" s="28" t="str">
        <x:v>Foundation / Higher as mapped</x:v>
      </x:c>
      <x:c r="G83" s="28" t="str">
        <x:v>KS3 Probability; 4MA1 1.5,7.1; Higher conditional/dependent extensions</x:v>
      </x:c>
      <x:c r="H83" s="28" t="str">
        <x:v>Canonical outcomes map to the relevant 4MA1 content while the lesson remains inquiry-led and representation-rich.</x:v>
      </x:c>
      <x:c r="I83" s="28" t="str">
        <x:v>https://qualifications.pearson.com/en/qualifications/edexcel-international-gcses/international-gcse-mathematics-a-2016.html</x:v>
      </x:c>
      <x:c r="J83" s="36" t="str">
        <x:v>Current NEO draft names 4MA1. Recheck Pearson specification issue and entry route annually.</x:v>
      </x:c>
    </x:row>
    <x:row r="84" ht="64" customHeight="1">
      <x:c r="A84" s="35" t="str">
        <x:v>OV-0080</x:v>
      </x:c>
      <x:c r="B84" s="28" t="str">
        <x:v>NEO-MATH-Y10-01</x:v>
      </x:c>
      <x:c r="C84" s="28" t="str">
        <x:v>iGCSE Year 1</x:v>
      </x:c>
      <x:c r="D84" s="28" t="str">
        <x:v>Number Systems and Calculator Judgement</x:v>
      </x:c>
      <x:c r="E84" s="28" t="str">
        <x:v>Pearson Edexcel International GCSE Mathematics A (4MA1)</x:v>
      </x:c>
      <x:c r="F84" s="28" t="str">
        <x:v>Foundation / Higher as mapped</x:v>
      </x:c>
      <x:c r="G84" s="28" t="str">
        <x:v>4MA1 1.1-1.3,1.8,1.11</x:v>
      </x:c>
      <x:c r="H84" s="28" t="str">
        <x:v>Canonical outcomes map to the relevant 4MA1 content while the lesson remains inquiry-led and representation-rich.</x:v>
      </x:c>
      <x:c r="I84" s="28" t="str">
        <x:v>https://qualifications.pearson.com/en/qualifications/edexcel-international-gcses/international-gcse-mathematics-a-2016.html</x:v>
      </x:c>
      <x:c r="J84" s="36" t="str">
        <x:v>Current NEO draft names 4MA1. Recheck Pearson specification issue and entry route annually.</x:v>
      </x:c>
    </x:row>
    <x:row r="85" ht="64" customHeight="1">
      <x:c r="A85" s="35" t="str">
        <x:v>OV-0081</x:v>
      </x:c>
      <x:c r="B85" s="28" t="str">
        <x:v>NEO-MATH-Y10-02</x:v>
      </x:c>
      <x:c r="C85" s="28" t="str">
        <x:v>iGCSE Year 1</x:v>
      </x:c>
      <x:c r="D85" s="28" t="str">
        <x:v>Algebraic Expressions and Identities</x:v>
      </x:c>
      <x:c r="E85" s="28" t="str">
        <x:v>Pearson Edexcel International GCSE Mathematics A (4MA1)</x:v>
      </x:c>
      <x:c r="F85" s="28" t="str">
        <x:v>Foundation / Higher as mapped</x:v>
      </x:c>
      <x:c r="G85" s="28" t="str">
        <x:v>4MA1 2.1-2.3; Higher 2.2 extensions</x:v>
      </x:c>
      <x:c r="H85" s="28" t="str">
        <x:v>Canonical outcomes map to the relevant 4MA1 content while the lesson remains inquiry-led and representation-rich.</x:v>
      </x:c>
      <x:c r="I85" s="28" t="str">
        <x:v>https://qualifications.pearson.com/en/qualifications/edexcel-international-gcses/international-gcse-mathematics-a-2016.html</x:v>
      </x:c>
      <x:c r="J85" s="36" t="str">
        <x:v>Current NEO draft names 4MA1. Recheck Pearson specification issue and entry route annually.</x:v>
      </x:c>
    </x:row>
    <x:row r="86" ht="64" customHeight="1">
      <x:c r="A86" s="35" t="str">
        <x:v>OV-0082</x:v>
      </x:c>
      <x:c r="B86" s="28" t="str">
        <x:v>NEO-MATH-Y10-03</x:v>
      </x:c>
      <x:c r="C86" s="28" t="str">
        <x:v>iGCSE Year 1</x:v>
      </x:c>
      <x:c r="D86" s="28" t="str">
        <x:v>Straight Lines, Sets and Connected Representations</x:v>
      </x:c>
      <x:c r="E86" s="28" t="str">
        <x:v>Pearson Edexcel International GCSE Mathematics A (4MA1)</x:v>
      </x:c>
      <x:c r="F86" s="28" t="str">
        <x:v>Foundation / Higher as mapped</x:v>
      </x:c>
      <x:c r="G86" s="28" t="str">
        <x:v>4MA1 1.5,3.3</x:v>
      </x:c>
      <x:c r="H86" s="28" t="str">
        <x:v>Canonical outcomes map to the relevant 4MA1 content while the lesson remains inquiry-led and representation-rich.</x:v>
      </x:c>
      <x:c r="I86" s="28" t="str">
        <x:v>https://qualifications.pearson.com/en/qualifications/edexcel-international-gcses/international-gcse-mathematics-a-2016.html</x:v>
      </x:c>
      <x:c r="J86" s="36" t="str">
        <x:v>Current NEO draft names 4MA1. Recheck Pearson specification issue and entry route annually.</x:v>
      </x:c>
    </x:row>
    <x:row r="87" ht="64" customHeight="1">
      <x:c r="A87" s="35" t="str">
        <x:v>OV-0083</x:v>
      </x:c>
      <x:c r="B87" s="28" t="str">
        <x:v>NEO-MATH-Y10-04</x:v>
      </x:c>
      <x:c r="C87" s="28" t="str">
        <x:v>iGCSE Year 1</x:v>
      </x:c>
      <x:c r="D87" s="28" t="str">
        <x:v>Percentages, Ratio and Growth Models</x:v>
      </x:c>
      <x:c r="E87" s="28" t="str">
        <x:v>Pearson Edexcel International GCSE Mathematics A (4MA1)</x:v>
      </x:c>
      <x:c r="F87" s="28" t="str">
        <x:v>Foundation / Higher as mapped</x:v>
      </x:c>
      <x:c r="G87" s="28" t="str">
        <x:v>4MA1 1.6-1.7; Higher repeated change; FS L2 5-6,11,13</x:v>
      </x:c>
      <x:c r="H87" s="28" t="str">
        <x:v>Canonical outcomes map to the relevant 4MA1 content while the lesson remains inquiry-led and representation-rich.</x:v>
      </x:c>
      <x:c r="I87" s="28" t="str">
        <x:v>https://qualifications.pearson.com/en/qualifications/edexcel-international-gcses/international-gcse-mathematics-a-2016.html</x:v>
      </x:c>
      <x:c r="J87" s="36" t="str">
        <x:v>Current NEO draft names 4MA1. Recheck Pearson specification issue and entry route annually.</x:v>
      </x:c>
    </x:row>
    <x:row r="88" ht="64" customHeight="1">
      <x:c r="A88" s="35" t="str">
        <x:v>OV-0084</x:v>
      </x:c>
      <x:c r="B88" s="28" t="str">
        <x:v>NEO-MATH-Y10-04</x:v>
      </x:c>
      <x:c r="C88" s="28" t="str">
        <x:v>iGCSE Year 1</x:v>
      </x:c>
      <x:c r="D88" s="28" t="str">
        <x:v>Percentages, Ratio and Growth Models</x:v>
      </x:c>
      <x:c r="E88" s="28" t="str">
        <x:v>Pearson Edexcel Functional Skills Mathematics (2019)</x:v>
      </x:c>
      <x:c r="F88" s="28" t="str">
        <x:v>Level 2</x:v>
      </x:c>
      <x:c r="G88" s="28" t="str">
        <x:v>4MA1 1.6-1.7; Higher repeated change; FS L2 5-6,11,13</x:v>
      </x:c>
      <x:c r="H88" s="28" t="str">
        <x:v>Canonical learning is applied to realistic problems, decision making, checking reasonableness and communicating results.</x:v>
      </x:c>
      <x:c r="I88" s="28" t="str">
        <x:v>https://qualifications.pearson.com/en/qualifications/edexcel-functional-skills/maths-2019.html</x:v>
      </x:c>
      <x:c r="J88" s="36" t="str">
        <x:v>Pearson page lists L1/L2 review date 31 August 2028; verify at annual review.</x:v>
      </x:c>
    </x:row>
    <x:row r="89" ht="64" customHeight="1">
      <x:c r="A89" s="35" t="str">
        <x:v>OV-0085</x:v>
      </x:c>
      <x:c r="B89" s="28" t="str">
        <x:v>NEO-MATH-Y10-05</x:v>
      </x:c>
      <x:c r="C89" s="28" t="str">
        <x:v>iGCSE Year 1</x:v>
      </x:c>
      <x:c r="D89" s="28" t="str">
        <x:v>Equations, Inequalities and Simultaneous Relationships</x:v>
      </x:c>
      <x:c r="E89" s="28" t="str">
        <x:v>Pearson Edexcel International GCSE Mathematics A (4MA1)</x:v>
      </x:c>
      <x:c r="F89" s="28" t="str">
        <x:v>Foundation / Higher as mapped</x:v>
      </x:c>
      <x:c r="G89" s="28" t="str">
        <x:v>4MA1 2.4,2.6,2.8</x:v>
      </x:c>
      <x:c r="H89" s="28" t="str">
        <x:v>Canonical outcomes map to the relevant 4MA1 content while the lesson remains inquiry-led and representation-rich.</x:v>
      </x:c>
      <x:c r="I89" s="28" t="str">
        <x:v>https://qualifications.pearson.com/en/qualifications/edexcel-international-gcses/international-gcse-mathematics-a-2016.html</x:v>
      </x:c>
      <x:c r="J89" s="36" t="str">
        <x:v>Current NEO draft names 4MA1. Recheck Pearson specification issue and entry route annually.</x:v>
      </x:c>
    </x:row>
    <x:row r="90" ht="64" customHeight="1">
      <x:c r="A90" s="35" t="str">
        <x:v>OV-0086</x:v>
      </x:c>
      <x:c r="B90" s="28" t="str">
        <x:v>NEO-MATH-Y10-06</x:v>
      </x:c>
      <x:c r="C90" s="28" t="str">
        <x:v>iGCSE Year 1</x:v>
      </x:c>
      <x:c r="D90" s="28" t="str">
        <x:v>Pythagoras, Trigonometry and Measuring the Unreachable</x:v>
      </x:c>
      <x:c r="E90" s="28" t="str">
        <x:v>Pearson Edexcel International GCSE Mathematics A (4MA1)</x:v>
      </x:c>
      <x:c r="F90" s="28" t="str">
        <x:v>Foundation / Higher as mapped</x:v>
      </x:c>
      <x:c r="G90" s="28" t="str">
        <x:v>4MA1 4.4,4.8</x:v>
      </x:c>
      <x:c r="H90" s="28" t="str">
        <x:v>Canonical outcomes map to the relevant 4MA1 content while the lesson remains inquiry-led and representation-rich.</x:v>
      </x:c>
      <x:c r="I90" s="28" t="str">
        <x:v>https://qualifications.pearson.com/en/qualifications/edexcel-international-gcses/international-gcse-mathematics-a-2016.html</x:v>
      </x:c>
      <x:c r="J90" s="36" t="str">
        <x:v>Current NEO draft names 4MA1. Recheck Pearson specification issue and entry route annually.</x:v>
      </x:c>
    </x:row>
    <x:row r="91" ht="64" customHeight="1">
      <x:c r="A91" s="35" t="str">
        <x:v>OV-0087</x:v>
      </x:c>
      <x:c r="B91" s="28" t="str">
        <x:v>NEO-MATH-Y10-07</x:v>
      </x:c>
      <x:c r="C91" s="28" t="str">
        <x:v>iGCSE Year 1</x:v>
      </x:c>
      <x:c r="D91" s="28" t="str">
        <x:v>Frequency, Scatter and the Shape of Data</x:v>
      </x:c>
      <x:c r="E91" s="28" t="str">
        <x:v>Pearson Edexcel International GCSE Mathematics A (4MA1)</x:v>
      </x:c>
      <x:c r="F91" s="28" t="str">
        <x:v>Foundation / Higher as mapped</x:v>
      </x:c>
      <x:c r="G91" s="28" t="str">
        <x:v>4MA1 6.1-6.2</x:v>
      </x:c>
      <x:c r="H91" s="28" t="str">
        <x:v>Canonical outcomes map to the relevant 4MA1 content while the lesson remains inquiry-led and representation-rich.</x:v>
      </x:c>
      <x:c r="I91" s="28" t="str">
        <x:v>https://qualifications.pearson.com/en/qualifications/edexcel-international-gcses/international-gcse-mathematics-a-2016.html</x:v>
      </x:c>
      <x:c r="J91" s="36" t="str">
        <x:v>Current NEO draft names 4MA1. Recheck Pearson specification issue and entry route annually.</x:v>
      </x:c>
    </x:row>
    <x:row r="92" ht="64" customHeight="1">
      <x:c r="A92" s="35" t="str">
        <x:v>OV-0088</x:v>
      </x:c>
      <x:c r="B92" s="28" t="str">
        <x:v>NEO-MATH-Y10-08</x:v>
      </x:c>
      <x:c r="C92" s="28" t="str">
        <x:v>iGCSE Year 1</x:v>
      </x:c>
      <x:c r="D92" s="28" t="str">
        <x:v>Bounds and the Mathematics of ‘Nearly’</x:v>
      </x:c>
      <x:c r="E92" s="28" t="str">
        <x:v>Pearson Edexcel International GCSE Mathematics A (4MA1)</x:v>
      </x:c>
      <x:c r="F92" s="28" t="str">
        <x:v>Foundation / Higher as mapped</x:v>
      </x:c>
      <x:c r="G92" s="28" t="str">
        <x:v>4MA1 1.8; Higher bounds problems</x:v>
      </x:c>
      <x:c r="H92" s="28" t="str">
        <x:v>Canonical outcomes map to the relevant 4MA1 content while the lesson remains inquiry-led and representation-rich.</x:v>
      </x:c>
      <x:c r="I92" s="28" t="str">
        <x:v>https://qualifications.pearson.com/en/qualifications/edexcel-international-gcses/international-gcse-mathematics-a-2016.html</x:v>
      </x:c>
      <x:c r="J92" s="36" t="str">
        <x:v>Current NEO draft names 4MA1. Recheck Pearson specification issue and entry route annually.</x:v>
      </x:c>
    </x:row>
    <x:row r="93" ht="64" customHeight="1">
      <x:c r="A93" s="35" t="str">
        <x:v>OV-0089</x:v>
      </x:c>
      <x:c r="B93" s="28" t="str">
        <x:v>NEO-MATH-Y10-09</x:v>
      </x:c>
      <x:c r="C93" s="28" t="str">
        <x:v>iGCSE Year 1</x:v>
      </x:c>
      <x:c r="D93" s="28" t="str">
        <x:v>Quadratics: Factors, Roots and Graphs</x:v>
      </x:c>
      <x:c r="E93" s="28" t="str">
        <x:v>Pearson Edexcel International GCSE Mathematics A (4MA1)</x:v>
      </x:c>
      <x:c r="F93" s="28" t="str">
        <x:v>Foundation / Higher as mapped</x:v>
      </x:c>
      <x:c r="G93" s="28" t="str">
        <x:v>4MA1 2.2,2.7,3.3; Higher extensions</x:v>
      </x:c>
      <x:c r="H93" s="28" t="str">
        <x:v>Canonical outcomes map to the relevant 4MA1 content while the lesson remains inquiry-led and representation-rich.</x:v>
      </x:c>
      <x:c r="I93" s="28" t="str">
        <x:v>https://qualifications.pearson.com/en/qualifications/edexcel-international-gcses/international-gcse-mathematics-a-2016.html</x:v>
      </x:c>
      <x:c r="J93" s="36" t="str">
        <x:v>Current NEO draft names 4MA1. Recheck Pearson specification issue and entry route annually.</x:v>
      </x:c>
    </x:row>
    <x:row r="94" ht="64" customHeight="1">
      <x:c r="A94" s="35" t="str">
        <x:v>OV-0090</x:v>
      </x:c>
      <x:c r="B94" s="28" t="str">
        <x:v>NEO-MATH-Y10-10</x:v>
      </x:c>
      <x:c r="C94" s="28" t="str">
        <x:v>iGCSE Year 1</x:v>
      </x:c>
      <x:c r="D94" s="28" t="str">
        <x:v>The Connected Maths Performance Project</x:v>
      </x:c>
      <x:c r="E94" s="28" t="str">
        <x:v>Pearson Edexcel International GCSE Mathematics A (4MA1)</x:v>
      </x:c>
      <x:c r="F94" s="28" t="str">
        <x:v>Foundation/Higher bridge</x:v>
      </x:c>
      <x:c r="G94" s="28" t="str">
        <x:v>4MA1 cross-domain problem solving and reasoning aims</x:v>
      </x:c>
      <x:c r="H94" s="28" t="str">
        <x:v>Canonical outcomes map to the relevant 4MA1 content while the lesson remains inquiry-led and representation-rich.</x:v>
      </x:c>
      <x:c r="I94" s="28" t="str">
        <x:v>https://qualifications.pearson.com/en/qualifications/edexcel-international-gcses/international-gcse-mathematics-a-2016.html</x:v>
      </x:c>
      <x:c r="J94" s="36" t="str">
        <x:v>Current NEO draft names 4MA1. Recheck Pearson specification issue and entry route annually.</x:v>
      </x:c>
    </x:row>
    <x:row r="95" ht="64" customHeight="1">
      <x:c r="A95" s="35" t="str">
        <x:v>OV-0091</x:v>
      </x:c>
      <x:c r="B95" s="28" t="str">
        <x:v>NEO-MATH-Y11-01</x:v>
      </x:c>
      <x:c r="C95" s="28" t="str">
        <x:v>iGCSE Year 2</x:v>
      </x:c>
      <x:c r="D95" s="28" t="str">
        <x:v>Advanced Algebra: Structure, Strategy and Proof</x:v>
      </x:c>
      <x:c r="E95" s="28" t="str">
        <x:v>Pearson Edexcel International GCSE Mathematics A (4MA1)</x:v>
      </x:c>
      <x:c r="F95" s="28" t="str">
        <x:v>Foundation / Higher as mapped</x:v>
      </x:c>
      <x:c r="G95" s="28" t="str">
        <x:v>4MA1 2.1-2.4; Higher 2.2-2.3,2.7</x:v>
      </x:c>
      <x:c r="H95" s="28" t="str">
        <x:v>Canonical outcomes map to the relevant 4MA1 content while the lesson remains inquiry-led and representation-rich.</x:v>
      </x:c>
      <x:c r="I95" s="28" t="str">
        <x:v>https://qualifications.pearson.com/en/qualifications/edexcel-international-gcses/international-gcse-mathematics-a-2016.html</x:v>
      </x:c>
      <x:c r="J95" s="36" t="str">
        <x:v>Current NEO draft names 4MA1. Recheck Pearson specification issue and entry route annually.</x:v>
      </x:c>
    </x:row>
    <x:row r="96" ht="64" customHeight="1">
      <x:c r="A96" s="35" t="str">
        <x:v>OV-0092</x:v>
      </x:c>
      <x:c r="B96" s="28" t="str">
        <x:v>NEO-MATH-Y11-02</x:v>
      </x:c>
      <x:c r="C96" s="28" t="str">
        <x:v>iGCSE Year 2</x:v>
      </x:c>
      <x:c r="D96" s="28" t="str">
        <x:v>Functions, Transformations and Rates of Change</x:v>
      </x:c>
      <x:c r="E96" s="28" t="str">
        <x:v>Pearson Edexcel International GCSE Mathematics A (4MA1)</x:v>
      </x:c>
      <x:c r="F96" s="28" t="str">
        <x:v>Foundation / Higher as mapped</x:v>
      </x:c>
      <x:c r="G96" s="28" t="str">
        <x:v>4MA1 3.2-3.3; Higher function transformation content</x:v>
      </x:c>
      <x:c r="H96" s="28" t="str">
        <x:v>Canonical outcomes map to the relevant 4MA1 content while the lesson remains inquiry-led and representation-rich.</x:v>
      </x:c>
      <x:c r="I96" s="28" t="str">
        <x:v>https://qualifications.pearson.com/en/qualifications/edexcel-international-gcses/international-gcse-mathematics-a-2016.html</x:v>
      </x:c>
      <x:c r="J96" s="36" t="str">
        <x:v>Current NEO draft names 4MA1. Recheck Pearson specification issue and entry route annually.</x:v>
      </x:c>
    </x:row>
    <x:row r="97" ht="64" customHeight="1">
      <x:c r="A97" s="35" t="str">
        <x:v>OV-0093</x:v>
      </x:c>
      <x:c r="B97" s="28" t="str">
        <x:v>NEO-MATH-Y11-03</x:v>
      </x:c>
      <x:c r="C97" s="28" t="str">
        <x:v>iGCSE Year 2</x:v>
      </x:c>
      <x:c r="D97" s="28" t="str">
        <x:v>Motion Graphs: Distance, Speed and Area</x:v>
      </x:c>
      <x:c r="E97" s="28" t="str">
        <x:v>Pearson Edexcel International GCSE Mathematics A (4MA1)</x:v>
      </x:c>
      <x:c r="F97" s="28" t="str">
        <x:v>Foundation / Higher as mapped</x:v>
      </x:c>
      <x:c r="G97" s="28" t="str">
        <x:v>4MA1 graph/rate content; 4.4 average speed; Higher graphical rate extensions</x:v>
      </x:c>
      <x:c r="H97" s="28" t="str">
        <x:v>Canonical outcomes map to the relevant 4MA1 content while the lesson remains inquiry-led and representation-rich.</x:v>
      </x:c>
      <x:c r="I97" s="28" t="str">
        <x:v>https://qualifications.pearson.com/en/qualifications/edexcel-international-gcses/international-gcse-mathematics-a-2016.html</x:v>
      </x:c>
      <x:c r="J97" s="36" t="str">
        <x:v>Current NEO draft names 4MA1. Recheck Pearson specification issue and entry route annually.</x:v>
      </x:c>
    </x:row>
    <x:row r="98" ht="64" customHeight="1">
      <x:c r="A98" s="35" t="str">
        <x:v>OV-0094</x:v>
      </x:c>
      <x:c r="B98" s="28" t="str">
        <x:v>NEO-MATH-Y11-04</x:v>
      </x:c>
      <x:c r="C98" s="28" t="str">
        <x:v>iGCSE Year 2</x:v>
      </x:c>
      <x:c r="D98" s="28" t="str">
        <x:v>Circle Geometry and Proof Chains</x:v>
      </x:c>
      <x:c r="E98" s="28" t="str">
        <x:v>Pearson Edexcel International GCSE Mathematics A (4MA1)</x:v>
      </x:c>
      <x:c r="F98" s="28" t="str">
        <x:v>Foundation / Higher as mapped</x:v>
      </x:c>
      <x:c r="G98" s="28" t="str">
        <x:v>4MA1 4.6-4.7; Higher circle theorem content</x:v>
      </x:c>
      <x:c r="H98" s="28" t="str">
        <x:v>Canonical outcomes map to the relevant 4MA1 content while the lesson remains inquiry-led and representation-rich.</x:v>
      </x:c>
      <x:c r="I98" s="28" t="str">
        <x:v>https://qualifications.pearson.com/en/qualifications/edexcel-international-gcses/international-gcse-mathematics-a-2016.html</x:v>
      </x:c>
      <x:c r="J98" s="36" t="str">
        <x:v>Current NEO draft names 4MA1. Recheck Pearson specification issue and entry route annually.</x:v>
      </x:c>
    </x:row>
    <x:row r="99" ht="64" customHeight="1">
      <x:c r="A99" s="35" t="str">
        <x:v>OV-0095</x:v>
      </x:c>
      <x:c r="B99" s="28" t="str">
        <x:v>NEO-MATH-Y11-05</x:v>
      </x:c>
      <x:c r="C99" s="28" t="str">
        <x:v>iGCSE Year 2</x:v>
      </x:c>
      <x:c r="D99" s="28" t="str">
        <x:v>Similarity, Vectors and Transformation Geometry</x:v>
      </x:c>
      <x:c r="E99" s="28" t="str">
        <x:v>Pearson Edexcel International GCSE Mathematics A (4MA1)</x:v>
      </x:c>
      <x:c r="F99" s="28" t="str">
        <x:v>Foundation / Higher as mapped</x:v>
      </x:c>
      <x:c r="G99" s="28" t="str">
        <x:v>4MA1 4.11,5.2; Higher 5.1 and scale-factor extensions</x:v>
      </x:c>
      <x:c r="H99" s="28" t="str">
        <x:v>Canonical outcomes map to the relevant 4MA1 content while the lesson remains inquiry-led and representation-rich.</x:v>
      </x:c>
      <x:c r="I99" s="28" t="str">
        <x:v>https://qualifications.pearson.com/en/qualifications/edexcel-international-gcses/international-gcse-mathematics-a-2016.html</x:v>
      </x:c>
      <x:c r="J99" s="36" t="str">
        <x:v>Current NEO draft names 4MA1. Recheck Pearson specification issue and entry route annually.</x:v>
      </x:c>
    </x:row>
    <x:row r="100" ht="64" customHeight="1">
      <x:c r="A100" s="35" t="str">
        <x:v>OV-0096</x:v>
      </x:c>
      <x:c r="B100" s="28" t="str">
        <x:v>NEO-MATH-Y11-06</x:v>
      </x:c>
      <x:c r="C100" s="28" t="str">
        <x:v>iGCSE Year 2</x:v>
      </x:c>
      <x:c r="D100" s="28" t="str">
        <x:v>Trigonometry and 3D Measures</x:v>
      </x:c>
      <x:c r="E100" s="28" t="str">
        <x:v>Pearson Edexcel International GCSE Mathematics A (4MA1)</x:v>
      </x:c>
      <x:c r="F100" s="28" t="str">
        <x:v>Foundation / Higher as mapped</x:v>
      </x:c>
      <x:c r="G100" s="28" t="str">
        <x:v>4MA1 4.4,4.8-4.10; Higher trig extensions</x:v>
      </x:c>
      <x:c r="H100" s="28" t="str">
        <x:v>Canonical outcomes map to the relevant 4MA1 content while the lesson remains inquiry-led and representation-rich.</x:v>
      </x:c>
      <x:c r="I100" s="28" t="str">
        <x:v>https://qualifications.pearson.com/en/qualifications/edexcel-international-gcses/international-gcse-mathematics-a-2016.html</x:v>
      </x:c>
      <x:c r="J100" s="36" t="str">
        <x:v>Current NEO draft names 4MA1. Recheck Pearson specification issue and entry route annually.</x:v>
      </x:c>
    </x:row>
    <x:row r="101" ht="64" customHeight="1">
      <x:c r="A101" s="35" t="str">
        <x:v>OV-0097</x:v>
      </x:c>
      <x:c r="B101" s="28" t="str">
        <x:v>NEO-MATH-Y11-07</x:v>
      </x:c>
      <x:c r="C101" s="28" t="str">
        <x:v>iGCSE Year 2</x:v>
      </x:c>
      <x:c r="D101" s="28" t="str">
        <x:v>Histograms, Cumulative Frequency and Comparing Distributions</x:v>
      </x:c>
      <x:c r="E101" s="28" t="str">
        <x:v>Pearson Edexcel International GCSE Mathematics A (4MA1)</x:v>
      </x:c>
      <x:c r="F101" s="28" t="str">
        <x:v>Foundation / Higher as mapped</x:v>
      </x:c>
      <x:c r="G101" s="28" t="str">
        <x:v>4MA1 6.1-6.2; Higher histogram/cumulative frequency extensions</x:v>
      </x:c>
      <x:c r="H101" s="28" t="str">
        <x:v>Canonical outcomes map to the relevant 4MA1 content while the lesson remains inquiry-led and representation-rich.</x:v>
      </x:c>
      <x:c r="I101" s="28" t="str">
        <x:v>https://qualifications.pearson.com/en/qualifications/edexcel-international-gcses/international-gcse-mathematics-a-2016.html</x:v>
      </x:c>
      <x:c r="J101" s="36" t="str">
        <x:v>Current NEO draft names 4MA1. Recheck Pearson specification issue and entry route annually.</x:v>
      </x:c>
    </x:row>
    <x:row r="102" ht="64" customHeight="1">
      <x:c r="A102" s="35" t="str">
        <x:v>OV-0098</x:v>
      </x:c>
      <x:c r="B102" s="28" t="str">
        <x:v>NEO-MATH-Y11-08</x:v>
      </x:c>
      <x:c r="C102" s="28" t="str">
        <x:v>iGCSE Year 2</x:v>
      </x:c>
      <x:c r="D102" s="28" t="str">
        <x:v>Conditional Probability and Decision-Making</x:v>
      </x:c>
      <x:c r="E102" s="28" t="str">
        <x:v>Pearson Edexcel International GCSE Mathematics A (4MA1)</x:v>
      </x:c>
      <x:c r="F102" s="28" t="str">
        <x:v>Foundation / Higher as mapped</x:v>
      </x:c>
      <x:c r="G102" s="28" t="str">
        <x:v>4MA1 7.1; Higher dependent/conditional content</x:v>
      </x:c>
      <x:c r="H102" s="28" t="str">
        <x:v>Canonical outcomes map to the relevant 4MA1 content while the lesson remains inquiry-led and representation-rich.</x:v>
      </x:c>
      <x:c r="I102" s="28" t="str">
        <x:v>https://qualifications.pearson.com/en/qualifications/edexcel-international-gcses/international-gcse-mathematics-a-2016.html</x:v>
      </x:c>
      <x:c r="J102" s="36" t="str">
        <x:v>Current NEO draft names 4MA1. Recheck Pearson specification issue and entry route annually.</x:v>
      </x:c>
    </x:row>
    <x:row r="103" ht="64" customHeight="1">
      <x:c r="A103" s="35" t="str">
        <x:v>OV-0099</x:v>
      </x:c>
      <x:c r="B103" s="28" t="str">
        <x:v>NEO-MATH-Y11-09</x:v>
      </x:c>
      <x:c r="C103" s="28" t="str">
        <x:v>iGCSE Year 2</x:v>
      </x:c>
      <x:c r="D103" s="28" t="str">
        <x:v>Exam Problems as Translation</x:v>
      </x:c>
      <x:c r="E103" s="28" t="str">
        <x:v>Pearson Edexcel International GCSE Mathematics A (4MA1)</x:v>
      </x:c>
      <x:c r="F103" s="28" t="str">
        <x:v>Foundation/Higher bridge</x:v>
      </x:c>
      <x:c r="G103" s="28" t="str">
        <x:v>4MA1 cross-domain reasoning, communication and problem-solving aims</x:v>
      </x:c>
      <x:c r="H103" s="28" t="str">
        <x:v>Canonical outcomes map to the relevant 4MA1 content while the lesson remains inquiry-led and representation-rich.</x:v>
      </x:c>
      <x:c r="I103" s="28" t="str">
        <x:v>https://qualifications.pearson.com/en/qualifications/edexcel-international-gcses/international-gcse-mathematics-a-2016.html</x:v>
      </x:c>
      <x:c r="J103" s="36" t="str">
        <x:v>Current NEO draft names 4MA1. Recheck Pearson specification issue and entry route annually.</x:v>
      </x:c>
    </x:row>
    <x:row r="104" ht="64" customHeight="1">
      <x:c r="A104" s="35" t="str">
        <x:v>OV-0100</x:v>
      </x:c>
      <x:c r="B104" s="28" t="str">
        <x:v>NEO-MATH-Y11-10</x:v>
      </x:c>
      <x:c r="C104" s="28" t="str">
        <x:v>iGCSE Year 2</x:v>
      </x:c>
      <x:c r="D104" s="28" t="str">
        <x:v>Mathematics Capstone: Solve, Explain, Evaluate</x:v>
      </x:c>
      <x:c r="E104" s="28" t="str">
        <x:v>Pearson Edexcel International GCSE Mathematics A (4MA1)</x:v>
      </x:c>
      <x:c r="F104" s="28" t="str">
        <x:v>Foundation/Higher bridge</x:v>
      </x:c>
      <x:c r="G104" s="28" t="str">
        <x:v>4MA1 AO problem solving/reasoning; relevant content references selected per project</x:v>
      </x:c>
      <x:c r="H104" s="28" t="str">
        <x:v>Canonical outcomes map to the relevant 4MA1 content while the lesson remains inquiry-led and representation-rich.</x:v>
      </x:c>
      <x:c r="I104" s="28" t="str">
        <x:v>https://qualifications.pearson.com/en/qualifications/edexcel-international-gcses/international-gcse-mathematics-a-2016.html</x:v>
      </x:c>
      <x:c r="J104" s="36" t="str">
        <x:v>Current NEO draft names 4MA1. Recheck Pearson specification issue and entry route annually.</x:v>
      </x:c>
    </x:row>
    <x:row r="105" ht="64" customHeight="1">
      <x:c r="A105" s="35" t="str">
        <x:v>OV-0101</x:v>
      </x:c>
      <x:c r="B105" s="28" t="str">
        <x:v>NEO-MATH-FS-01</x:v>
      </x:c>
      <x:c r="C105" s="28" t="str">
        <x:v>Functional &amp; Applied Mathematics</x:v>
      </x:c>
      <x:c r="D105" s="28" t="str">
        <x:v>Everyday Number and Estimation</x:v>
      </x:c>
      <x:c r="E105" s="28" t="str">
        <x:v>Pearson Edexcel Functional Skills Mathematics (2019)</x:v>
      </x:c>
      <x:c r="F105" s="28" t="str">
        <x:v>Level 1 / Level 2 differentiated</x:v>
      </x:c>
      <x:c r="G105" s="28" t="str">
        <x:v>FS L1 1-7,10-12,15; FS L2 1-3,9-12</x:v>
      </x:c>
      <x:c r="H105" s="28" t="str">
        <x:v>Canonical learning is applied to realistic problems, decision making, checking reasonableness and communicating results.</x:v>
      </x:c>
      <x:c r="I105" s="28" t="str">
        <x:v>https://qualifications.pearson.com/en/qualifications/edexcel-functional-skills/maths-2019.html</x:v>
      </x:c>
      <x:c r="J105" s="36" t="str">
        <x:v>Pearson page lists L1/L2 review date 31 August 2028; verify at annual review.</x:v>
      </x:c>
    </x:row>
    <x:row r="106" ht="64" customHeight="1">
      <x:c r="A106" s="35" t="str">
        <x:v>OV-0102</x:v>
      </x:c>
      <x:c r="B106" s="28" t="str">
        <x:v>NEO-MATH-FS-02</x:v>
      </x:c>
      <x:c r="C106" s="28" t="str">
        <x:v>Functional &amp; Applied Mathematics</x:v>
      </x:c>
      <x:c r="D106" s="28" t="str">
        <x:v>Money, Discounts and Budget Choices</x:v>
      </x:c>
      <x:c r="E106" s="28" t="str">
        <x:v>Pearson Edexcel Functional Skills Mathematics (2019)</x:v>
      </x:c>
      <x:c r="F106" s="28" t="str">
        <x:v>Level 1 / Level 2 differentiated</x:v>
      </x:c>
      <x:c r="G106" s="28" t="str">
        <x:v>FS L1 13-19; FS L2 5-6,13</x:v>
      </x:c>
      <x:c r="H106" s="28" t="str">
        <x:v>Canonical learning is applied to realistic problems, decision making, checking reasonableness and communicating results.</x:v>
      </x:c>
      <x:c r="I106" s="28" t="str">
        <x:v>https://qualifications.pearson.com/en/qualifications/edexcel-functional-skills/maths-2019.html</x:v>
      </x:c>
      <x:c r="J106" s="36" t="str">
        <x:v>Pearson page lists L1/L2 review date 31 August 2028; verify at annual review.</x:v>
      </x:c>
    </x:row>
    <x:row r="107" ht="64" customHeight="1">
      <x:c r="A107" s="35" t="str">
        <x:v>OV-0103</x:v>
      </x:c>
      <x:c r="B107" s="28" t="str">
        <x:v>NEO-MATH-FS-03</x:v>
      </x:c>
      <x:c r="C107" s="28" t="str">
        <x:v>Functional &amp; Applied Mathematics</x:v>
      </x:c>
      <x:c r="D107" s="28" t="str">
        <x:v>Recipes, Ratio and Direct Proportion</x:v>
      </x:c>
      <x:c r="E107" s="28" t="str">
        <x:v>Pearson Edexcel Functional Skills Mathematics (2019)</x:v>
      </x:c>
      <x:c r="F107" s="28" t="str">
        <x:v>Level 1 / Level 2 differentiated</x:v>
      </x:c>
      <x:c r="G107" s="28" t="str">
        <x:v>FS L1 8-17; FS L2 4-11</x:v>
      </x:c>
      <x:c r="H107" s="28" t="str">
        <x:v>Canonical learning is applied to realistic problems, decision making, checking reasonableness and communicating results.</x:v>
      </x:c>
      <x:c r="I107" s="28" t="str">
        <x:v>https://qualifications.pearson.com/en/qualifications/edexcel-functional-skills/maths-2019.html</x:v>
      </x:c>
      <x:c r="J107" s="36" t="str">
        <x:v>Pearson page lists L1/L2 review date 31 August 2028; verify at annual review.</x:v>
      </x:c>
    </x:row>
    <x:row r="108" ht="64" customHeight="1">
      <x:c r="A108" s="35" t="str">
        <x:v>OV-0104</x:v>
      </x:c>
      <x:c r="B108" s="28" t="str">
        <x:v>NEO-MATH-FS-04</x:v>
      </x:c>
      <x:c r="C108" s="28" t="str">
        <x:v>Functional &amp; Applied Mathematics</x:v>
      </x:c>
      <x:c r="D108" s="28" t="str">
        <x:v>Pay, Speed, Density and Real Rates</x:v>
      </x:c>
      <x:c r="E108" s="28" t="str">
        <x:v>Pearson Edexcel Functional Skills Mathematics (2019)</x:v>
      </x:c>
      <x:c r="F108" s="28" t="str">
        <x:v>Level 1 / Level 2 differentiated</x:v>
      </x:c>
      <x:c r="G108" s="28" t="str">
        <x:v>FS L1 direct proportion bridge; FS L2 15 and related number content</x:v>
      </x:c>
      <x:c r="H108" s="28" t="str">
        <x:v>Canonical learning is applied to realistic problems, decision making, checking reasonableness and communicating results.</x:v>
      </x:c>
      <x:c r="I108" s="28" t="str">
        <x:v>https://qualifications.pearson.com/en/qualifications/edexcel-functional-skills/maths-2019.html</x:v>
      </x:c>
      <x:c r="J108" s="36" t="str">
        <x:v>Pearson page lists L1/L2 review date 31 August 2028; verify at annual review.</x:v>
      </x:c>
    </x:row>
    <x:row r="109" ht="64" customHeight="1">
      <x:c r="A109" s="35" t="str">
        <x:v>OV-0105</x:v>
      </x:c>
      <x:c r="B109" s="28" t="str">
        <x:v>NEO-MATH-FS-05</x:v>
      </x:c>
      <x:c r="C109" s="28" t="str">
        <x:v>Functional &amp; Applied Mathematics</x:v>
      </x:c>
      <x:c r="D109" s="28" t="str">
        <x:v>Measure, Scale and Making Things Fit</x:v>
      </x:c>
      <x:c r="E109" s="28" t="str">
        <x:v>Pearson Edexcel Functional Skills Mathematics (2019)</x:v>
      </x:c>
      <x:c r="F109" s="28" t="str">
        <x:v>Level 1 / Level 2 differentiated</x:v>
      </x:c>
      <x:c r="G109" s="28" t="str">
        <x:v>FS L1 20-26; FS L2 14,16-22</x:v>
      </x:c>
      <x:c r="H109" s="28" t="str">
        <x:v>Canonical learning is applied to realistic problems, decision making, checking reasonableness and communicating results.</x:v>
      </x:c>
      <x:c r="I109" s="28" t="str">
        <x:v>https://qualifications.pearson.com/en/qualifications/edexcel-functional-skills/maths-2019.html</x:v>
      </x:c>
      <x:c r="J109" s="36" t="str">
        <x:v>Pearson page lists L1/L2 review date 31 August 2028; verify at annual review.</x:v>
      </x:c>
    </x:row>
    <x:row r="110" ht="64" customHeight="1">
      <x:c r="A110" s="35" t="str">
        <x:v>OV-0106</x:v>
      </x:c>
      <x:c r="B110" s="28" t="str">
        <x:v>NEO-MATH-FS-06</x:v>
      </x:c>
      <x:c r="C110" s="28" t="str">
        <x:v>Functional &amp; Applied Mathematics</x:v>
      </x:c>
      <x:c r="D110" s="28" t="str">
        <x:v>Time, Travel and Scheduling</x:v>
      </x:c>
      <x:c r="E110" s="28" t="str">
        <x:v>Pearson Edexcel Functional Skills Mathematics (2019)</x:v>
      </x:c>
      <x:c r="F110" s="28" t="str">
        <x:v>Level 1 / Level 2 differentiated</x:v>
      </x:c>
      <x:c r="G110" s="28" t="str">
        <x:v>FS L1 20 and problem solving; FS L2 14-15 and problem solving</x:v>
      </x:c>
      <x:c r="H110" s="28" t="str">
        <x:v>Canonical learning is applied to realistic problems, decision making, checking reasonableness and communicating results.</x:v>
      </x:c>
      <x:c r="I110" s="28" t="str">
        <x:v>https://qualifications.pearson.com/en/qualifications/edexcel-functional-skills/maths-2019.html</x:v>
      </x:c>
      <x:c r="J110" s="36" t="str">
        <x:v>Pearson page lists L1/L2 review date 31 August 2028; verify at annual review.</x:v>
      </x:c>
    </x:row>
    <x:row r="111" ht="64" customHeight="1">
      <x:c r="A111" s="35" t="str">
        <x:v>OV-0107</x:v>
      </x:c>
      <x:c r="B111" s="28" t="str">
        <x:v>NEO-MATH-FS-07</x:v>
      </x:c>
      <x:c r="C111" s="28" t="str">
        <x:v>Functional &amp; Applied Mathematics</x:v>
      </x:c>
      <x:c r="D111" s="28" t="str">
        <x:v>Charts, Averages and Claims</x:v>
      </x:c>
      <x:c r="E111" s="28" t="str">
        <x:v>Pearson Edexcel Functional Skills Mathematics (2019)</x:v>
      </x:c>
      <x:c r="F111" s="28" t="str">
        <x:v>Level 1 / Level 2 differentiated</x:v>
      </x:c>
      <x:c r="G111" s="28" t="str">
        <x:v>FS L1 27-29; FS L2 23-25,28</x:v>
      </x:c>
      <x:c r="H111" s="28" t="str">
        <x:v>Canonical learning is applied to realistic problems, decision making, checking reasonableness and communicating results.</x:v>
      </x:c>
      <x:c r="I111" s="28" t="str">
        <x:v>https://qualifications.pearson.com/en/qualifications/edexcel-functional-skills/maths-2019.html</x:v>
      </x:c>
      <x:c r="J111" s="36" t="str">
        <x:v>Pearson page lists L1/L2 review date 31 August 2028; verify at annual review.</x:v>
      </x:c>
    </x:row>
    <x:row r="112" ht="64" customHeight="1">
      <x:c r="A112" s="35" t="str">
        <x:v>OV-0108</x:v>
      </x:c>
      <x:c r="B112" s="28" t="str">
        <x:v>NEO-MATH-FS-08</x:v>
      </x:c>
      <x:c r="C112" s="28" t="str">
        <x:v>Functional &amp; Applied Mathematics</x:v>
      </x:c>
      <x:c r="D112" s="28" t="str">
        <x:v>Probability, Risk and Everyday Decisions</x:v>
      </x:c>
      <x:c r="E112" s="28" t="str">
        <x:v>Pearson Edexcel Functional Skills Mathematics (2019)</x:v>
      </x:c>
      <x:c r="F112" s="28" t="str">
        <x:v>Level 1 / Level 2 differentiated</x:v>
      </x:c>
      <x:c r="G112" s="28" t="str">
        <x:v>FS L1 30-31; FS L2 26-27</x:v>
      </x:c>
      <x:c r="H112" s="28" t="str">
        <x:v>Canonical learning is applied to realistic problems, decision making, checking reasonableness and communicating results.</x:v>
      </x:c>
      <x:c r="I112" s="28" t="str">
        <x:v>https://qualifications.pearson.com/en/qualifications/edexcel-functional-skills/maths-2019.html</x:v>
      </x:c>
      <x:c r="J112" s="36" t="str">
        <x:v>Pearson page lists L1/L2 review date 31 August 2028; verify at annual review.</x:v>
      </x:c>
    </x:row>
    <x:row r="113" ht="64" customHeight="1">
      <x:c r="A113" s="35" t="str">
        <x:v>OV-0109</x:v>
      </x:c>
      <x:c r="B113" s="28" t="str">
        <x:v>NEO-MATH-FS-09</x:v>
      </x:c>
      <x:c r="C113" s="28" t="str">
        <x:v>Functional &amp; Applied Mathematics</x:v>
      </x:c>
      <x:c r="D113" s="28" t="str">
        <x:v>Applied Decision Project</x:v>
      </x:c>
      <x:c r="E113" s="28" t="str">
        <x:v>Pearson Edexcel Functional Skills Mathematics (2019)</x:v>
      </x:c>
      <x:c r="F113" s="28" t="str">
        <x:v>Level 1 / Level 2 differentiated</x:v>
      </x:c>
      <x:c r="G113" s="28" t="str">
        <x:v>FS L1/L2 problem solving and decision making; 75% assessment emphasis on applied problem solving</x:v>
      </x:c>
      <x:c r="H113" s="28" t="str">
        <x:v>Canonical learning is applied to realistic problems, decision making, checking reasonableness and communicating results.</x:v>
      </x:c>
      <x:c r="I113" s="28" t="str">
        <x:v>https://qualifications.pearson.com/en/qualifications/edexcel-functional-skills/maths-2019.html</x:v>
      </x:c>
      <x:c r="J113" s="36" t="str">
        <x:v>Pearson page lists L1/L2 review date 31 August 2028; verify at annual review.</x:v>
      </x:c>
    </x:row>
    <x:row r="114" ht="64" customHeight="1">
      <x:c r="A114" s="37" t="str">
        <x:v>OV-0110</x:v>
      </x:c>
      <x:c r="B114" s="38" t="str">
        <x:v>NEO-MATH-FS-10</x:v>
      </x:c>
      <x:c r="C114" s="38" t="str">
        <x:v>Functional &amp; Applied Mathematics</x:v>
      </x:c>
      <x:c r="D114" s="38" t="str">
        <x:v>Functional Skills Assessment Navigation</x:v>
      </x:c>
      <x:c r="E114" s="38" t="str">
        <x:v>Pearson Edexcel Functional Skills Mathematics (2019)</x:v>
      </x:c>
      <x:c r="F114" s="38" t="str">
        <x:v>Level 1 / Level 2 differentiated</x:v>
      </x:c>
      <x:c r="G114" s="38" t="str">
        <x:v>FS L1/L2 problem solving criteria; Section A non-calculator and Section B calculator structure</x:v>
      </x:c>
      <x:c r="H114" s="38" t="str">
        <x:v>Canonical learning is applied to realistic problems, decision making, checking reasonableness and communicating results.</x:v>
      </x:c>
      <x:c r="I114" s="38" t="str">
        <x:v>https://qualifications.pearson.com/en/qualifications/edexcel-functional-skills/maths-2019.html</x:v>
      </x:c>
      <x:c r="J114" s="39" t="str">
        <x:v>Pearson page lists L1/L2 review date 31 August 2028; verify at annual review.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43cfbdac79a45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24" hidden="0" customWidth="1"/>
    <x:col min="5" max="5" width="32" hidden="0" customWidth="1"/>
    <x:col min="6" max="6" width="38" hidden="0" customWidth="1"/>
    <x:col min="7" max="7" width="20" hidden="0" customWidth="1"/>
    <x:col min="8" max="8" width="30" hidden="0" customWidth="1"/>
    <x:col min="9" max="9" width="16" hidden="0" customWidth="1"/>
    <x:col min="10" max="10" width="48" hidden="0" customWidth="1"/>
    <x:col min="11" max="11" width="44" hidden="0" customWidth="1"/>
    <x:col min="12" max="12" width="38" hidden="0" customWidth="1"/>
  </x:cols>
  <x:sheetData>
    <x:row r="1" ht="28" customHeight="1">
      <x:c r="A1" s="5" t="str">
        <x:v>NEO Cornerstone Distribution and Unit Fit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2" t="str">
        <x:v>Cornerstones are design lenses. Fit is intentionally uneven: Nutrition is contextual in many abstract mathematics units and should not be forced.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32" t="str">
        <x:v>Cornerstone</x:v>
      </x:c>
      <x:c r="B4" s="33" t="str">
        <x:v>Primary Units</x:v>
      </x:c>
      <x:c r="C4" s="33" t="str">
        <x:v>% of 68 Units</x:v>
      </x:c>
      <x:c r="D4" s="34" t="str">
        <x:v>Design Reminder</x:v>
      </x:c>
    </x:row>
    <x:row r="5" ht="36" customHeight="1">
      <x:c r="A5" s="35" t="str">
        <x:v>Connection</x:v>
      </x:c>
      <x:c r="B5" s="28" t="n">
        <x:f>COUNTIF($G$15:$G$82,A5)</x:f>
        <x:v>22</x:v>
      </x:c>
      <x:c r="C5" s="77" t="n">
        <x:f>B5/68</x:f>
        <x:v>0.3235294117647059</x:v>
      </x:c>
      <x:c r="D5" s="36" t="str">
        <x:v>Make mathematical relationships and human dialogue visible.</x:v>
      </x:c>
    </x:row>
    <x:row r="6" ht="36" customHeight="1">
      <x:c r="A6" s="35" t="str">
        <x:v>Movement</x:v>
      </x:c>
      <x:c r="B6" s="28" t="n">
        <x:f>COUNTIF($G$15:$G$82,A6)</x:f>
        <x:v>14</x:v>
      </x:c>
      <x:c r="C6" s="77" t="n">
        <x:f>B6/68</x:f>
        <x:v>0.20588235294117646</x:v>
      </x:c>
      <x:c r="D6" s="36" t="str">
        <x:v>Treat mathematical ideas as dynamic; trace change or movement.</x:v>
      </x:c>
    </x:row>
    <x:row r="7" ht="36" customHeight="1">
      <x:c r="A7" s="35" t="str">
        <x:v>Creativity</x:v>
      </x:c>
      <x:c r="B7" s="28" t="n">
        <x:f>COUNTIF($G$15:$G$82,A7)</x:f>
        <x:v>10</x:v>
      </x:c>
      <x:c r="C7" s="77" t="n">
        <x:f>B7/68</x:f>
        <x:v>0.14705882352941177</x:v>
      </x:c>
      <x:c r="D7" s="36" t="str">
        <x:v>Invite conjecture, multiple routes, making and model-building.</x:v>
      </x:c>
    </x:row>
    <x:row r="8" ht="36" customHeight="1">
      <x:c r="A8" s="35" t="str">
        <x:v>Reflection</x:v>
      </x:c>
      <x:c r="B8" s="28" t="n">
        <x:f>COUNTIF($G$15:$G$82,A8)</x:f>
        <x:v>19</x:v>
      </x:c>
      <x:c r="C8" s="77" t="n">
        <x:f>B8/68</x:f>
        <x:v>0.27941176470588236</x:v>
      </x:c>
      <x:c r="D8" s="36" t="str">
        <x:v>Surface reasoning, misconceptions, proof and metacognition.</x:v>
      </x:c>
    </x:row>
    <x:row r="9" ht="36" customHeight="1">
      <x:c r="A9" s="35" t="str">
        <x:v>Rest</x:v>
      </x:c>
      <x:c r="B9" s="28" t="n">
        <x:f>COUNTIF($G$15:$G$82,A9)</x:f>
        <x:v>3</x:v>
      </x:c>
      <x:c r="C9" s="77" t="n">
        <x:f>B9/68</x:f>
        <x:v>0.04411764705882353</x:v>
      </x:c>
      <x:c r="D9" s="36" t="str">
        <x:v>Chunk, regulate sensory load and protect the right to pause.</x:v>
      </x:c>
    </x:row>
    <x:row r="10" ht="36" customHeight="1">
      <x:c r="A10" s="37" t="str">
        <x:v>Nutrition</x:v>
      </x:c>
      <x:c r="B10" s="38" t="n">
        <x:f>COUNTIF($G$15:$G$82,A10)</x:f>
        <x:v>0</x:v>
      </x:c>
      <x:c r="C10" s="78" t="n">
        <x:f>B10/68</x:f>
        <x:v>0</x:v>
      </x:c>
      <x:c r="D10" s="39" t="str">
        <x:v>Use food/body/health/sustainability contexts only where genuine.</x:v>
      </x:c>
    </x:row>
    <x:row r="14">
      <x:c r="A14" s="32" t="str">
        <x:v>Unit ID</x:v>
      </x:c>
      <x:c r="B14" s="33" t="str">
        <x:v>Pathway</x:v>
      </x:c>
      <x:c r="C14" s="33" t="str">
        <x:v>Year / Stage</x:v>
      </x:c>
      <x:c r="D14" s="33" t="str">
        <x:v>Strand</x:v>
      </x:c>
      <x:c r="E14" s="33" t="str">
        <x:v>Unit Title</x:v>
      </x:c>
      <x:c r="F14" s="33" t="str">
        <x:v>Driving Question</x:v>
      </x:c>
      <x:c r="G14" s="33" t="str">
        <x:v>Primary Cornerstone</x:v>
      </x:c>
      <x:c r="H14" s="33" t="str">
        <x:v>Secondary Cornerstone(s)</x:v>
      </x:c>
      <x:c r="I14" s="33" t="str">
        <x:v>Fit</x:v>
      </x:c>
      <x:c r="J14" s="33" t="str">
        <x:v>What the Cornerstone Does Mathematically</x:v>
      </x:c>
      <x:c r="K14" s="33" t="str">
        <x:v>Scratchpad / Inquiry Link</x:v>
      </x:c>
      <x:c r="L14" s="34" t="str">
        <x:v>Sensory / Pacing Note</x:v>
      </x:c>
    </x:row>
    <x:row r="15" ht="62" customHeight="1">
      <x:c r="A15" s="35" t="str">
        <x:v>NEO-MATH-DISC-01</x:v>
      </x:c>
      <x:c r="B15" s="28" t="str">
        <x:v>Discovery / Reconnection</x:v>
      </x:c>
      <x:c r="C15" s="28" t="str">
        <x:v>Flexible entry</x:v>
      </x:c>
      <x:c r="D15" s="28" t="str">
        <x:v>Self-Regulated Mathematical Learning</x:v>
      </x:c>
      <x:c r="E15" s="28" t="str">
        <x:v>Finding My Maths Starting Point</x:v>
      </x:c>
      <x:c r="F15" s="28" t="str">
        <x:v>What happens when maths begins with what I already notice?</x:v>
      </x:c>
      <x:c r="G15" s="28" t="str">
        <x:v>Connection</x:v>
      </x:c>
      <x:c r="H15" s="28" t="str">
        <x:v>Reflection, Rest</x:v>
      </x:c>
      <x:c r="I15" s="28" t="str">
        <x:v>Strong</x:v>
      </x:c>
      <x:c r="J15" s="28" t="str">
        <x:v>Makes relationships, equivalence, dependency or communication explicit.</x:v>
      </x:c>
      <x:c r="K15" s="28" t="str">
        <x:v>Maths Route Finder: visual, numerical and contextual mini-challenges | Blank / Square grid</x:v>
      </x:c>
      <x:c r="L15" s="36" t="str">
        <x:v>Low; choice-rich, no timed score</x:v>
      </x:c>
    </x:row>
    <x:row r="16" ht="62" customHeight="1">
      <x:c r="A16" s="35" t="str">
        <x:v>NEO-MATH-DISC-02</x:v>
      </x:c>
      <x:c r="B16" s="28" t="str">
        <x:v>Discovery / Reconnection</x:v>
      </x:c>
      <x:c r="C16" s="28" t="str">
        <x:v>Flexible entry</x:v>
      </x:c>
      <x:c r="D16" s="28" t="str">
        <x:v>Number Sense</x:v>
      </x:c>
      <x:c r="E16" s="28" t="str">
        <x:v>Numbers I Can Trust</x:v>
      </x:c>
      <x:c r="F16" s="28" t="str">
        <x:v>How can I make a number less crowded?</x:v>
      </x:c>
      <x:c r="G16" s="28" t="str">
        <x:v>Rest</x:v>
      </x:c>
      <x:c r="H16" s="28" t="str">
        <x:v>Connection, Reflection</x:v>
      </x:c>
      <x:c r="I16" s="28" t="str">
        <x:v>Strong</x:v>
      </x:c>
      <x:c r="J16" s="28" t="str">
        <x:v>Uses chunking, consolidation, low-stakes retrieval or the mathematics of zero/space.</x:v>
      </x:c>
      <x:c r="K16" s="28" t="str">
        <x:v>Place-Value Magnifier and Number Line Zoom | Square grid</x:v>
      </x:c>
      <x:c r="L16" s="36" t="str">
        <x:v>Low-Moderate; one digit/interval at a time</x:v>
      </x:c>
    </x:row>
    <x:row r="17" ht="62" customHeight="1">
      <x:c r="A17" s="35" t="str">
        <x:v>NEO-MATH-DISC-03</x:v>
      </x:c>
      <x:c r="B17" s="28" t="str">
        <x:v>Discovery / Reconnection</x:v>
      </x:c>
      <x:c r="C17" s="28" t="str">
        <x:v>Flexible entry</x:v>
      </x:c>
      <x:c r="D17" s="28" t="str">
        <x:v>Number Sense</x:v>
      </x:c>
      <x:c r="E17" s="28" t="str">
        <x:v>Operations as Choices</x:v>
      </x:c>
      <x:c r="F17" s="28" t="str">
        <x:v>Is there more than one sensible way to calculate?</x:v>
      </x:c>
      <x:c r="G17" s="28" t="str">
        <x:v>Creativity</x:v>
      </x:c>
      <x:c r="H17" s="28" t="str">
        <x:v>Reflection, Rest</x:v>
      </x:c>
      <x:c r="I17" s="28" t="str">
        <x:v>Strong</x:v>
      </x:c>
      <x:c r="J17" s="28" t="str">
        <x:v>Invites conjecture, model-building, design or more than one valid route.</x:v>
      </x:c>
      <x:c r="K17" s="28" t="str">
        <x:v>Strategy Switcher: compare mental, written and calculator routes | Blank</x:v>
      </x:c>
      <x:c r="L17" s="36" t="str">
        <x:v>Moderate; method menu reduces overload</x:v>
      </x:c>
    </x:row>
    <x:row r="18" ht="62" customHeight="1">
      <x:c r="A18" s="35" t="str">
        <x:v>NEO-MATH-DISC-04</x:v>
      </x:c>
      <x:c r="B18" s="28" t="str">
        <x:v>Discovery / Reconnection</x:v>
      </x:c>
      <x:c r="C18" s="28" t="str">
        <x:v>Flexible entry</x:v>
      </x:c>
      <x:c r="D18" s="28" t="str">
        <x:v>Proportional Reasoning</x:v>
      </x:c>
      <x:c r="E18" s="28" t="str">
        <x:v>Fractions, Decimals and Percentages as One Family</x:v>
      </x:c>
      <x:c r="F18" s="28" t="str">
        <x:v>Can three different-looking numbers mean the same amount?</x:v>
      </x:c>
      <x:c r="G18" s="28" t="str">
        <x:v>Connection</x:v>
      </x:c>
      <x:c r="H18" s="28" t="str">
        <x:v>Creativity, Reflection</x:v>
      </x:c>
      <x:c r="I18" s="28" t="str">
        <x:v>Strong</x:v>
      </x:c>
      <x:c r="J18" s="28" t="str">
        <x:v>Makes relationships, equivalence, dependency or communication explicit.</x:v>
      </x:c>
      <x:c r="K18" s="28" t="str">
        <x:v>FDP Representation Carousel | Double number line</x:v>
      </x:c>
      <x:c r="L18" s="36" t="str">
        <x:v>Moderate; representation choice</x:v>
      </x:c>
    </x:row>
    <x:row r="19" ht="62" customHeight="1">
      <x:c r="A19" s="35" t="str">
        <x:v>NEO-MATH-DISC-05</x:v>
      </x:c>
      <x:c r="B19" s="28" t="str">
        <x:v>Discovery / Reconnection</x:v>
      </x:c>
      <x:c r="C19" s="28" t="str">
        <x:v>Flexible entry</x:v>
      </x:c>
      <x:c r="D19" s="28" t="str">
        <x:v>Structure &amp; Generalisation</x:v>
      </x:c>
      <x:c r="E19" s="28" t="str">
        <x:v>Patterns Before Letters</x:v>
      </x:c>
      <x:c r="F19" s="28" t="str">
        <x:v>Can a pattern explain itself before we use algebra?</x:v>
      </x:c>
      <x:c r="G19" s="28" t="str">
        <x:v>Creativity</x:v>
      </x:c>
      <x:c r="H19" s="28" t="str">
        <x:v>Connection, Reflection</x:v>
      </x:c>
      <x:c r="I19" s="28" t="str">
        <x:v>Strong</x:v>
      </x:c>
      <x:c r="J19" s="28" t="str">
        <x:v>Invites conjecture, model-building, design or more than one valid route.</x:v>
      </x:c>
      <x:c r="K19" s="28" t="str">
        <x:v>Pattern Machine and Rule Builder | Square grid</x:v>
      </x:c>
      <x:c r="L19" s="36" t="str">
        <x:v>Low-Moderate; visual-first</x:v>
      </x:c>
    </x:row>
    <x:row r="20" ht="62" customHeight="1">
      <x:c r="A20" s="35" t="str">
        <x:v>NEO-MATH-DISC-06</x:v>
      </x:c>
      <x:c r="B20" s="28" t="str">
        <x:v>Discovery / Reconnection</x:v>
      </x:c>
      <x:c r="C20" s="28" t="str">
        <x:v>Flexible entry</x:v>
      </x:c>
      <x:c r="D20" s="28" t="str">
        <x:v>Spatial Reasoning</x:v>
      </x:c>
      <x:c r="E20" s="28" t="str">
        <x:v>Shape, Space and Measure Around Me</x:v>
      </x:c>
      <x:c r="F20" s="28" t="str">
        <x:v>How much geometry is hiding in an ordinary room?</x:v>
      </x:c>
      <x:c r="G20" s="28" t="str">
        <x:v>Movement</x:v>
      </x:c>
      <x:c r="H20" s="28" t="str">
        <x:v>Connection, Creativity</x:v>
      </x:c>
      <x:c r="I20" s="28" t="str">
        <x:v>Strong</x:v>
      </x:c>
      <x:c r="J20" s="28" t="str">
        <x:v>Makes change, transformation, rate or spatial movement visible.</x:v>
      </x:c>
      <x:c r="K20" s="28" t="str">
        <x:v>Room Geometry Explorer | Square grid</x:v>
      </x:c>
      <x:c r="L20" s="36" t="str">
        <x:v>Moderate; optional off-screen movement</x:v>
      </x:c>
    </x:row>
    <x:row r="21" ht="62" customHeight="1">
      <x:c r="A21" s="35" t="str">
        <x:v>NEO-MATH-DISC-07</x:v>
      </x:c>
      <x:c r="B21" s="28" t="str">
        <x:v>Discovery / Reconnection</x:v>
      </x:c>
      <x:c r="C21" s="28" t="str">
        <x:v>Flexible entry</x:v>
      </x:c>
      <x:c r="D21" s="28" t="str">
        <x:v>Data &amp; Uncertainty</x:v>
      </x:c>
      <x:c r="E21" s="28" t="str">
        <x:v>What Can Data Really Tell Me?</x:v>
      </x:c>
      <x:c r="F21" s="28" t="str">
        <x:v>When should I trust a chart, average or probability claim?</x:v>
      </x:c>
      <x:c r="G21" s="28" t="str">
        <x:v>Reflection</x:v>
      </x:c>
      <x:c r="H21" s="28" t="str">
        <x:v>Connection, Creativity</x:v>
      </x:c>
      <x:c r="I21" s="28" t="str">
        <x:v>Strong</x:v>
      </x:c>
      <x:c r="J21" s="28" t="str">
        <x:v>Builds explanation, proof, error repair or strategy review into the mathematics.</x:v>
      </x:c>
      <x:c r="K21" s="28" t="str">
        <x:v>Claim–Evidence Data Detective | Blank</x:v>
      </x:c>
      <x:c r="L21" s="36" t="str">
        <x:v>Moderate; one claim at a time</x:v>
      </x:c>
    </x:row>
    <x:row r="22" ht="62" customHeight="1">
      <x:c r="A22" s="35" t="str">
        <x:v>NEO-MATH-DISC-08</x:v>
      </x:c>
      <x:c r="B22" s="28" t="str">
        <x:v>Discovery / Reconnection</x:v>
      </x:c>
      <x:c r="C22" s="28" t="str">
        <x:v>Flexible entry</x:v>
      </x:c>
      <x:c r="D22" s="28" t="str">
        <x:v>Financial &amp; Applied Reasoning</x:v>
      </x:c>
      <x:c r="E22" s="28" t="str">
        <x:v>Maths for a Real Decision</x:v>
      </x:c>
      <x:c r="F22" s="28" t="str">
        <x:v>Can I use maths to make one decision that matters to me?</x:v>
      </x:c>
      <x:c r="G22" s="28" t="str">
        <x:v>Connection</x:v>
      </x:c>
      <x:c r="H22" s="28" t="str">
        <x:v>Creativity, Reflection, Nutrition</x:v>
      </x:c>
      <x:c r="I22" s="28" t="str">
        <x:v>Strong</x:v>
      </x:c>
      <x:c r="J22" s="28" t="str">
        <x:v>Makes relationships, equivalence, dependency or communication explicit.</x:v>
      </x:c>
      <x:c r="K22" s="28" t="str">
        <x:v>Decision Model Builder | Blank</x:v>
      </x:c>
      <x:c r="L22" s="36" t="str">
        <x:v>Variable; learner chooses context</x:v>
      </x:c>
    </x:row>
    <x:row r="23" ht="62" customHeight="1">
      <x:c r="A23" s="35" t="str">
        <x:v>NEO-MATH-Y7-01</x:v>
      </x:c>
      <x:c r="B23" s="28" t="str">
        <x:v>Year 7 Foundations</x:v>
      </x:c>
      <x:c r="C23" s="28" t="str">
        <x:v>Year 7</x:v>
      </x:c>
      <x:c r="D23" s="28" t="str">
        <x:v>Number Sense</x:v>
      </x:c>
      <x:c r="E23" s="28" t="str">
        <x:v>How Much Is a Digit Worth?</x:v>
      </x:c>
      <x:c r="F23" s="28" t="str">
        <x:v>Can the same digit represent completely different amounts?</x:v>
      </x:c>
      <x:c r="G23" s="28" t="str">
        <x:v>Connection</x:v>
      </x:c>
      <x:c r="H23" s="28" t="str">
        <x:v>Rest, Reflection</x:v>
      </x:c>
      <x:c r="I23" s="28" t="str">
        <x:v>Strong</x:v>
      </x:c>
      <x:c r="J23" s="28" t="str">
        <x:v>Makes relationships, equivalence, dependency or communication explicit.</x:v>
      </x:c>
      <x:c r="K23" s="28" t="str">
        <x:v>Place-Value Magnifier + Digit Detective | Square grid</x:v>
      </x:c>
      <x:c r="L23" s="36" t="str">
        <x:v>Low-Moderate; isolate one digit</x:v>
      </x:c>
    </x:row>
    <x:row r="24" ht="62" customHeight="1">
      <x:c r="A24" s="35" t="str">
        <x:v>NEO-MATH-Y7-02</x:v>
      </x:c>
      <x:c r="B24" s="28" t="str">
        <x:v>Year 7 Foundations</x:v>
      </x:c>
      <x:c r="C24" s="28" t="str">
        <x:v>Year 7</x:v>
      </x:c>
      <x:c r="D24" s="28" t="str">
        <x:v>Number Sense</x:v>
      </x:c>
      <x:c r="E24" s="28" t="str">
        <x:v>Calculations That Make Sense</x:v>
      </x:c>
      <x:c r="F24" s="28" t="str">
        <x:v>How can an estimate protect me from a convincing wrong answer?</x:v>
      </x:c>
      <x:c r="G24" s="28" t="str">
        <x:v>Reflection</x:v>
      </x:c>
      <x:c r="H24" s="28" t="str">
        <x:v>Rest, Creativity</x:v>
      </x:c>
      <x:c r="I24" s="28" t="str">
        <x:v>Strong</x:v>
      </x:c>
      <x:c r="J24" s="28" t="str">
        <x:v>Builds explanation, proof, error repair or strategy review into the mathematics.</x:v>
      </x:c>
      <x:c r="K24" s="28" t="str">
        <x:v>Estimate–Calculate–Check Lab | Blank</x:v>
      </x:c>
      <x:c r="L24" s="36" t="str">
        <x:v>Moderate</x:v>
      </x:c>
    </x:row>
    <x:row r="25" ht="62" customHeight="1">
      <x:c r="A25" s="35" t="str">
        <x:v>NEO-MATH-Y7-03</x:v>
      </x:c>
      <x:c r="B25" s="28" t="str">
        <x:v>Year 7 Foundations</x:v>
      </x:c>
      <x:c r="C25" s="28" t="str">
        <x:v>Year 7</x:v>
      </x:c>
      <x:c r="D25" s="28" t="str">
        <x:v>Structure &amp; Generalisation</x:v>
      </x:c>
      <x:c r="E25" s="28" t="str">
        <x:v>Patterns, Factors and Hidden Structure</x:v>
      </x:c>
      <x:c r="F25" s="28" t="str">
        <x:v>What do numbers reveal when we organise them differently?</x:v>
      </x:c>
      <x:c r="G25" s="28" t="str">
        <x:v>Creativity</x:v>
      </x:c>
      <x:c r="H25" s="28" t="str">
        <x:v>Connection, Reflection</x:v>
      </x:c>
      <x:c r="I25" s="28" t="str">
        <x:v>Strong</x:v>
      </x:c>
      <x:c r="J25" s="28" t="str">
        <x:v>Invites conjecture, model-building, design or more than one valid route.</x:v>
      </x:c>
      <x:c r="K25" s="28" t="str">
        <x:v>Factor Web + Pattern Lock Builder | Square grid</x:v>
      </x:c>
      <x:c r="L25" s="36" t="str">
        <x:v>Moderate</x:v>
      </x:c>
    </x:row>
    <x:row r="26" ht="62" customHeight="1">
      <x:c r="A26" s="35" t="str">
        <x:v>NEO-MATH-Y7-04</x:v>
      </x:c>
      <x:c r="B26" s="28" t="str">
        <x:v>Year 7 Foundations</x:v>
      </x:c>
      <x:c r="C26" s="28" t="str">
        <x:v>Year 7</x:v>
      </x:c>
      <x:c r="D26" s="28" t="str">
        <x:v>Proportional Reasoning</x:v>
      </x:c>
      <x:c r="E26" s="28" t="str">
        <x:v>One Amount, Three Languages</x:v>
      </x:c>
      <x:c r="F26" s="28" t="str">
        <x:v>How can fractions, decimals and percentages describe the same share?</x:v>
      </x:c>
      <x:c r="G26" s="28" t="str">
        <x:v>Connection</x:v>
      </x:c>
      <x:c r="H26" s="28" t="str">
        <x:v>Creativity, Reflection</x:v>
      </x:c>
      <x:c r="I26" s="28" t="str">
        <x:v>Strong</x:v>
      </x:c>
      <x:c r="J26" s="28" t="str">
        <x:v>Makes relationships, equivalence, dependency or communication explicit.</x:v>
      </x:c>
      <x:c r="K26" s="28" t="str">
        <x:v>FDP Converter with Bar/Line Toggle | Double number line</x:v>
      </x:c>
      <x:c r="L26" s="36" t="str">
        <x:v>Moderate</x:v>
      </x:c>
    </x:row>
    <x:row r="27" ht="62" customHeight="1">
      <x:c r="A27" s="35" t="str">
        <x:v>NEO-MATH-Y7-05</x:v>
      </x:c>
      <x:c r="B27" s="28" t="str">
        <x:v>Year 7 Foundations</x:v>
      </x:c>
      <x:c r="C27" s="28" t="str">
        <x:v>Year 7</x:v>
      </x:c>
      <x:c r="D27" s="28" t="str">
        <x:v>Spatial Reasoning</x:v>
      </x:c>
      <x:c r="E27" s="28" t="str">
        <x:v>Angles Tell Us Why</x:v>
      </x:c>
      <x:c r="F27" s="28" t="str">
        <x:v>Can a diagram prove more than it first shows?</x:v>
      </x:c>
      <x:c r="G27" s="28" t="str">
        <x:v>Reflection</x:v>
      </x:c>
      <x:c r="H27" s="28" t="str">
        <x:v>Connection, Movement</x:v>
      </x:c>
      <x:c r="I27" s="28" t="str">
        <x:v>Strong</x:v>
      </x:c>
      <x:c r="J27" s="28" t="str">
        <x:v>Builds explanation, proof, error repair or strategy review into the mathematics.</x:v>
      </x:c>
      <x:c r="K27" s="28" t="str">
        <x:v>Angle Constraint Explorer | Square grid</x:v>
      </x:c>
      <x:c r="L27" s="36" t="str">
        <x:v>Moderate; diagram declutter option</x:v>
      </x:c>
    </x:row>
    <x:row r="28" ht="62" customHeight="1">
      <x:c r="A28" s="35" t="str">
        <x:v>NEO-MATH-Y7-06</x:v>
      </x:c>
      <x:c r="B28" s="28" t="str">
        <x:v>Year 7 Foundations</x:v>
      </x:c>
      <x:c r="C28" s="28" t="str">
        <x:v>Year 7</x:v>
      </x:c>
      <x:c r="D28" s="28" t="str">
        <x:v>Spatial Reasoning</x:v>
      </x:c>
      <x:c r="E28" s="28" t="str">
        <x:v>Perimeter and Area: Same Shape Story?</x:v>
      </x:c>
      <x:c r="F28" s="28" t="str">
        <x:v>Can two shapes use the same boundary but hold different space?</x:v>
      </x:c>
      <x:c r="G28" s="28" t="str">
        <x:v>Creativity</x:v>
      </x:c>
      <x:c r="H28" s="28" t="str">
        <x:v>Movement, Reflection</x:v>
      </x:c>
      <x:c r="I28" s="28" t="str">
        <x:v>Strong</x:v>
      </x:c>
      <x:c r="J28" s="28" t="str">
        <x:v>Invites conjecture, model-building, design or more than one valid route.</x:v>
      </x:c>
      <x:c r="K28" s="28" t="str">
        <x:v>Fixed-Perimeter Shape Designer | Square grid</x:v>
      </x:c>
      <x:c r="L28" s="36" t="str">
        <x:v>Moderate</x:v>
      </x:c>
    </x:row>
    <x:row r="29" ht="62" customHeight="1">
      <x:c r="A29" s="35" t="str">
        <x:v>NEO-MATH-Y7-07</x:v>
      </x:c>
      <x:c r="B29" s="28" t="str">
        <x:v>Year 7 Foundations</x:v>
      </x:c>
      <x:c r="C29" s="28" t="str">
        <x:v>Year 7</x:v>
      </x:c>
      <x:c r="D29" s="28" t="str">
        <x:v>Proportional Reasoning</x:v>
      </x:c>
      <x:c r="E29" s="28" t="str">
        <x:v>Relationships That Scale</x:v>
      </x:c>
      <x:c r="F29" s="28" t="str">
        <x:v>How can relationships stay the same when quantities change?</x:v>
      </x:c>
      <x:c r="G29" s="28" t="str">
        <x:v>Connection</x:v>
      </x:c>
      <x:c r="H29" s="28" t="str">
        <x:v>Movement, Reflection; Nutrition contextual</x:v>
      </x:c>
      <x:c r="I29" s="28" t="str">
        <x:v>Strong</x:v>
      </x:c>
      <x:c r="J29" s="28" t="str">
        <x:v>Makes relationships, equivalence, dependency or communication explicit.</x:v>
      </x:c>
      <x:c r="K29" s="28" t="str">
        <x:v>Recipe Scaler + Ratio Table Builder | Ratio table / Double number line</x:v>
      </x:c>
      <x:c r="L29" s="36" t="str">
        <x:v>Moderate; multiplier first</x:v>
      </x:c>
    </x:row>
    <x:row r="30" ht="62" customHeight="1">
      <x:c r="A30" s="35" t="str">
        <x:v>NEO-MATH-Y7-08</x:v>
      </x:c>
      <x:c r="B30" s="28" t="str">
        <x:v>Year 7 Foundations</x:v>
      </x:c>
      <x:c r="C30" s="28" t="str">
        <x:v>Year 7</x:v>
      </x:c>
      <x:c r="D30" s="28" t="str">
        <x:v>Change &amp; Functions</x:v>
      </x:c>
      <x:c r="E30" s="28" t="str">
        <x:v>Coordinates and Moves</x:v>
      </x:c>
      <x:c r="F30" s="28" t="str">
        <x:v>Can a shape change position without changing who it is?</x:v>
      </x:c>
      <x:c r="G30" s="28" t="str">
        <x:v>Movement</x:v>
      </x:c>
      <x:c r="H30" s="28" t="str">
        <x:v>Connection, Creativity</x:v>
      </x:c>
      <x:c r="I30" s="28" t="str">
        <x:v>Strong</x:v>
      </x:c>
      <x:c r="J30" s="28" t="str">
        <x:v>Makes change, transformation, rate or spatial movement visible.</x:v>
      </x:c>
      <x:c r="K30" s="28" t="str">
        <x:v>Coordinate Move Studio | Coordinate grid</x:v>
      </x:c>
      <x:c r="L30" s="36" t="str">
        <x:v>Moderate visual load</x:v>
      </x:c>
    </x:row>
    <x:row r="31" ht="62" customHeight="1">
      <x:c r="A31" s="35" t="str">
        <x:v>NEO-MATH-Y7-09</x:v>
      </x:c>
      <x:c r="B31" s="28" t="str">
        <x:v>Year 7 Foundations</x:v>
      </x:c>
      <x:c r="C31" s="28" t="str">
        <x:v>Year 7</x:v>
      </x:c>
      <x:c r="D31" s="28" t="str">
        <x:v>Data &amp; Uncertainty</x:v>
      </x:c>
      <x:c r="E31" s="28" t="str">
        <x:v>Averages and Fair Shares</x:v>
      </x:c>
      <x:c r="F31" s="28" t="str">
        <x:v>When is the mean fair—and when is another summary better?</x:v>
      </x:c>
      <x:c r="G31" s="28" t="str">
        <x:v>Connection</x:v>
      </x:c>
      <x:c r="H31" s="28" t="str">
        <x:v>Reflection, Creativity</x:v>
      </x:c>
      <x:c r="I31" s="28" t="str">
        <x:v>Strong</x:v>
      </x:c>
      <x:c r="J31" s="28" t="str">
        <x:v>Makes relationships, equivalence, dependency or communication explicit.</x:v>
      </x:c>
      <x:c r="K31" s="28" t="str">
        <x:v>Average as Fair-Share Simulator | Blank / Square grid</x:v>
      </x:c>
      <x:c r="L31" s="36" t="str">
        <x:v>Moderate</x:v>
      </x:c>
    </x:row>
    <x:row r="32" ht="62" customHeight="1">
      <x:c r="A32" s="35" t="str">
        <x:v>NEO-MATH-Y7-10</x:v>
      </x:c>
      <x:c r="B32" s="28" t="str">
        <x:v>Year 7 Foundations</x:v>
      </x:c>
      <x:c r="C32" s="28" t="str">
        <x:v>Year 7</x:v>
      </x:c>
      <x:c r="D32" s="28" t="str">
        <x:v>Data &amp; Uncertainty</x:v>
      </x:c>
      <x:c r="E32" s="28" t="str">
        <x:v>Chance, Experiments and Fairness</x:v>
      </x:c>
      <x:c r="F32" s="28" t="str">
        <x:v>How fair is a game after only ten trials?</x:v>
      </x:c>
      <x:c r="G32" s="28" t="str">
        <x:v>Reflection</x:v>
      </x:c>
      <x:c r="H32" s="28" t="str">
        <x:v>Creativity, Connection</x:v>
      </x:c>
      <x:c r="I32" s="28" t="str">
        <x:v>Strong</x:v>
      </x:c>
      <x:c r="J32" s="28" t="str">
        <x:v>Builds explanation, proof, error repair or strategy review into the mathematics.</x:v>
      </x:c>
      <x:c r="K32" s="28" t="str">
        <x:v>Probability Experiment Simulator | Blank</x:v>
      </x:c>
      <x:c r="L32" s="36" t="str">
        <x:v>Moderate; uncertainty explicitly normalised</x:v>
      </x:c>
    </x:row>
    <x:row r="33" ht="62" customHeight="1">
      <x:c r="A33" s="35" t="str">
        <x:v>NEO-MATH-Y8-01</x:v>
      </x:c>
      <x:c r="B33" s="28" t="str">
        <x:v>Year 8 Connections</x:v>
      </x:c>
      <x:c r="C33" s="28" t="str">
        <x:v>Year 8</x:v>
      </x:c>
      <x:c r="D33" s="28" t="str">
        <x:v>Number Sense</x:v>
      </x:c>
      <x:c r="E33" s="28" t="str">
        <x:v>Percent Change and the Story of Growth</x:v>
      </x:c>
      <x:c r="F33" s="28" t="str">
        <x:v>Does 10% off and 10% back on return to the same place?</x:v>
      </x:c>
      <x:c r="G33" s="28" t="str">
        <x:v>Movement</x:v>
      </x:c>
      <x:c r="H33" s="28" t="str">
        <x:v>Reflection, Connection</x:v>
      </x:c>
      <x:c r="I33" s="28" t="str">
        <x:v>Strong</x:v>
      </x:c>
      <x:c r="J33" s="28" t="str">
        <x:v>Makes change, transformation, rate or spatial movement visible.</x:v>
      </x:c>
      <x:c r="K33" s="28" t="str">
        <x:v>Percentage Change Journey | Double number line</x:v>
      </x:c>
      <x:c r="L33" s="36" t="str">
        <x:v>Moderate</x:v>
      </x:c>
    </x:row>
    <x:row r="34" ht="62" customHeight="1">
      <x:c r="A34" s="35" t="str">
        <x:v>NEO-MATH-Y8-02</x:v>
      </x:c>
      <x:c r="B34" s="28" t="str">
        <x:v>Year 8 Connections</x:v>
      </x:c>
      <x:c r="C34" s="28" t="str">
        <x:v>Year 8</x:v>
      </x:c>
      <x:c r="D34" s="28" t="str">
        <x:v>Structure &amp; Generalisation</x:v>
      </x:c>
      <x:c r="E34" s="28" t="str">
        <x:v>Algebra as a Language of Structure</x:v>
      </x:c>
      <x:c r="F34" s="28" t="str">
        <x:v>When are two algebraic expressions really saying the same thing?</x:v>
      </x:c>
      <x:c r="G34" s="28" t="str">
        <x:v>Connection</x:v>
      </x:c>
      <x:c r="H34" s="28" t="str">
        <x:v>Reflection, Creativity</x:v>
      </x:c>
      <x:c r="I34" s="28" t="str">
        <x:v>Strong</x:v>
      </x:c>
      <x:c r="J34" s="28" t="str">
        <x:v>Makes relationships, equivalence, dependency or communication explicit.</x:v>
      </x:c>
      <x:c r="K34" s="28" t="str">
        <x:v>Expression Equivalence Lab | Blank</x:v>
      </x:c>
      <x:c r="L34" s="36" t="str">
        <x:v>Moderate</x:v>
      </x:c>
    </x:row>
    <x:row r="35" ht="62" customHeight="1">
      <x:c r="A35" s="35" t="str">
        <x:v>NEO-MATH-Y8-03</x:v>
      </x:c>
      <x:c r="B35" s="28" t="str">
        <x:v>Year 8 Connections</x:v>
      </x:c>
      <x:c r="C35" s="28" t="str">
        <x:v>Year 8</x:v>
      </x:c>
      <x:c r="D35" s="28" t="str">
        <x:v>Structure &amp; Generalisation</x:v>
      </x:c>
      <x:c r="E35" s="28" t="str">
        <x:v>Equations: Keeping a Relationship in Balance</x:v>
      </x:c>
      <x:c r="F35" s="28" t="str">
        <x:v>What can I change without breaking an equation?</x:v>
      </x:c>
      <x:c r="G35" s="28" t="str">
        <x:v>Reflection</x:v>
      </x:c>
      <x:c r="H35" s="28" t="str">
        <x:v>Connection, Rest</x:v>
      </x:c>
      <x:c r="I35" s="28" t="str">
        <x:v>Strong</x:v>
      </x:c>
      <x:c r="J35" s="28" t="str">
        <x:v>Builds explanation, proof, error repair or strategy review into the mathematics.</x:v>
      </x:c>
      <x:c r="K35" s="28" t="str">
        <x:v>Balance Equation Simulator | Blank</x:v>
      </x:c>
      <x:c r="L35" s="36" t="str">
        <x:v>Moderate; one transformation per step</x:v>
      </x:c>
    </x:row>
    <x:row r="36" ht="62" customHeight="1">
      <x:c r="A36" s="35" t="str">
        <x:v>NEO-MATH-Y8-04</x:v>
      </x:c>
      <x:c r="B36" s="28" t="str">
        <x:v>Year 8 Connections</x:v>
      </x:c>
      <x:c r="C36" s="28" t="str">
        <x:v>Year 8</x:v>
      </x:c>
      <x:c r="D36" s="28" t="str">
        <x:v>Change &amp; Functions</x:v>
      </x:c>
      <x:c r="E36" s="28" t="str">
        <x:v>Lines Tell Stories of Change</x:v>
      </x:c>
      <x:c r="F36" s="28" t="str">
        <x:v>How can mathematics show where something starts and how it changes?</x:v>
      </x:c>
      <x:c r="G36" s="28" t="str">
        <x:v>Movement</x:v>
      </x:c>
      <x:c r="H36" s="28" t="str">
        <x:v>Connection, Reflection; Creativity contextual</x:v>
      </x:c>
      <x:c r="I36" s="28" t="str">
        <x:v>Strong</x:v>
      </x:c>
      <x:c r="J36" s="28" t="str">
        <x:v>Makes change, transformation, rate or spatial movement visible.</x:v>
      </x:c>
      <x:c r="K36" s="28" t="str">
        <x:v>Gradient &amp; Intercept Explorer + Representation Matcher + Line Detective | Coordinate grid</x:v>
      </x:c>
      <x:c r="L36" s="36" t="str">
        <x:v>Moderate-High visual load; Start–Change–Check</x:v>
      </x:c>
    </x:row>
    <x:row r="37" ht="62" customHeight="1">
      <x:c r="A37" s="35" t="str">
        <x:v>NEO-MATH-Y8-05</x:v>
      </x:c>
      <x:c r="B37" s="28" t="str">
        <x:v>Year 8 Connections</x:v>
      </x:c>
      <x:c r="C37" s="28" t="str">
        <x:v>Year 8</x:v>
      </x:c>
      <x:c r="D37" s="28" t="str">
        <x:v>Structure &amp; Generalisation</x:v>
      </x:c>
      <x:c r="E37" s="28" t="str">
        <x:v>Sequences: From Steps to Rules</x:v>
      </x:c>
      <x:c r="F37" s="28" t="str">
        <x:v>Can I predict the 100th step without drawing the first 99?</x:v>
      </x:c>
      <x:c r="G37" s="28" t="str">
        <x:v>Creativity</x:v>
      </x:c>
      <x:c r="H37" s="28" t="str">
        <x:v>Connection, Reflection</x:v>
      </x:c>
      <x:c r="I37" s="28" t="str">
        <x:v>Strong</x:v>
      </x:c>
      <x:c r="J37" s="28" t="str">
        <x:v>Invites conjecture, model-building, design or more than one valid route.</x:v>
      </x:c>
      <x:c r="K37" s="28" t="str">
        <x:v>Sequence Machine + Nth-Term Tester | Square grid</x:v>
      </x:c>
      <x:c r="L37" s="36" t="str">
        <x:v>Moderate</x:v>
      </x:c>
    </x:row>
    <x:row r="38" ht="62" customHeight="1">
      <x:c r="A38" s="35" t="str">
        <x:v>NEO-MATH-Y8-06</x:v>
      </x:c>
      <x:c r="B38" s="28" t="str">
        <x:v>Year 8 Connections</x:v>
      </x:c>
      <x:c r="C38" s="28" t="str">
        <x:v>Year 8</x:v>
      </x:c>
      <x:c r="D38" s="28" t="str">
        <x:v>Spatial Reasoning</x:v>
      </x:c>
      <x:c r="E38" s="28" t="str">
        <x:v>Parallel Lines and Polygon Logic</x:v>
      </x:c>
      <x:c r="F38" s="28" t="str">
        <x:v>How can one angle unlock a whole diagram?</x:v>
      </x:c>
      <x:c r="G38" s="28" t="str">
        <x:v>Reflection</x:v>
      </x:c>
      <x:c r="H38" s="28" t="str">
        <x:v>Connection, Movement</x:v>
      </x:c>
      <x:c r="I38" s="28" t="str">
        <x:v>Strong</x:v>
      </x:c>
      <x:c r="J38" s="28" t="str">
        <x:v>Builds explanation, proof, error repair or strategy review into the mathematics.</x:v>
      </x:c>
      <x:c r="K38" s="28" t="str">
        <x:v>Angle Chain Explorer | Square grid</x:v>
      </x:c>
      <x:c r="L38" s="36" t="str">
        <x:v>Moderate-High visual; reveal one fact at a time</x:v>
      </x:c>
    </x:row>
    <x:row r="39" ht="62" customHeight="1">
      <x:c r="A39" s="35" t="str">
        <x:v>NEO-MATH-Y8-07</x:v>
      </x:c>
      <x:c r="B39" s="28" t="str">
        <x:v>Year 8 Connections</x:v>
      </x:c>
      <x:c r="C39" s="28" t="str">
        <x:v>Year 8</x:v>
      </x:c>
      <x:c r="D39" s="28" t="str">
        <x:v>Spatial Reasoning</x:v>
      </x:c>
      <x:c r="E39" s="28" t="str">
        <x:v>Circles, Prisms and Packaging</x:v>
      </x:c>
      <x:c r="F39" s="28" t="str">
        <x:v>How can a formula help us design with less material?</x:v>
      </x:c>
      <x:c r="G39" s="28" t="str">
        <x:v>Creativity</x:v>
      </x:c>
      <x:c r="H39" s="28" t="str">
        <x:v>Connection, Nutrition contextual</x:v>
      </x:c>
      <x:c r="I39" s="28" t="str">
        <x:v>Strong</x:v>
      </x:c>
      <x:c r="J39" s="28" t="str">
        <x:v>Invites conjecture, model-building, design or more than one valid route.</x:v>
      </x:c>
      <x:c r="K39" s="28" t="str">
        <x:v>Packaging Constraint Designer | Square grid</x:v>
      </x:c>
      <x:c r="L39" s="36" t="str">
        <x:v>Moderate</x:v>
      </x:c>
    </x:row>
    <x:row r="40" ht="62" customHeight="1">
      <x:c r="A40" s="35" t="str">
        <x:v>NEO-MATH-Y8-08</x:v>
      </x:c>
      <x:c r="B40" s="28" t="str">
        <x:v>Year 8 Connections</x:v>
      </x:c>
      <x:c r="C40" s="28" t="str">
        <x:v>Year 8</x:v>
      </x:c>
      <x:c r="D40" s="28" t="str">
        <x:v>Proportional Reasoning</x:v>
      </x:c>
      <x:c r="E40" s="28" t="str">
        <x:v>Rates, Best Value and Direct Proportion</x:v>
      </x:c>
      <x:c r="F40" s="28" t="str">
        <x:v>When does ‘more’ actually mean better value?</x:v>
      </x:c>
      <x:c r="G40" s="28" t="str">
        <x:v>Connection</x:v>
      </x:c>
      <x:c r="H40" s="28" t="str">
        <x:v>Reflection, Nutrition contextual</x:v>
      </x:c>
      <x:c r="I40" s="28" t="str">
        <x:v>Strong</x:v>
      </x:c>
      <x:c r="J40" s="28" t="str">
        <x:v>Makes relationships, equivalence, dependency or communication explicit.</x:v>
      </x:c>
      <x:c r="K40" s="28" t="str">
        <x:v>Best-Value Comparator + Proportion Graph | Ratio table / Double number line</x:v>
      </x:c>
      <x:c r="L40" s="36" t="str">
        <x:v>Moderate</x:v>
      </x:c>
    </x:row>
    <x:row r="41" ht="62" customHeight="1">
      <x:c r="A41" s="35" t="str">
        <x:v>NEO-MATH-Y8-09</x:v>
      </x:c>
      <x:c r="B41" s="28" t="str">
        <x:v>Year 8 Connections</x:v>
      </x:c>
      <x:c r="C41" s="28" t="str">
        <x:v>Year 8</x:v>
      </x:c>
      <x:c r="D41" s="28" t="str">
        <x:v>Data &amp; Uncertainty</x:v>
      </x:c>
      <x:c r="E41" s="28" t="str">
        <x:v>Comparing Data Without Hiding the Story</x:v>
      </x:c>
      <x:c r="F41" s="28" t="str">
        <x:v>Can one average speak for a whole group?</x:v>
      </x:c>
      <x:c r="G41" s="28" t="str">
        <x:v>Reflection</x:v>
      </x:c>
      <x:c r="H41" s="28" t="str">
        <x:v>Connection, Creativity</x:v>
      </x:c>
      <x:c r="I41" s="28" t="str">
        <x:v>Strong</x:v>
      </x:c>
      <x:c r="J41" s="28" t="str">
        <x:v>Builds explanation, proof, error repair or strategy review into the mathematics.</x:v>
      </x:c>
      <x:c r="K41" s="28" t="str">
        <x:v>Data Claim Comparator | Blank</x:v>
      </x:c>
      <x:c r="L41" s="36" t="str">
        <x:v>Moderate-High; chart focus mode</x:v>
      </x:c>
    </x:row>
    <x:row r="42" ht="62" customHeight="1">
      <x:c r="A42" s="35" t="str">
        <x:v>NEO-MATH-Y8-10</x:v>
      </x:c>
      <x:c r="B42" s="28" t="str">
        <x:v>Year 8 Connections</x:v>
      </x:c>
      <x:c r="C42" s="28" t="str">
        <x:v>Year 8</x:v>
      </x:c>
      <x:c r="D42" s="28" t="str">
        <x:v>Data &amp; Uncertainty</x:v>
      </x:c>
      <x:c r="E42" s="28" t="str">
        <x:v>Building Probability Models</x:v>
      </x:c>
      <x:c r="F42" s="28" t="str">
        <x:v>Can a model of chance be more reliable than a short experiment?</x:v>
      </x:c>
      <x:c r="G42" s="28" t="str">
        <x:v>Reflection</x:v>
      </x:c>
      <x:c r="H42" s="28" t="str">
        <x:v>Creativity, Connection</x:v>
      </x:c>
      <x:c r="I42" s="28" t="str">
        <x:v>Strong</x:v>
      </x:c>
      <x:c r="J42" s="28" t="str">
        <x:v>Builds explanation, proof, error repair or strategy review into the mathematics.</x:v>
      </x:c>
      <x:c r="K42" s="28" t="str">
        <x:v>Sample-Space Builder + Fairness Tester | Blank</x:v>
      </x:c>
      <x:c r="L42" s="36" t="str">
        <x:v>Moderate</x:v>
      </x:c>
    </x:row>
    <x:row r="43" ht="62" customHeight="1">
      <x:c r="A43" s="35" t="str">
        <x:v>NEO-MATH-Y9-01</x:v>
      </x:c>
      <x:c r="B43" s="28" t="str">
        <x:v>Year 9 Bridge</x:v>
      </x:c>
      <x:c r="C43" s="28" t="str">
        <x:v>Year 9</x:v>
      </x:c>
      <x:c r="D43" s="28" t="str">
        <x:v>Number Sense</x:v>
      </x:c>
      <x:c r="E43" s="28" t="str">
        <x:v>Accuracy, Powers and Scale</x:v>
      </x:c>
      <x:c r="F43" s="28" t="str">
        <x:v>How small or large can a number become before ordinary notation stops helping?</x:v>
      </x:c>
      <x:c r="G43" s="28" t="str">
        <x:v>Movement</x:v>
      </x:c>
      <x:c r="H43" s="28" t="str">
        <x:v>Reflection, Connection</x:v>
      </x:c>
      <x:c r="I43" s="28" t="str">
        <x:v>Strong</x:v>
      </x:c>
      <x:c r="J43" s="28" t="str">
        <x:v>Makes change, transformation, rate or spatial movement visible.</x:v>
      </x:c>
      <x:c r="K43" s="28" t="str">
        <x:v>Micro-to-Macro Scale Explorer | Square grid</x:v>
      </x:c>
      <x:c r="L43" s="36" t="str">
        <x:v>Moderate</x:v>
      </x:c>
    </x:row>
    <x:row r="44" ht="62" customHeight="1">
      <x:c r="A44" s="35" t="str">
        <x:v>NEO-MATH-Y9-02</x:v>
      </x:c>
      <x:c r="B44" s="28" t="str">
        <x:v>Year 9 Bridge</x:v>
      </x:c>
      <x:c r="C44" s="28" t="str">
        <x:v>Year 9</x:v>
      </x:c>
      <x:c r="D44" s="28" t="str">
        <x:v>Spatial Reasoning</x:v>
      </x:c>
      <x:c r="E44" s="28" t="str">
        <x:v>Solids, Cross-Sections and Space</x:v>
      </x:c>
      <x:c r="F44" s="28" t="str">
        <x:v>How can a 2D slice reveal a 3D object?</x:v>
      </x:c>
      <x:c r="G44" s="28" t="str">
        <x:v>Movement</x:v>
      </x:c>
      <x:c r="H44" s="28" t="str">
        <x:v>Creativity, Reflection</x:v>
      </x:c>
      <x:c r="I44" s="28" t="str">
        <x:v>Strong</x:v>
      </x:c>
      <x:c r="J44" s="28" t="str">
        <x:v>Makes change, transformation, rate or spatial movement visible.</x:v>
      </x:c>
      <x:c r="K44" s="28" t="str">
        <x:v>3D Slice and Net Explorer | Square grid</x:v>
      </x:c>
      <x:c r="L44" s="36" t="str">
        <x:v>Moderate-High spatial load</x:v>
      </x:c>
    </x:row>
    <x:row r="45" ht="62" customHeight="1">
      <x:c r="A45" s="35" t="str">
        <x:v>NEO-MATH-Y9-03</x:v>
      </x:c>
      <x:c r="B45" s="28" t="str">
        <x:v>Year 9 Bridge</x:v>
      </x:c>
      <x:c r="C45" s="28" t="str">
        <x:v>Year 9</x:v>
      </x:c>
      <x:c r="D45" s="28" t="str">
        <x:v>Structure &amp; Generalisation</x:v>
      </x:c>
      <x:c r="E45" s="28" t="str">
        <x:v>Quadratics: When Change Itself Changes</x:v>
      </x:c>
      <x:c r="F45" s="28" t="str">
        <x:v>What kind of pattern appears when the rate of change is not constant?</x:v>
      </x:c>
      <x:c r="G45" s="28" t="str">
        <x:v>Movement</x:v>
      </x:c>
      <x:c r="H45" s="28" t="str">
        <x:v>Connection, Creativity</x:v>
      </x:c>
      <x:c r="I45" s="28" t="str">
        <x:v>Strong</x:v>
      </x:c>
      <x:c r="J45" s="28" t="str">
        <x:v>Makes change, transformation, rate or spatial movement visible.</x:v>
      </x:c>
      <x:c r="K45" s="28" t="str">
        <x:v>Quadratic Shape Shifter | Coordinate grid</x:v>
      </x:c>
      <x:c r="L45" s="36" t="str">
        <x:v>High visual/algebra load; representation choice</x:v>
      </x:c>
    </x:row>
    <x:row r="46" ht="62" customHeight="1">
      <x:c r="A46" s="35" t="str">
        <x:v>NEO-MATH-Y9-04</x:v>
      </x:c>
      <x:c r="B46" s="28" t="str">
        <x:v>Year 9 Bridge</x:v>
      </x:c>
      <x:c r="C46" s="28" t="str">
        <x:v>Year 9</x:v>
      </x:c>
      <x:c r="D46" s="28" t="str">
        <x:v>Spatial Reasoning</x:v>
      </x:c>
      <x:c r="E46" s="28" t="str">
        <x:v>Precision, Loci and Safe Routes</x:v>
      </x:c>
      <x:c r="F46" s="28" t="str">
        <x:v>Can a construction guarantee a fair distance or safe boundary?</x:v>
      </x:c>
      <x:c r="G46" s="28" t="str">
        <x:v>Movement</x:v>
      </x:c>
      <x:c r="H46" s="28" t="str">
        <x:v>Reflection, Connection</x:v>
      </x:c>
      <x:c r="I46" s="28" t="str">
        <x:v>Strong</x:v>
      </x:c>
      <x:c r="J46" s="28" t="str">
        <x:v>Makes change, transformation, rate or spatial movement visible.</x:v>
      </x:c>
      <x:c r="K46" s="28" t="str">
        <x:v>Locus and Safe-Route Planner | Square grid</x:v>
      </x:c>
      <x:c r="L46" s="36" t="str">
        <x:v>Moderate; steady-hand alternative digital tool</x:v>
      </x:c>
    </x:row>
    <x:row r="47" ht="62" customHeight="1">
      <x:c r="A47" s="35" t="str">
        <x:v>NEO-MATH-Y9-05</x:v>
      </x:c>
      <x:c r="B47" s="28" t="str">
        <x:v>Year 9 Bridge</x:v>
      </x:c>
      <x:c r="C47" s="28" t="str">
        <x:v>Year 9</x:v>
      </x:c>
      <x:c r="D47" s="28" t="str">
        <x:v>Structure &amp; Generalisation</x:v>
      </x:c>
      <x:c r="E47" s="28" t="str">
        <x:v>Inequalities: Mathematics with Boundaries</x:v>
      </x:c>
      <x:c r="F47" s="28" t="str">
        <x:v>How can maths describe what is allowed without choosing one exact answer?</x:v>
      </x:c>
      <x:c r="G47" s="28" t="str">
        <x:v>Connection</x:v>
      </x:c>
      <x:c r="H47" s="28" t="str">
        <x:v>Reflection, Creativity</x:v>
      </x:c>
      <x:c r="I47" s="28" t="str">
        <x:v>Strong</x:v>
      </x:c>
      <x:c r="J47" s="28" t="str">
        <x:v>Makes relationships, equivalence, dependency or communication explicit.</x:v>
      </x:c>
      <x:c r="K47" s="28" t="str">
        <x:v>Inequality Region Painter | Coordinate grid</x:v>
      </x:c>
      <x:c r="L47" s="36" t="str">
        <x:v>Moderate-High; one boundary at a time</x:v>
      </x:c>
    </x:row>
    <x:row r="48" ht="62" customHeight="1">
      <x:c r="A48" s="35" t="str">
        <x:v>NEO-MATH-Y9-06</x:v>
      </x:c>
      <x:c r="B48" s="28" t="str">
        <x:v>Year 9 Bridge</x:v>
      </x:c>
      <x:c r="C48" s="28" t="str">
        <x:v>Year 9</x:v>
      </x:c>
      <x:c r="D48" s="28" t="str">
        <x:v>Structure &amp; Generalisation</x:v>
      </x:c>
      <x:c r="E48" s="28" t="str">
        <x:v>Formulae and Rearranging: Changing the Subject</x:v>
      </x:c>
      <x:c r="F48" s="28" t="str">
        <x:v>Can a formula tell the same relationship from a different point of view?</x:v>
      </x:c>
      <x:c r="G48" s="28" t="str">
        <x:v>Connection</x:v>
      </x:c>
      <x:c r="H48" s="28" t="str">
        <x:v>Reflection, Rest</x:v>
      </x:c>
      <x:c r="I48" s="28" t="str">
        <x:v>Strong</x:v>
      </x:c>
      <x:c r="J48" s="28" t="str">
        <x:v>Makes relationships, equivalence, dependency or communication explicit.</x:v>
      </x:c>
      <x:c r="K48" s="28" t="str">
        <x:v>Formula Balance and Subject Switcher | Blank</x:v>
      </x:c>
      <x:c r="L48" s="36" t="str">
        <x:v>Moderate</x:v>
      </x:c>
    </x:row>
    <x:row r="49" ht="62" customHeight="1">
      <x:c r="A49" s="35" t="str">
        <x:v>NEO-MATH-Y9-07</x:v>
      </x:c>
      <x:c r="B49" s="28" t="str">
        <x:v>Year 9 Bridge</x:v>
      </x:c>
      <x:c r="C49" s="28" t="str">
        <x:v>Year 9</x:v>
      </x:c>
      <x:c r="D49" s="28" t="str">
        <x:v>Spatial Reasoning</x:v>
      </x:c>
      <x:c r="E49" s="28" t="str">
        <x:v>Pythagoras and the Hidden Length</x:v>
      </x:c>
      <x:c r="F49" s="28" t="str">
        <x:v>Can a right angle reveal a length we cannot measure directly?</x:v>
      </x:c>
      <x:c r="G49" s="28" t="str">
        <x:v>Connection</x:v>
      </x:c>
      <x:c r="H49" s="28" t="str">
        <x:v>Reflection, Movement</x:v>
      </x:c>
      <x:c r="I49" s="28" t="str">
        <x:v>Strong</x:v>
      </x:c>
      <x:c r="J49" s="28" t="str">
        <x:v>Makes relationships, equivalence, dependency or communication explicit.</x:v>
      </x:c>
      <x:c r="K49" s="28" t="str">
        <x:v>Right-Triangle Length Explorer | Square grid</x:v>
      </x:c>
      <x:c r="L49" s="36" t="str">
        <x:v>Moderate</x:v>
      </x:c>
    </x:row>
    <x:row r="50" ht="62" customHeight="1">
      <x:c r="A50" s="35" t="str">
        <x:v>NEO-MATH-Y9-08</x:v>
      </x:c>
      <x:c r="B50" s="28" t="str">
        <x:v>Year 9 Bridge</x:v>
      </x:c>
      <x:c r="C50" s="28" t="str">
        <x:v>Year 9</x:v>
      </x:c>
      <x:c r="D50" s="28" t="str">
        <x:v>Proportional Reasoning</x:v>
      </x:c>
      <x:c r="E50" s="28" t="str">
        <x:v>Similarity and Scale: Same Shape, New Size</x:v>
      </x:c>
      <x:c r="F50" s="28" t="str">
        <x:v>What can change while a shape stays mathematically the same?</x:v>
      </x:c>
      <x:c r="G50" s="28" t="str">
        <x:v>Connection</x:v>
      </x:c>
      <x:c r="H50" s="28" t="str">
        <x:v>Movement, Creativity</x:v>
      </x:c>
      <x:c r="I50" s="28" t="str">
        <x:v>Strong</x:v>
      </x:c>
      <x:c r="J50" s="28" t="str">
        <x:v>Makes relationships, equivalence, dependency or communication explicit.</x:v>
      </x:c>
      <x:c r="K50" s="28" t="str">
        <x:v>Similarity Zoom Lab | Square grid</x:v>
      </x:c>
      <x:c r="L50" s="36" t="str">
        <x:v>Moderate</x:v>
      </x:c>
    </x:row>
    <x:row r="51" ht="62" customHeight="1">
      <x:c r="A51" s="35" t="str">
        <x:v>NEO-MATH-Y9-09</x:v>
      </x:c>
      <x:c r="B51" s="28" t="str">
        <x:v>Year 9 Bridge</x:v>
      </x:c>
      <x:c r="C51" s="28" t="str">
        <x:v>Year 9</x:v>
      </x:c>
      <x:c r="D51" s="28" t="str">
        <x:v>Data &amp; Uncertainty</x:v>
      </x:c>
      <x:c r="E51" s="28" t="str">
        <x:v>Sampling, Bias and What We Can Infer</x:v>
      </x:c>
      <x:c r="F51" s="28" t="str">
        <x:v>Whose story disappears when a sample is badly chosen?</x:v>
      </x:c>
      <x:c r="G51" s="28" t="str">
        <x:v>Connection</x:v>
      </x:c>
      <x:c r="H51" s="28" t="str">
        <x:v>Reflection, Creativity</x:v>
      </x:c>
      <x:c r="I51" s="28" t="str">
        <x:v>Strong</x:v>
      </x:c>
      <x:c r="J51" s="28" t="str">
        <x:v>Makes relationships, equivalence, dependency or communication explicit.</x:v>
      </x:c>
      <x:c r="K51" s="28" t="str">
        <x:v>Sampling Bias Simulator + Claim Critic | Blank</x:v>
      </x:c>
      <x:c r="L51" s="36" t="str">
        <x:v>Moderate-High; claim-by-claim</x:v>
      </x:c>
    </x:row>
    <x:row r="52" ht="62" customHeight="1">
      <x:c r="A52" s="35" t="str">
        <x:v>NEO-MATH-Y9-10</x:v>
      </x:c>
      <x:c r="B52" s="28" t="str">
        <x:v>Year 9 Bridge</x:v>
      </x:c>
      <x:c r="C52" s="28" t="str">
        <x:v>Year 9</x:v>
      </x:c>
      <x:c r="D52" s="28" t="str">
        <x:v>Data &amp; Uncertainty</x:v>
      </x:c>
      <x:c r="E52" s="28" t="str">
        <x:v>Probability Trees and Conditional Change</x:v>
      </x:c>
      <x:c r="F52" s="28" t="str">
        <x:v>How does one event change the chances of what happens next?</x:v>
      </x:c>
      <x:c r="G52" s="28" t="str">
        <x:v>Movement</x:v>
      </x:c>
      <x:c r="H52" s="28" t="str">
        <x:v>Reflection, Connection</x:v>
      </x:c>
      <x:c r="I52" s="28" t="str">
        <x:v>Strong</x:v>
      </x:c>
      <x:c r="J52" s="28" t="str">
        <x:v>Makes change, transformation, rate or spatial movement visible.</x:v>
      </x:c>
      <x:c r="K52" s="28" t="str">
        <x:v>Dynamic Probability Tree | Blank</x:v>
      </x:c>
      <x:c r="L52" s="36" t="str">
        <x:v>High; branch reveal mode</x:v>
      </x:c>
    </x:row>
    <x:row r="53" ht="62" customHeight="1">
      <x:c r="A53" s="35" t="str">
        <x:v>NEO-MATH-Y10-01</x:v>
      </x:c>
      <x:c r="B53" s="28" t="str">
        <x:v>iGCSE Year 1</x:v>
      </x:c>
      <x:c r="C53" s="28" t="str">
        <x:v>Year 10</x:v>
      </x:c>
      <x:c r="D53" s="28" t="str">
        <x:v>Number Sense</x:v>
      </x:c>
      <x:c r="E53" s="28" t="str">
        <x:v>Number Systems and Calculator Judgement</x:v>
      </x:c>
      <x:c r="F53" s="28" t="str">
        <x:v>When should I trust a calculator—and when should I distrust my input?</x:v>
      </x:c>
      <x:c r="G53" s="28" t="str">
        <x:v>Reflection</x:v>
      </x:c>
      <x:c r="H53" s="28" t="str">
        <x:v>Rest, Connection</x:v>
      </x:c>
      <x:c r="I53" s="28" t="str">
        <x:v>Strong</x:v>
      </x:c>
      <x:c r="J53" s="28" t="str">
        <x:v>Builds explanation, proof, error repair or strategy review into the mathematics.</x:v>
      </x:c>
      <x:c r="K53" s="28" t="str">
        <x:v>Calculator Input Detective | Blank</x:v>
      </x:c>
      <x:c r="L53" s="36" t="str">
        <x:v>Moderate</x:v>
      </x:c>
    </x:row>
    <x:row r="54" ht="62" customHeight="1">
      <x:c r="A54" s="35" t="str">
        <x:v>NEO-MATH-Y10-02</x:v>
      </x:c>
      <x:c r="B54" s="28" t="str">
        <x:v>iGCSE Year 1</x:v>
      </x:c>
      <x:c r="C54" s="28" t="str">
        <x:v>Year 10</x:v>
      </x:c>
      <x:c r="D54" s="28" t="str">
        <x:v>Structure &amp; Generalisation</x:v>
      </x:c>
      <x:c r="E54" s="28" t="str">
        <x:v>Algebraic Expressions and Identities</x:v>
      </x:c>
      <x:c r="F54" s="28" t="str">
        <x:v>How much structure can be hidden inside one expression?</x:v>
      </x:c>
      <x:c r="G54" s="28" t="str">
        <x:v>Connection</x:v>
      </x:c>
      <x:c r="H54" s="28" t="str">
        <x:v>Reflection, Creativity</x:v>
      </x:c>
      <x:c r="I54" s="28" t="str">
        <x:v>Strong</x:v>
      </x:c>
      <x:c r="J54" s="28" t="str">
        <x:v>Makes relationships, equivalence, dependency or communication explicit.</x:v>
      </x:c>
      <x:c r="K54" s="28" t="str">
        <x:v>Algebra Structure Lens | Blank</x:v>
      </x:c>
      <x:c r="L54" s="36" t="str">
        <x:v>High; tiered reveal</x:v>
      </x:c>
    </x:row>
    <x:row r="55" ht="62" customHeight="1">
      <x:c r="A55" s="35" t="str">
        <x:v>NEO-MATH-Y10-03</x:v>
      </x:c>
      <x:c r="B55" s="28" t="str">
        <x:v>iGCSE Year 1</x:v>
      </x:c>
      <x:c r="C55" s="28" t="str">
        <x:v>Year 10</x:v>
      </x:c>
      <x:c r="D55" s="28" t="str">
        <x:v>Change &amp; Functions</x:v>
      </x:c>
      <x:c r="E55" s="28" t="str">
        <x:v>Straight Lines, Sets and Connected Representations</x:v>
      </x:c>
      <x:c r="F55" s="28" t="str">
        <x:v>How can one relationship appear as symbols, points, a line and a story?</x:v>
      </x:c>
      <x:c r="G55" s="28" t="str">
        <x:v>Connection</x:v>
      </x:c>
      <x:c r="H55" s="28" t="str">
        <x:v>Movement, Reflection</x:v>
      </x:c>
      <x:c r="I55" s="28" t="str">
        <x:v>Strong</x:v>
      </x:c>
      <x:c r="J55" s="28" t="str">
        <x:v>Makes relationships, equivalence, dependency or communication explicit.</x:v>
      </x:c>
      <x:c r="K55" s="28" t="str">
        <x:v>Gradient Explorer + Venn Set Builder | Coordinate grid</x:v>
      </x:c>
      <x:c r="L55" s="36" t="str">
        <x:v>Moderate-High</x:v>
      </x:c>
    </x:row>
    <x:row r="56" ht="62" customHeight="1">
      <x:c r="A56" s="35" t="str">
        <x:v>NEO-MATH-Y10-04</x:v>
      </x:c>
      <x:c r="B56" s="28" t="str">
        <x:v>iGCSE Year 1</x:v>
      </x:c>
      <x:c r="C56" s="28" t="str">
        <x:v>Year 10</x:v>
      </x:c>
      <x:c r="D56" s="28" t="str">
        <x:v>Proportional Reasoning</x:v>
      </x:c>
      <x:c r="E56" s="28" t="str">
        <x:v>Percentages, Ratio and Growth Models</x:v>
      </x:c>
      <x:c r="F56" s="28" t="str">
        <x:v>When does a repeated percentage change become a new kind of pattern?</x:v>
      </x:c>
      <x:c r="G56" s="28" t="str">
        <x:v>Movement</x:v>
      </x:c>
      <x:c r="H56" s="28" t="str">
        <x:v>Connection, Reflection</x:v>
      </x:c>
      <x:c r="I56" s="28" t="str">
        <x:v>Strong</x:v>
      </x:c>
      <x:c r="J56" s="28" t="str">
        <x:v>Makes change, transformation, rate or spatial movement visible.</x:v>
      </x:c>
      <x:c r="K56" s="28" t="str">
        <x:v>Growth Multiplier Lab | Double number line</x:v>
      </x:c>
      <x:c r="L56" s="36" t="str">
        <x:v>Moderate</x:v>
      </x:c>
    </x:row>
    <x:row r="57" ht="62" customHeight="1">
      <x:c r="A57" s="35" t="str">
        <x:v>NEO-MATH-Y10-05</x:v>
      </x:c>
      <x:c r="B57" s="28" t="str">
        <x:v>iGCSE Year 1</x:v>
      </x:c>
      <x:c r="C57" s="28" t="str">
        <x:v>Year 10</x:v>
      </x:c>
      <x:c r="D57" s="28" t="str">
        <x:v>Structure &amp; Generalisation</x:v>
      </x:c>
      <x:c r="E57" s="28" t="str">
        <x:v>Equations, Inequalities and Simultaneous Relationships</x:v>
      </x:c>
      <x:c r="F57" s="28" t="str">
        <x:v>What happens when two mathematical conditions must be true at once?</x:v>
      </x:c>
      <x:c r="G57" s="28" t="str">
        <x:v>Connection</x:v>
      </x:c>
      <x:c r="H57" s="28" t="str">
        <x:v>Reflection, Creativity</x:v>
      </x:c>
      <x:c r="I57" s="28" t="str">
        <x:v>Strong</x:v>
      </x:c>
      <x:c r="J57" s="28" t="str">
        <x:v>Makes relationships, equivalence, dependency or communication explicit.</x:v>
      </x:c>
      <x:c r="K57" s="28" t="str">
        <x:v>Intersection and Constraint Studio | Coordinate grid</x:v>
      </x:c>
      <x:c r="L57" s="36" t="str">
        <x:v>High; conditions separated then combined</x:v>
      </x:c>
    </x:row>
    <x:row r="58" ht="62" customHeight="1">
      <x:c r="A58" s="35" t="str">
        <x:v>NEO-MATH-Y10-06</x:v>
      </x:c>
      <x:c r="B58" s="28" t="str">
        <x:v>iGCSE Year 1</x:v>
      </x:c>
      <x:c r="C58" s="28" t="str">
        <x:v>Year 10</x:v>
      </x:c>
      <x:c r="D58" s="28" t="str">
        <x:v>Spatial Reasoning</x:v>
      </x:c>
      <x:c r="E58" s="28" t="str">
        <x:v>Pythagoras, Trigonometry and Measuring the Unreachable</x:v>
      </x:c>
      <x:c r="F58" s="28" t="str">
        <x:v>How can an angle and one length reveal a distance we cannot reach?</x:v>
      </x:c>
      <x:c r="G58" s="28" t="str">
        <x:v>Movement</x:v>
      </x:c>
      <x:c r="H58" s="28" t="str">
        <x:v>Connection, Reflection</x:v>
      </x:c>
      <x:c r="I58" s="28" t="str">
        <x:v>Strong</x:v>
      </x:c>
      <x:c r="J58" s="28" t="str">
        <x:v>Makes change, transformation, rate or spatial movement visible.</x:v>
      </x:c>
      <x:c r="K58" s="28" t="str">
        <x:v>Triangle Reveal Explorer | Square grid</x:v>
      </x:c>
      <x:c r="L58" s="36" t="str">
        <x:v>High spatial load; diagram scaffold</x:v>
      </x:c>
    </x:row>
    <x:row r="59" ht="62" customHeight="1">
      <x:c r="A59" s="35" t="str">
        <x:v>NEO-MATH-Y10-07</x:v>
      </x:c>
      <x:c r="B59" s="28" t="str">
        <x:v>iGCSE Year 1</x:v>
      </x:c>
      <x:c r="C59" s="28" t="str">
        <x:v>Year 10</x:v>
      </x:c>
      <x:c r="D59" s="28" t="str">
        <x:v>Data &amp; Uncertainty</x:v>
      </x:c>
      <x:c r="E59" s="28" t="str">
        <x:v>Frequency, Scatter and the Shape of Data</x:v>
      </x:c>
      <x:c r="F59" s="28" t="str">
        <x:v>What changes when data is grouped, compared or shown differently?</x:v>
      </x:c>
      <x:c r="G59" s="28" t="str">
        <x:v>Reflection</x:v>
      </x:c>
      <x:c r="H59" s="28" t="str">
        <x:v>Connection, Creativity</x:v>
      </x:c>
      <x:c r="I59" s="28" t="str">
        <x:v>Strong</x:v>
      </x:c>
      <x:c r="J59" s="28" t="str">
        <x:v>Builds explanation, proof, error repair or strategy review into the mathematics.</x:v>
      </x:c>
      <x:c r="K59" s="28" t="str">
        <x:v>Data Display Switcher | Blank</x:v>
      </x:c>
      <x:c r="L59" s="36" t="str">
        <x:v>Moderate-High</x:v>
      </x:c>
    </x:row>
    <x:row r="60" ht="62" customHeight="1">
      <x:c r="A60" s="35" t="str">
        <x:v>NEO-MATH-Y10-08</x:v>
      </x:c>
      <x:c r="B60" s="28" t="str">
        <x:v>iGCSE Year 1</x:v>
      </x:c>
      <x:c r="C60" s="28" t="str">
        <x:v>Year 10</x:v>
      </x:c>
      <x:c r="D60" s="28" t="str">
        <x:v>Number Sense</x:v>
      </x:c>
      <x:c r="E60" s="28" t="str">
        <x:v>Bounds and the Mathematics of ‘Nearly’</x:v>
      </x:c>
      <x:c r="F60" s="28" t="str">
        <x:v>How precise is a measurement that has already been rounded?</x:v>
      </x:c>
      <x:c r="G60" s="28" t="str">
        <x:v>Rest</x:v>
      </x:c>
      <x:c r="H60" s="28" t="str">
        <x:v>Reflection, Connection</x:v>
      </x:c>
      <x:c r="I60" s="28" t="str">
        <x:v>Strong</x:v>
      </x:c>
      <x:c r="J60" s="28" t="str">
        <x:v>Uses chunking, consolidation, low-stakes retrieval or the mathematics of zero/space.</x:v>
      </x:c>
      <x:c r="K60" s="28" t="str">
        <x:v>Bounds Interval Visualiser | Double number line</x:v>
      </x:c>
      <x:c r="L60" s="36" t="str">
        <x:v>Moderate; interval visualisation</x:v>
      </x:c>
    </x:row>
    <x:row r="61" ht="62" customHeight="1">
      <x:c r="A61" s="35" t="str">
        <x:v>NEO-MATH-Y10-09</x:v>
      </x:c>
      <x:c r="B61" s="28" t="str">
        <x:v>iGCSE Year 1</x:v>
      </x:c>
      <x:c r="C61" s="28" t="str">
        <x:v>Year 10</x:v>
      </x:c>
      <x:c r="D61" s="28" t="str">
        <x:v>Structure &amp; Generalisation</x:v>
      </x:c>
      <x:c r="E61" s="28" t="str">
        <x:v>Quadratics: Factors, Roots and Graphs</x:v>
      </x:c>
      <x:c r="F61" s="28" t="str">
        <x:v>How are the shape of a graph and the solutions of an equation connected?</x:v>
      </x:c>
      <x:c r="G61" s="28" t="str">
        <x:v>Connection</x:v>
      </x:c>
      <x:c r="H61" s="28" t="str">
        <x:v>Movement, Reflection</x:v>
      </x:c>
      <x:c r="I61" s="28" t="str">
        <x:v>Strong</x:v>
      </x:c>
      <x:c r="J61" s="28" t="str">
        <x:v>Makes relationships, equivalence, dependency or communication explicit.</x:v>
      </x:c>
      <x:c r="K61" s="28" t="str">
        <x:v>Root–Graph Connector | Coordinate grid</x:v>
      </x:c>
      <x:c r="L61" s="36" t="str">
        <x:v>High</x:v>
      </x:c>
    </x:row>
    <x:row r="62" ht="62" customHeight="1">
      <x:c r="A62" s="35" t="str">
        <x:v>NEO-MATH-Y10-10</x:v>
      </x:c>
      <x:c r="B62" s="28" t="str">
        <x:v>iGCSE Year 1</x:v>
      </x:c>
      <x:c r="C62" s="28" t="str">
        <x:v>Year 10</x:v>
      </x:c>
      <x:c r="D62" s="28" t="str">
        <x:v>Proof &amp; Communication</x:v>
      </x:c>
      <x:c r="E62" s="28" t="str">
        <x:v>The Connected Maths Performance Project</x:v>
      </x:c>
      <x:c r="F62" s="28" t="str">
        <x:v>Can I solve a problem that refuses to stay in one topic?</x:v>
      </x:c>
      <x:c r="G62" s="28" t="str">
        <x:v>Creativity</x:v>
      </x:c>
      <x:c r="H62" s="28" t="str">
        <x:v>Connection, Reflection</x:v>
      </x:c>
      <x:c r="I62" s="28" t="str">
        <x:v>Strong</x:v>
      </x:c>
      <x:c r="J62" s="28" t="str">
        <x:v>Invites conjecture, model-building, design or more than one valid route.</x:v>
      </x:c>
      <x:c r="K62" s="28" t="str">
        <x:v>Multi-Topic Model Builder | Blank / context preset</x:v>
      </x:c>
      <x:c r="L62" s="36" t="str">
        <x:v>Variable; learner chooses project route</x:v>
      </x:c>
    </x:row>
    <x:row r="63" ht="62" customHeight="1">
      <x:c r="A63" s="35" t="str">
        <x:v>NEO-MATH-Y11-01</x:v>
      </x:c>
      <x:c r="B63" s="28" t="str">
        <x:v>iGCSE Year 2</x:v>
      </x:c>
      <x:c r="C63" s="28" t="str">
        <x:v>Year 11</x:v>
      </x:c>
      <x:c r="D63" s="28" t="str">
        <x:v>Structure &amp; Generalisation</x:v>
      </x:c>
      <x:c r="E63" s="28" t="str">
        <x:v>Advanced Algebra: Structure, Strategy and Proof</x:v>
      </x:c>
      <x:c r="F63" s="28" t="str">
        <x:v>When is an algebraic method more than a procedure?</x:v>
      </x:c>
      <x:c r="G63" s="28" t="str">
        <x:v>Reflection</x:v>
      </x:c>
      <x:c r="H63" s="28" t="str">
        <x:v>Connection, Creativity</x:v>
      </x:c>
      <x:c r="I63" s="28" t="str">
        <x:v>Strong</x:v>
      </x:c>
      <x:c r="J63" s="28" t="str">
        <x:v>Builds explanation, proof, error repair or strategy review into the mathematics.</x:v>
      </x:c>
      <x:c r="K63" s="28" t="str">
        <x:v>Algebra Route Comparator | Blank</x:v>
      </x:c>
      <x:c r="L63" s="36" t="str">
        <x:v>High; route menu and faded examples</x:v>
      </x:c>
    </x:row>
    <x:row r="64" ht="62" customHeight="1">
      <x:c r="A64" s="35" t="str">
        <x:v>NEO-MATH-Y11-02</x:v>
      </x:c>
      <x:c r="B64" s="28" t="str">
        <x:v>iGCSE Year 2</x:v>
      </x:c>
      <x:c r="C64" s="28" t="str">
        <x:v>Year 11</x:v>
      </x:c>
      <x:c r="D64" s="28" t="str">
        <x:v>Change &amp; Functions</x:v>
      </x:c>
      <x:c r="E64" s="28" t="str">
        <x:v>Functions, Transformations and Rates of Change</x:v>
      </x:c>
      <x:c r="F64" s="28" t="str">
        <x:v>How can changing an equation move an entire graph?</x:v>
      </x:c>
      <x:c r="G64" s="28" t="str">
        <x:v>Movement</x:v>
      </x:c>
      <x:c r="H64" s="28" t="str">
        <x:v>Connection, Reflection</x:v>
      </x:c>
      <x:c r="I64" s="28" t="str">
        <x:v>Strong</x:v>
      </x:c>
      <x:c r="J64" s="28" t="str">
        <x:v>Makes change, transformation, rate or spatial movement visible.</x:v>
      </x:c>
      <x:c r="K64" s="28" t="str">
        <x:v>Function Transformation Studio | Coordinate grid</x:v>
      </x:c>
      <x:c r="L64" s="36" t="str">
        <x:v>High visual; one parameter at a time</x:v>
      </x:c>
    </x:row>
    <x:row r="65" ht="62" customHeight="1">
      <x:c r="A65" s="35" t="str">
        <x:v>NEO-MATH-Y11-03</x:v>
      </x:c>
      <x:c r="B65" s="28" t="str">
        <x:v>iGCSE Year 2</x:v>
      </x:c>
      <x:c r="C65" s="28" t="str">
        <x:v>Year 11</x:v>
      </x:c>
      <x:c r="D65" s="28" t="str">
        <x:v>Change &amp; Functions</x:v>
      </x:c>
      <x:c r="E65" s="28" t="str">
        <x:v>Motion Graphs: Distance, Speed and Area</x:v>
      </x:c>
      <x:c r="F65" s="28" t="str">
        <x:v>Can a graph show both how fast something moves and how far it travels?</x:v>
      </x:c>
      <x:c r="G65" s="28" t="str">
        <x:v>Movement</x:v>
      </x:c>
      <x:c r="H65" s="28" t="str">
        <x:v>Reflection, Connection</x:v>
      </x:c>
      <x:c r="I65" s="28" t="str">
        <x:v>Strong</x:v>
      </x:c>
      <x:c r="J65" s="28" t="str">
        <x:v>Makes change, transformation, rate or spatial movement visible.</x:v>
      </x:c>
      <x:c r="K65" s="28" t="str">
        <x:v>Motion Graph Animator | Coordinate grid</x:v>
      </x:c>
      <x:c r="L65" s="36" t="str">
        <x:v>High; animation can be paused</x:v>
      </x:c>
    </x:row>
    <x:row r="66" ht="62" customHeight="1">
      <x:c r="A66" s="35" t="str">
        <x:v>NEO-MATH-Y11-04</x:v>
      </x:c>
      <x:c r="B66" s="28" t="str">
        <x:v>iGCSE Year 2</x:v>
      </x:c>
      <x:c r="C66" s="28" t="str">
        <x:v>Year 11</x:v>
      </x:c>
      <x:c r="D66" s="28" t="str">
        <x:v>Spatial Reasoning</x:v>
      </x:c>
      <x:c r="E66" s="28" t="str">
        <x:v>Circle Geometry and Proof Chains</x:v>
      </x:c>
      <x:c r="F66" s="28" t="str">
        <x:v>How can one hidden circle fact unlock a proof?</x:v>
      </x:c>
      <x:c r="G66" s="28" t="str">
        <x:v>Reflection</x:v>
      </x:c>
      <x:c r="H66" s="28" t="str">
        <x:v>Connection, Rest</x:v>
      </x:c>
      <x:c r="I66" s="28" t="str">
        <x:v>Strong</x:v>
      </x:c>
      <x:c r="J66" s="28" t="str">
        <x:v>Builds explanation, proof, error repair or strategy review into the mathematics.</x:v>
      </x:c>
      <x:c r="K66" s="28" t="str">
        <x:v>Circle Theorem Constraint Explorer | Square grid</x:v>
      </x:c>
      <x:c r="L66" s="36" t="str">
        <x:v>High visual; slow-look routine</x:v>
      </x:c>
    </x:row>
    <x:row r="67" ht="62" customHeight="1">
      <x:c r="A67" s="35" t="str">
        <x:v>NEO-MATH-Y11-05</x:v>
      </x:c>
      <x:c r="B67" s="28" t="str">
        <x:v>iGCSE Year 2</x:v>
      </x:c>
      <x:c r="C67" s="28" t="str">
        <x:v>Year 11</x:v>
      </x:c>
      <x:c r="D67" s="28" t="str">
        <x:v>Spatial Reasoning</x:v>
      </x:c>
      <x:c r="E67" s="28" t="str">
        <x:v>Similarity, Vectors and Transformation Geometry</x:v>
      </x:c>
      <x:c r="F67" s="28" t="str">
        <x:v>How can direction and scale describe geometry without measuring every length?</x:v>
      </x:c>
      <x:c r="G67" s="28" t="str">
        <x:v>Connection</x:v>
      </x:c>
      <x:c r="H67" s="28" t="str">
        <x:v>Movement, Reflection</x:v>
      </x:c>
      <x:c r="I67" s="28" t="str">
        <x:v>Strong</x:v>
      </x:c>
      <x:c r="J67" s="28" t="str">
        <x:v>Makes relationships, equivalence, dependency or communication explicit.</x:v>
      </x:c>
      <x:c r="K67" s="28" t="str">
        <x:v>Vector and Similarity Move Lab | Coordinate grid</x:v>
      </x:c>
      <x:c r="L67" s="36" t="str">
        <x:v>High spatial</x:v>
      </x:c>
    </x:row>
    <x:row r="68" ht="62" customHeight="1">
      <x:c r="A68" s="35" t="str">
        <x:v>NEO-MATH-Y11-06</x:v>
      </x:c>
      <x:c r="B68" s="28" t="str">
        <x:v>iGCSE Year 2</x:v>
      </x:c>
      <x:c r="C68" s="28" t="str">
        <x:v>Year 11</x:v>
      </x:c>
      <x:c r="D68" s="28" t="str">
        <x:v>Spatial Reasoning</x:v>
      </x:c>
      <x:c r="E68" s="28" t="str">
        <x:v>Trigonometry and 3D Measures</x:v>
      </x:c>
      <x:c r="F68" s="28" t="str">
        <x:v>Where is the right triangle hiding inside a 3D problem?</x:v>
      </x:c>
      <x:c r="G68" s="28" t="str">
        <x:v>Movement</x:v>
      </x:c>
      <x:c r="H68" s="28" t="str">
        <x:v>Reflection, Creativity</x:v>
      </x:c>
      <x:c r="I68" s="28" t="str">
        <x:v>Strong</x:v>
      </x:c>
      <x:c r="J68" s="28" t="str">
        <x:v>Makes change, transformation, rate or spatial movement visible.</x:v>
      </x:c>
      <x:c r="K68" s="28" t="str">
        <x:v>3D Triangle Finder | Square grid</x:v>
      </x:c>
      <x:c r="L68" s="36" t="str">
        <x:v>High spatial; manipulable sketch</x:v>
      </x:c>
    </x:row>
    <x:row r="69" ht="62" customHeight="1">
      <x:c r="A69" s="35" t="str">
        <x:v>NEO-MATH-Y11-07</x:v>
      </x:c>
      <x:c r="B69" s="28" t="str">
        <x:v>iGCSE Year 2</x:v>
      </x:c>
      <x:c r="C69" s="28" t="str">
        <x:v>Year 11</x:v>
      </x:c>
      <x:c r="D69" s="28" t="str">
        <x:v>Data &amp; Uncertainty</x:v>
      </x:c>
      <x:c r="E69" s="28" t="str">
        <x:v>Histograms, Cumulative Frequency and Comparing Distributions</x:v>
      </x:c>
      <x:c r="F69" s="28" t="str">
        <x:v>When does the area of a bar matter more than its height?</x:v>
      </x:c>
      <x:c r="G69" s="28" t="str">
        <x:v>Reflection</x:v>
      </x:c>
      <x:c r="H69" s="28" t="str">
        <x:v>Connection, Creativity</x:v>
      </x:c>
      <x:c r="I69" s="28" t="str">
        <x:v>Strong</x:v>
      </x:c>
      <x:c r="J69" s="28" t="str">
        <x:v>Builds explanation, proof, error repair or strategy review into the mathematics.</x:v>
      </x:c>
      <x:c r="K69" s="28" t="str">
        <x:v>Frequency Density Visualiser | Blank / Square grid</x:v>
      </x:c>
      <x:c r="L69" s="36" t="str">
        <x:v>High; chart isolation mode</x:v>
      </x:c>
    </x:row>
    <x:row r="70" ht="62" customHeight="1">
      <x:c r="A70" s="35" t="str">
        <x:v>NEO-MATH-Y11-08</x:v>
      </x:c>
      <x:c r="B70" s="28" t="str">
        <x:v>iGCSE Year 2</x:v>
      </x:c>
      <x:c r="C70" s="28" t="str">
        <x:v>Year 11</x:v>
      </x:c>
      <x:c r="D70" s="28" t="str">
        <x:v>Data &amp; Uncertainty</x:v>
      </x:c>
      <x:c r="E70" s="28" t="str">
        <x:v>Conditional Probability and Decision-Making</x:v>
      </x:c>
      <x:c r="F70" s="28" t="str">
        <x:v>How does what we already know change the probability we should use?</x:v>
      </x:c>
      <x:c r="G70" s="28" t="str">
        <x:v>Reflection</x:v>
      </x:c>
      <x:c r="H70" s="28" t="str">
        <x:v>Connection, Movement</x:v>
      </x:c>
      <x:c r="I70" s="28" t="str">
        <x:v>Strong</x:v>
      </x:c>
      <x:c r="J70" s="28" t="str">
        <x:v>Builds explanation, proof, error repair or strategy review into the mathematics.</x:v>
      </x:c>
      <x:c r="K70" s="28" t="str">
        <x:v>Conditional Tree Simulator | Blank</x:v>
      </x:c>
      <x:c r="L70" s="36" t="str">
        <x:v>High; branch-by-branch</x:v>
      </x:c>
    </x:row>
    <x:row r="71" ht="62" customHeight="1">
      <x:c r="A71" s="35" t="str">
        <x:v>NEO-MATH-Y11-09</x:v>
      </x:c>
      <x:c r="B71" s="28" t="str">
        <x:v>iGCSE Year 2</x:v>
      </x:c>
      <x:c r="C71" s="28" t="str">
        <x:v>Year 11</x:v>
      </x:c>
      <x:c r="D71" s="28" t="str">
        <x:v>Proof &amp; Communication</x:v>
      </x:c>
      <x:c r="E71" s="28" t="str">
        <x:v>Exam Problems as Translation</x:v>
      </x:c>
      <x:c r="F71" s="28" t="str">
        <x:v>Can I translate an unfamiliar question into mathematics I already know?</x:v>
      </x:c>
      <x:c r="G71" s="28" t="str">
        <x:v>Reflection</x:v>
      </x:c>
      <x:c r="H71" s="28" t="str">
        <x:v>Rest, Connection</x:v>
      </x:c>
      <x:c r="I71" s="28" t="str">
        <x:v>Strong</x:v>
      </x:c>
      <x:c r="J71" s="28" t="str">
        <x:v>Builds explanation, proof, error repair or strategy review into the mathematics.</x:v>
      </x:c>
      <x:c r="K71" s="28" t="str">
        <x:v>Question Translation Highlighter | Blank</x:v>
      </x:c>
      <x:c r="L71" s="36" t="str">
        <x:v>Variable; timed mode optional</x:v>
      </x:c>
    </x:row>
    <x:row r="72" ht="62" customHeight="1">
      <x:c r="A72" s="35" t="str">
        <x:v>NEO-MATH-Y11-10</x:v>
      </x:c>
      <x:c r="B72" s="28" t="str">
        <x:v>iGCSE Year 2</x:v>
      </x:c>
      <x:c r="C72" s="28" t="str">
        <x:v>Year 11</x:v>
      </x:c>
      <x:c r="D72" s="28" t="str">
        <x:v>Modelling</x:v>
      </x:c>
      <x:c r="E72" s="28" t="str">
        <x:v>Mathematics Capstone: Solve, Explain, Evaluate</x:v>
      </x:c>
      <x:c r="F72" s="28" t="str">
        <x:v>What makes a mathematical model useful, honest and limited?</x:v>
      </x:c>
      <x:c r="G72" s="28" t="str">
        <x:v>Creativity</x:v>
      </x:c>
      <x:c r="H72" s="28" t="str">
        <x:v>Connection, Reflection</x:v>
      </x:c>
      <x:c r="I72" s="28" t="str">
        <x:v>Strong</x:v>
      </x:c>
      <x:c r="J72" s="28" t="str">
        <x:v>Invites conjecture, model-building, design or more than one valid route.</x:v>
      </x:c>
      <x:c r="K72" s="28" t="str">
        <x:v>Capstone Model Canvas | Blank / context preset</x:v>
      </x:c>
      <x:c r="L72" s="36" t="str">
        <x:v>Variable; learner-selected scope</x:v>
      </x:c>
    </x:row>
    <x:row r="73" ht="62" customHeight="1">
      <x:c r="A73" s="35" t="str">
        <x:v>NEO-MATH-FS-01</x:v>
      </x:c>
      <x:c r="B73" s="28" t="str">
        <x:v>Functional &amp; Applied Mathematics</x:v>
      </x:c>
      <x:c r="C73" s="28" t="str">
        <x:v>FS L1/L2 flexible</x:v>
      </x:c>
      <x:c r="D73" s="28" t="str">
        <x:v>Number Sense</x:v>
      </x:c>
      <x:c r="E73" s="28" t="str">
        <x:v>Everyday Number and Estimation</x:v>
      </x:c>
      <x:c r="F73" s="28" t="str">
        <x:v>How can I tell whether a real-life calculation is believable?</x:v>
      </x:c>
      <x:c r="G73" s="28" t="str">
        <x:v>Reflection</x:v>
      </x:c>
      <x:c r="H73" s="28" t="str">
        <x:v>Rest, Connection</x:v>
      </x:c>
      <x:c r="I73" s="28" t="str">
        <x:v>Strong</x:v>
      </x:c>
      <x:c r="J73" s="28" t="str">
        <x:v>Builds explanation, proof, error repair or strategy review into the mathematics.</x:v>
      </x:c>
      <x:c r="K73" s="28" t="str">
        <x:v>Real-Life Estimate Checker | Blank</x:v>
      </x:c>
      <x:c r="L73" s="36" t="str">
        <x:v>Low-Moderate</x:v>
      </x:c>
    </x:row>
    <x:row r="74" ht="62" customHeight="1">
      <x:c r="A74" s="35" t="str">
        <x:v>NEO-MATH-FS-02</x:v>
      </x:c>
      <x:c r="B74" s="28" t="str">
        <x:v>Functional &amp; Applied Mathematics</x:v>
      </x:c>
      <x:c r="C74" s="28" t="str">
        <x:v>FS L1/L2 flexible</x:v>
      </x:c>
      <x:c r="D74" s="28" t="str">
        <x:v>Financial &amp; Applied Reasoning</x:v>
      </x:c>
      <x:c r="E74" s="28" t="str">
        <x:v>Money, Discounts and Budget Choices</x:v>
      </x:c>
      <x:c r="F74" s="28" t="str">
        <x:v>When is the cheapest choice not the best decision?</x:v>
      </x:c>
      <x:c r="G74" s="28" t="str">
        <x:v>Connection</x:v>
      </x:c>
      <x:c r="H74" s="28" t="str">
        <x:v>Reflection, Nutrition contextual</x:v>
      </x:c>
      <x:c r="I74" s="28" t="str">
        <x:v>Strong</x:v>
      </x:c>
      <x:c r="J74" s="28" t="str">
        <x:v>Makes relationships, equivalence, dependency or communication explicit.</x:v>
      </x:c>
      <x:c r="K74" s="28" t="str">
        <x:v>Budget and Discount Comparator | Blank</x:v>
      </x:c>
      <x:c r="L74" s="36" t="str">
        <x:v>Moderate; context choice</x:v>
      </x:c>
    </x:row>
    <x:row r="75" ht="62" customHeight="1">
      <x:c r="A75" s="35" t="str">
        <x:v>NEO-MATH-FS-03</x:v>
      </x:c>
      <x:c r="B75" s="28" t="str">
        <x:v>Functional &amp; Applied Mathematics</x:v>
      </x:c>
      <x:c r="C75" s="28" t="str">
        <x:v>FS L1/L2 flexible</x:v>
      </x:c>
      <x:c r="D75" s="28" t="str">
        <x:v>Proportional Reasoning</x:v>
      </x:c>
      <x:c r="E75" s="28" t="str">
        <x:v>Recipes, Ratio and Direct Proportion</x:v>
      </x:c>
      <x:c r="F75" s="28" t="str">
        <x:v>How can I scale something without changing its relationship?</x:v>
      </x:c>
      <x:c r="G75" s="28" t="str">
        <x:v>Connection</x:v>
      </x:c>
      <x:c r="H75" s="28" t="str">
        <x:v>Movement, Nutrition</x:v>
      </x:c>
      <x:c r="I75" s="28" t="str">
        <x:v>Strong</x:v>
      </x:c>
      <x:c r="J75" s="28" t="str">
        <x:v>Makes relationships, equivalence, dependency or communication explicit.</x:v>
      </x:c>
      <x:c r="K75" s="28" t="str">
        <x:v>Recipe Scaler + Ratio Table Builder | Ratio table / Double number line</x:v>
      </x:c>
      <x:c r="L75" s="36" t="str">
        <x:v>Moderate</x:v>
      </x:c>
    </x:row>
    <x:row r="76" ht="62" customHeight="1">
      <x:c r="A76" s="35" t="str">
        <x:v>NEO-MATH-FS-04</x:v>
      </x:c>
      <x:c r="B76" s="28" t="str">
        <x:v>Functional &amp; Applied Mathematics</x:v>
      </x:c>
      <x:c r="C76" s="28" t="str">
        <x:v>FS L1/L2 flexible</x:v>
      </x:c>
      <x:c r="D76" s="28" t="str">
        <x:v>Financial &amp; Applied Reasoning</x:v>
      </x:c>
      <x:c r="E76" s="28" t="str">
        <x:v>Pay, Speed, Density and Real Rates</x:v>
      </x:c>
      <x:c r="F76" s="28" t="str">
        <x:v>What does ‘per’ really mean in a real decision?</x:v>
      </x:c>
      <x:c r="G76" s="28" t="str">
        <x:v>Connection</x:v>
      </x:c>
      <x:c r="H76" s="28" t="str">
        <x:v>Reflection, Movement</x:v>
      </x:c>
      <x:c r="I76" s="28" t="str">
        <x:v>Strong</x:v>
      </x:c>
      <x:c r="J76" s="28" t="str">
        <x:v>Makes relationships, equivalence, dependency or communication explicit.</x:v>
      </x:c>
      <x:c r="K76" s="28" t="str">
        <x:v>Rate Comparator | Double number line</x:v>
      </x:c>
      <x:c r="L76" s="36" t="str">
        <x:v>Moderate</x:v>
      </x:c>
    </x:row>
    <x:row r="77" ht="62" customHeight="1">
      <x:c r="A77" s="35" t="str">
        <x:v>NEO-MATH-FS-05</x:v>
      </x:c>
      <x:c r="B77" s="28" t="str">
        <x:v>Functional &amp; Applied Mathematics</x:v>
      </x:c>
      <x:c r="C77" s="28" t="str">
        <x:v>FS L1/L2 flexible</x:v>
      </x:c>
      <x:c r="D77" s="28" t="str">
        <x:v>Spatial Reasoning</x:v>
      </x:c>
      <x:c r="E77" s="28" t="str">
        <x:v>Measure, Scale and Making Things Fit</x:v>
      </x:c>
      <x:c r="F77" s="28" t="str">
        <x:v>How can a drawing help me know whether something will fit in real space?</x:v>
      </x:c>
      <x:c r="G77" s="28" t="str">
        <x:v>Creativity</x:v>
      </x:c>
      <x:c r="H77" s="28" t="str">
        <x:v>Movement, Reflection</x:v>
      </x:c>
      <x:c r="I77" s="28" t="str">
        <x:v>Strong</x:v>
      </x:c>
      <x:c r="J77" s="28" t="str">
        <x:v>Invites conjecture, model-building, design or more than one valid route.</x:v>
      </x:c>
      <x:c r="K77" s="28" t="str">
        <x:v>Fit-the-Space Planner | Square grid</x:v>
      </x:c>
      <x:c r="L77" s="36" t="str">
        <x:v>Moderate-High spatial</x:v>
      </x:c>
    </x:row>
    <x:row r="78" ht="62" customHeight="1">
      <x:c r="A78" s="35" t="str">
        <x:v>NEO-MATH-FS-06</x:v>
      </x:c>
      <x:c r="B78" s="28" t="str">
        <x:v>Functional &amp; Applied Mathematics</x:v>
      </x:c>
      <x:c r="C78" s="28" t="str">
        <x:v>FS L1/L2 flexible</x:v>
      </x:c>
      <x:c r="D78" s="28" t="str">
        <x:v>Financial &amp; Applied Reasoning</x:v>
      </x:c>
      <x:c r="E78" s="28" t="str">
        <x:v>Time, Travel and Scheduling</x:v>
      </x:c>
      <x:c r="F78" s="28" t="str">
        <x:v>Can a schedule be mathematically possible but still unrealistic?</x:v>
      </x:c>
      <x:c r="G78" s="28" t="str">
        <x:v>Reflection</x:v>
      </x:c>
      <x:c r="H78" s="28" t="str">
        <x:v>Movement, Connection</x:v>
      </x:c>
      <x:c r="I78" s="28" t="str">
        <x:v>Strong</x:v>
      </x:c>
      <x:c r="J78" s="28" t="str">
        <x:v>Builds explanation, proof, error repair or strategy review into the mathematics.</x:v>
      </x:c>
      <x:c r="K78" s="28" t="str">
        <x:v>Journey Schedule Builder | Blank</x:v>
      </x:c>
      <x:c r="L78" s="36" t="str">
        <x:v>Moderate</x:v>
      </x:c>
    </x:row>
    <x:row r="79" ht="62" customHeight="1">
      <x:c r="A79" s="35" t="str">
        <x:v>NEO-MATH-FS-07</x:v>
      </x:c>
      <x:c r="B79" s="28" t="str">
        <x:v>Functional &amp; Applied Mathematics</x:v>
      </x:c>
      <x:c r="C79" s="28" t="str">
        <x:v>FS L1/L2 flexible</x:v>
      </x:c>
      <x:c r="D79" s="28" t="str">
        <x:v>Data &amp; Uncertainty</x:v>
      </x:c>
      <x:c r="E79" s="28" t="str">
        <x:v>Charts, Averages and Claims</x:v>
      </x:c>
      <x:c r="F79" s="28" t="str">
        <x:v>Can a chart be accurate and still mislead me?</x:v>
      </x:c>
      <x:c r="G79" s="28" t="str">
        <x:v>Reflection</x:v>
      </x:c>
      <x:c r="H79" s="28" t="str">
        <x:v>Connection, Creativity</x:v>
      </x:c>
      <x:c r="I79" s="28" t="str">
        <x:v>Strong</x:v>
      </x:c>
      <x:c r="J79" s="28" t="str">
        <x:v>Builds explanation, proof, error repair or strategy review into the mathematics.</x:v>
      </x:c>
      <x:c r="K79" s="28" t="str">
        <x:v>Misleading Chart Studio | Blank</x:v>
      </x:c>
      <x:c r="L79" s="36" t="str">
        <x:v>Moderate</x:v>
      </x:c>
    </x:row>
    <x:row r="80" ht="62" customHeight="1">
      <x:c r="A80" s="35" t="str">
        <x:v>NEO-MATH-FS-08</x:v>
      </x:c>
      <x:c r="B80" s="28" t="str">
        <x:v>Functional &amp; Applied Mathematics</x:v>
      </x:c>
      <x:c r="C80" s="28" t="str">
        <x:v>FS L1/L2 flexible</x:v>
      </x:c>
      <x:c r="D80" s="28" t="str">
        <x:v>Data &amp; Uncertainty</x:v>
      </x:c>
      <x:c r="E80" s="28" t="str">
        <x:v>Probability, Risk and Everyday Decisions</x:v>
      </x:c>
      <x:c r="F80" s="28" t="str">
        <x:v>How should I talk about a risk when nothing is guaranteed?</x:v>
      </x:c>
      <x:c r="G80" s="28" t="str">
        <x:v>Reflection</x:v>
      </x:c>
      <x:c r="H80" s="28" t="str">
        <x:v>Connection, Rest</x:v>
      </x:c>
      <x:c r="I80" s="28" t="str">
        <x:v>Strong</x:v>
      </x:c>
      <x:c r="J80" s="28" t="str">
        <x:v>Builds explanation, proof, error repair or strategy review into the mathematics.</x:v>
      </x:c>
      <x:c r="K80" s="28" t="str">
        <x:v>Risk Language and Probability Simulator | Blank</x:v>
      </x:c>
      <x:c r="L80" s="36" t="str">
        <x:v>Moderate; uncertainty normalised</x:v>
      </x:c>
    </x:row>
    <x:row r="81" ht="62" customHeight="1">
      <x:c r="A81" s="35" t="str">
        <x:v>NEO-MATH-FS-09</x:v>
      </x:c>
      <x:c r="B81" s="28" t="str">
        <x:v>Functional &amp; Applied Mathematics</x:v>
      </x:c>
      <x:c r="C81" s="28" t="str">
        <x:v>FS L1/L2 flexible</x:v>
      </x:c>
      <x:c r="D81" s="28" t="str">
        <x:v>Modelling</x:v>
      </x:c>
      <x:c r="E81" s="28" t="str">
        <x:v>Applied Decision Project</x:v>
      </x:c>
      <x:c r="F81" s="28" t="str">
        <x:v>Can I turn a messy real situation into a clear mathematical decision?</x:v>
      </x:c>
      <x:c r="G81" s="28" t="str">
        <x:v>Creativity</x:v>
      </x:c>
      <x:c r="H81" s="28" t="str">
        <x:v>Connection, Reflection</x:v>
      </x:c>
      <x:c r="I81" s="28" t="str">
        <x:v>Strong</x:v>
      </x:c>
      <x:c r="J81" s="28" t="str">
        <x:v>Invites conjecture, model-building, design or more than one valid route.</x:v>
      </x:c>
      <x:c r="K81" s="28" t="str">
        <x:v>Applied Decision Canvas | Blank</x:v>
      </x:c>
      <x:c r="L81" s="36" t="str">
        <x:v>Variable; context choice</x:v>
      </x:c>
    </x:row>
    <x:row r="82" ht="62" customHeight="1">
      <x:c r="A82" s="37" t="str">
        <x:v>NEO-MATH-FS-10</x:v>
      </x:c>
      <x:c r="B82" s="38" t="str">
        <x:v>Functional &amp; Applied Mathematics</x:v>
      </x:c>
      <x:c r="C82" s="38" t="str">
        <x:v>FS L1/L2 flexible</x:v>
      </x:c>
      <x:c r="D82" s="38" t="str">
        <x:v>Self-Regulated Mathematical Learning</x:v>
      </x:c>
      <x:c r="E82" s="38" t="str">
        <x:v>Functional Skills Assessment Navigation</x:v>
      </x:c>
      <x:c r="F82" s="38" t="str">
        <x:v>How can I stay oriented when a problem has several steps and lots of words?</x:v>
      </x:c>
      <x:c r="G82" s="38" t="str">
        <x:v>Rest</x:v>
      </x:c>
      <x:c r="H82" s="38" t="str">
        <x:v>Reflection, Connection</x:v>
      </x:c>
      <x:c r="I82" s="38" t="str">
        <x:v>Strong</x:v>
      </x:c>
      <x:c r="J82" s="38" t="str">
        <x:v>Uses chunking, consolidation, low-stakes retrieval or the mathematics of zero/space.</x:v>
      </x:c>
      <x:c r="K82" s="38" t="str">
        <x:v>Problem Step Mapper | Blank</x:v>
      </x:c>
      <x:c r="L82" s="39" t="str">
        <x:v>Moderate; chunked text and step reveal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284a67b95ef49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6" hidden="0" customWidth="1"/>
    <x:col min="4" max="4" width="32" hidden="0" customWidth="1"/>
    <x:col min="5" max="5" width="38" hidden="0" customWidth="1"/>
    <x:col min="6" max="6" width="34" hidden="0" customWidth="1"/>
    <x:col min="7" max="7" width="58" hidden="0" customWidth="1"/>
    <x:col min="8" max="8" width="24" hidden="0" customWidth="1"/>
    <x:col min="9" max="9" width="34" hidden="0" customWidth="1"/>
    <x:col min="10" max="10" width="24" hidden="0" customWidth="1"/>
    <x:col min="11" max="11" width="20" hidden="0" customWidth="1"/>
    <x:col min="12" max="12" width="42" hidden="0" customWidth="1"/>
  </x:cols>
  <x:sheetData>
    <x:row r="1">
      <x:c r="A1" s="5" t="str">
        <x:v>Interactive Inquiry Tool Build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Every tool should support inquiry rather than merely display content. Preferred rhythm: Predict → Sketch → Test → Notice → Revise.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32" t="str">
        <x:v>Tool ID</x:v>
      </x:c>
      <x:c r="B4" s="33" t="str">
        <x:v>Unit ID</x:v>
      </x:c>
      <x:c r="C4" s="33" t="str">
        <x:v>Pathway</x:v>
      </x:c>
      <x:c r="D4" s="33" t="str">
        <x:v>Unit Title</x:v>
      </x:c>
      <x:c r="E4" s="33" t="str">
        <x:v>Interactive Inquiry Tool</x:v>
      </x:c>
      <x:c r="F4" s="33" t="str">
        <x:v>Inquiry Move</x:v>
      </x:c>
      <x:c r="G4" s="33" t="str">
        <x:v>Core Learner Actions</x:v>
      </x:c>
      <x:c r="H4" s="33" t="str">
        <x:v>Scratchpad Preset</x:v>
      </x:c>
      <x:c r="I4" s="33" t="str">
        <x:v>Suggested Contextual Button</x:v>
      </x:c>
      <x:c r="J4" s="33" t="str">
        <x:v>Reusable Tool Family</x:v>
      </x:c>
      <x:c r="K4" s="33" t="str">
        <x:v>Tool Status</x:v>
      </x:c>
      <x:c r="L4" s="34" t="str">
        <x:v>Build Note</x:v>
      </x:c>
    </x:row>
    <x:row r="5" ht="62" customHeight="1">
      <x:c r="A5" s="35" t="str">
        <x:v>TOOL-001</x:v>
      </x:c>
      <x:c r="B5" s="28" t="str">
        <x:v>NEO-MATH-DISC-01</x:v>
      </x:c>
      <x:c r="C5" s="28" t="str">
        <x:v>Discovery / Reconnection</x:v>
      </x:c>
      <x:c r="D5" s="28" t="str">
        <x:v>Finding My Maths Starting Point</x:v>
      </x:c>
      <x:c r="E5" s="28" t="str">
        <x:v>Maths Route Finder: visual, numerical and contextual mini-challenges</x:v>
      </x:c>
      <x:c r="F5" s="28" t="str">
        <x:v>Predict → Sketch → Test → Notice → Revise</x:v>
      </x:c>
      <x:c r="G5" s="28" t="str">
        <x:v>Change values; make a prediction; test; compare representations; explain what changed and what stayed the same.</x:v>
      </x:c>
      <x:c r="H5" s="28" t="str">
        <x:v>Blank / Square grid</x:v>
      </x:c>
      <x:c r="I5" s="28" t="str">
        <x:v>✏️ Open Maths Scratchpad</x:v>
      </x:c>
      <x:c r="J5" s="28" t="str">
        <x:v>Navigation Tool</x:v>
      </x:c>
      <x:c r="K5" s="28" t="str">
        <x:v>Designed</x:v>
      </x:c>
      <x:c r="L5" s="36" t="str">
        <x:v>Keep all core interaction in-page; no external URL required.</x:v>
      </x:c>
    </x:row>
    <x:row r="6" ht="62" customHeight="1">
      <x:c r="A6" s="35" t="str">
        <x:v>TOOL-002</x:v>
      </x:c>
      <x:c r="B6" s="28" t="str">
        <x:v>NEO-MATH-DISC-02</x:v>
      </x:c>
      <x:c r="C6" s="28" t="str">
        <x:v>Discovery / Reconnection</x:v>
      </x:c>
      <x:c r="D6" s="28" t="str">
        <x:v>Numbers I Can Trust</x:v>
      </x:c>
      <x:c r="E6" s="28" t="str">
        <x:v>Place-Value Magnifier and Number Line Zoom</x:v>
      </x:c>
      <x:c r="F6" s="28" t="str">
        <x:v>Predict → Sketch → Test → Notice → Revise</x:v>
      </x:c>
      <x:c r="G6" s="28" t="str">
        <x:v>Change values; make a prediction; test; compare representations; explain what changed and what stayed the same.</x:v>
      </x:c>
      <x:c r="H6" s="28" t="str">
        <x:v>Square grid</x:v>
      </x:c>
      <x:c r="I6" s="28" t="str">
        <x:v>✏️ Open Maths Scratchpad</x:v>
      </x:c>
      <x:c r="J6" s="28" t="str">
        <x:v>Number Explorer</x:v>
      </x:c>
      <x:c r="K6" s="28" t="str">
        <x:v>Planned</x:v>
      </x:c>
      <x:c r="L6" s="36" t="str">
        <x:v>Keep all core interaction in-page; no external URL required.</x:v>
      </x:c>
    </x:row>
    <x:row r="7" ht="62" customHeight="1">
      <x:c r="A7" s="35" t="str">
        <x:v>TOOL-003</x:v>
      </x:c>
      <x:c r="B7" s="28" t="str">
        <x:v>NEO-MATH-DISC-03</x:v>
      </x:c>
      <x:c r="C7" s="28" t="str">
        <x:v>Discovery / Reconnection</x:v>
      </x:c>
      <x:c r="D7" s="28" t="str">
        <x:v>Operations as Choices</x:v>
      </x:c>
      <x:c r="E7" s="28" t="str">
        <x:v>Strategy Switcher: compare mental, written and calculator routes</x:v>
      </x:c>
      <x:c r="F7" s="28" t="str">
        <x:v>Predict → Sketch → Test → Notice → Revise</x:v>
      </x:c>
      <x:c r="G7" s="28" t="str">
        <x:v>Change values; make a prediction; test; compare representations; explain what changed and what stayed the same.</x:v>
      </x:c>
      <x:c r="H7" s="28" t="str">
        <x:v>Blank</x:v>
      </x:c>
      <x:c r="I7" s="28" t="str">
        <x:v>✏️ Open Maths Scratchpad</x:v>
      </x:c>
      <x:c r="J7" s="28" t="str">
        <x:v>Number Explorer</x:v>
      </x:c>
      <x:c r="K7" s="28" t="str">
        <x:v>Planned</x:v>
      </x:c>
      <x:c r="L7" s="36" t="str">
        <x:v>Keep all core interaction in-page; no external URL required.</x:v>
      </x:c>
    </x:row>
    <x:row r="8" ht="62" customHeight="1">
      <x:c r="A8" s="35" t="str">
        <x:v>TOOL-004</x:v>
      </x:c>
      <x:c r="B8" s="28" t="str">
        <x:v>NEO-MATH-DISC-04</x:v>
      </x:c>
      <x:c r="C8" s="28" t="str">
        <x:v>Discovery / Reconnection</x:v>
      </x:c>
      <x:c r="D8" s="28" t="str">
        <x:v>Fractions, Decimals and Percentages as One Family</x:v>
      </x:c>
      <x:c r="E8" s="28" t="str">
        <x:v>FDP Representation Carousel</x:v>
      </x:c>
      <x:c r="F8" s="28" t="str">
        <x:v>Predict → Sketch → Test → Notice → Revise</x:v>
      </x:c>
      <x:c r="G8" s="28" t="str">
        <x:v>Change values; make a prediction; test; compare representations; explain what changed and what stayed the same.</x:v>
      </x:c>
      <x:c r="H8" s="28" t="str">
        <x:v>Double number line</x:v>
      </x:c>
      <x:c r="I8" s="28" t="str">
        <x:v>✏️ Show the multiplier / relationship</x:v>
      </x:c>
      <x:c r="J8" s="28" t="str">
        <x:v>Scaling Lab</x:v>
      </x:c>
      <x:c r="K8" s="28" t="str">
        <x:v>Planned</x:v>
      </x:c>
      <x:c r="L8" s="36" t="str">
        <x:v>Keep all core interaction in-page; no external URL required.</x:v>
      </x:c>
    </x:row>
    <x:row r="9" ht="62" customHeight="1">
      <x:c r="A9" s="35" t="str">
        <x:v>TOOL-005</x:v>
      </x:c>
      <x:c r="B9" s="28" t="str">
        <x:v>NEO-MATH-DISC-05</x:v>
      </x:c>
      <x:c r="C9" s="28" t="str">
        <x:v>Discovery / Reconnection</x:v>
      </x:c>
      <x:c r="D9" s="28" t="str">
        <x:v>Patterns Before Letters</x:v>
      </x:c>
      <x:c r="E9" s="28" t="str">
        <x:v>Pattern Machine and Rule Builder</x:v>
      </x:c>
      <x:c r="F9" s="28" t="str">
        <x:v>Predict → Sketch → Test → Notice → Revise</x:v>
      </x:c>
      <x:c r="G9" s="28" t="str">
        <x:v>Vary one element; notice invariance; conjecture a rule; test examples and repair a misconception.</x:v>
      </x:c>
      <x:c r="H9" s="28" t="str">
        <x:v>Square grid</x:v>
      </x:c>
      <x:c r="I9" s="28" t="str">
        <x:v>✏️ Open Maths Scratchpad</x:v>
      </x:c>
      <x:c r="J9" s="28" t="str">
        <x:v>Structure Lab</x:v>
      </x:c>
      <x:c r="K9" s="28" t="str">
        <x:v>Planned</x:v>
      </x:c>
      <x:c r="L9" s="36" t="str">
        <x:v>Keep all core interaction in-page; no external URL required.</x:v>
      </x:c>
    </x:row>
    <x:row r="10" ht="62" customHeight="1">
      <x:c r="A10" s="35" t="str">
        <x:v>TOOL-006</x:v>
      </x:c>
      <x:c r="B10" s="28" t="str">
        <x:v>NEO-MATH-DISC-06</x:v>
      </x:c>
      <x:c r="C10" s="28" t="str">
        <x:v>Discovery / Reconnection</x:v>
      </x:c>
      <x:c r="D10" s="28" t="str">
        <x:v>Shape, Space and Measure Around Me</x:v>
      </x:c>
      <x:c r="E10" s="28" t="str">
        <x:v>Room Geometry Explorer</x:v>
      </x:c>
      <x:c r="F10" s="28" t="str">
        <x:v>Predict → Sketch → Test → Notice → Revise</x:v>
      </x:c>
      <x:c r="G10" s="28" t="str">
        <x:v>Manipulate a diagram or constraint; sketch first; test a construction or measure; annotate the relationship.</x:v>
      </x:c>
      <x:c r="H10" s="28" t="str">
        <x:v>Square grid</x:v>
      </x:c>
      <x:c r="I10" s="28" t="str">
        <x:v>✏️ Open Maths Scratchpad</x:v>
      </x:c>
      <x:c r="J10" s="28" t="str">
        <x:v>Geometry Studio</x:v>
      </x:c>
      <x:c r="K10" s="28" t="str">
        <x:v>Planned</x:v>
      </x:c>
      <x:c r="L10" s="36" t="str">
        <x:v>Keep all core interaction in-page; no external URL required.</x:v>
      </x:c>
    </x:row>
    <x:row r="11" ht="62" customHeight="1">
      <x:c r="A11" s="35" t="str">
        <x:v>TOOL-007</x:v>
      </x:c>
      <x:c r="B11" s="28" t="str">
        <x:v>NEO-MATH-DISC-07</x:v>
      </x:c>
      <x:c r="C11" s="28" t="str">
        <x:v>Discovery / Reconnection</x:v>
      </x:c>
      <x:c r="D11" s="28" t="str">
        <x:v>What Can Data Really Tell Me?</x:v>
      </x:c>
      <x:c r="E11" s="28" t="str">
        <x:v>Claim–Evidence Data Detective</x:v>
      </x:c>
      <x:c r="F11" s="28" t="str">
        <x:v>Predict → Sketch → Test → Notice → Revise</x:v>
      </x:c>
      <x:c r="G11" s="28" t="str">
        <x:v>Inspect a claim or data display; change a condition; compare evidence; record a conclusion and caveat.</x:v>
      </x:c>
      <x:c r="H11" s="28" t="str">
        <x:v>Blank</x:v>
      </x:c>
      <x:c r="I11" s="28" t="str">
        <x:v>✏️ Open Maths Scratchpad</x:v>
      </x:c>
      <x:c r="J11" s="28" t="str">
        <x:v>Evidence Lab</x:v>
      </x:c>
      <x:c r="K11" s="28" t="str">
        <x:v>Planned</x:v>
      </x:c>
      <x:c r="L11" s="36" t="str">
        <x:v>Keep all core interaction in-page; no external URL required.</x:v>
      </x:c>
    </x:row>
    <x:row r="12" ht="62" customHeight="1">
      <x:c r="A12" s="35" t="str">
        <x:v>TOOL-008</x:v>
      </x:c>
      <x:c r="B12" s="28" t="str">
        <x:v>NEO-MATH-DISC-08</x:v>
      </x:c>
      <x:c r="C12" s="28" t="str">
        <x:v>Discovery / Reconnection</x:v>
      </x:c>
      <x:c r="D12" s="28" t="str">
        <x:v>Maths for a Real Decision</x:v>
      </x:c>
      <x:c r="E12" s="28" t="str">
        <x:v>Decision Model Builder</x:v>
      </x:c>
      <x:c r="F12" s="28" t="str">
        <x:v>Predict → Sketch → Test → Notice → Revise</x:v>
      </x:c>
      <x:c r="G12" s="28" t="str">
        <x:v>Enter realistic values; compare options; calculate; test assumptions; explain a recommendation.</x:v>
      </x:c>
      <x:c r="H12" s="28" t="str">
        <x:v>Blank</x:v>
      </x:c>
      <x:c r="I12" s="28" t="str">
        <x:v>✏️ Open Maths Scratchpad</x:v>
      </x:c>
      <x:c r="J12" s="28" t="str">
        <x:v>Decision Lab</x:v>
      </x:c>
      <x:c r="K12" s="28" t="str">
        <x:v>Planned</x:v>
      </x:c>
      <x:c r="L12" s="36" t="str">
        <x:v>Keep all core interaction in-page; no external URL required.</x:v>
      </x:c>
    </x:row>
    <x:row r="13" ht="62" customHeight="1">
      <x:c r="A13" s="35" t="str">
        <x:v>TOOL-009</x:v>
      </x:c>
      <x:c r="B13" s="28" t="str">
        <x:v>NEO-MATH-Y7-01</x:v>
      </x:c>
      <x:c r="C13" s="28" t="str">
        <x:v>Year 7 Foundations</x:v>
      </x:c>
      <x:c r="D13" s="28" t="str">
        <x:v>How Much Is a Digit Worth?</x:v>
      </x:c>
      <x:c r="E13" s="28" t="str">
        <x:v>Place-Value Magnifier + Digit Detective</x:v>
      </x:c>
      <x:c r="F13" s="28" t="str">
        <x:v>Predict → Sketch → Test → Notice → Revise</x:v>
      </x:c>
      <x:c r="G13" s="28" t="str">
        <x:v>Change values; make a prediction; test; compare representations; explain what changed and what stayed the same.</x:v>
      </x:c>
      <x:c r="H13" s="28" t="str">
        <x:v>Square grid</x:v>
      </x:c>
      <x:c r="I13" s="28" t="str">
        <x:v>✏️ Open Maths Scratchpad</x:v>
      </x:c>
      <x:c r="J13" s="28" t="str">
        <x:v>Number Explorer</x:v>
      </x:c>
      <x:c r="K13" s="28" t="str">
        <x:v>Planned</x:v>
      </x:c>
      <x:c r="L13" s="36" t="str">
        <x:v>Keep all core interaction in-page; no external URL required.</x:v>
      </x:c>
    </x:row>
    <x:row r="14" ht="62" customHeight="1">
      <x:c r="A14" s="35" t="str">
        <x:v>TOOL-010</x:v>
      </x:c>
      <x:c r="B14" s="28" t="str">
        <x:v>NEO-MATH-Y7-02</x:v>
      </x:c>
      <x:c r="C14" s="28" t="str">
        <x:v>Year 7 Foundations</x:v>
      </x:c>
      <x:c r="D14" s="28" t="str">
        <x:v>Calculations That Make Sense</x:v>
      </x:c>
      <x:c r="E14" s="28" t="str">
        <x:v>Estimate–Calculate–Check Lab</x:v>
      </x:c>
      <x:c r="F14" s="28" t="str">
        <x:v>Predict → Sketch → Test → Notice → Revise</x:v>
      </x:c>
      <x:c r="G14" s="28" t="str">
        <x:v>Change values; make a prediction; test; compare representations; explain what changed and what stayed the same.</x:v>
      </x:c>
      <x:c r="H14" s="28" t="str">
        <x:v>Blank</x:v>
      </x:c>
      <x:c r="I14" s="28" t="str">
        <x:v>✏️ Open Maths Scratchpad</x:v>
      </x:c>
      <x:c r="J14" s="28" t="str">
        <x:v>Number Explorer</x:v>
      </x:c>
      <x:c r="K14" s="28" t="str">
        <x:v>Planned</x:v>
      </x:c>
      <x:c r="L14" s="36" t="str">
        <x:v>Keep all core interaction in-page; no external URL required.</x:v>
      </x:c>
    </x:row>
    <x:row r="15" ht="62" customHeight="1">
      <x:c r="A15" s="35" t="str">
        <x:v>TOOL-011</x:v>
      </x:c>
      <x:c r="B15" s="28" t="str">
        <x:v>NEO-MATH-Y7-03</x:v>
      </x:c>
      <x:c r="C15" s="28" t="str">
        <x:v>Year 7 Foundations</x:v>
      </x:c>
      <x:c r="D15" s="28" t="str">
        <x:v>Patterns, Factors and Hidden Structure</x:v>
      </x:c>
      <x:c r="E15" s="28" t="str">
        <x:v>Factor Web + Pattern Lock Builder</x:v>
      </x:c>
      <x:c r="F15" s="28" t="str">
        <x:v>Predict → Sketch → Test → Notice → Revise</x:v>
      </x:c>
      <x:c r="G15" s="28" t="str">
        <x:v>Vary one element; notice invariance; conjecture a rule; test examples and repair a misconception.</x:v>
      </x:c>
      <x:c r="H15" s="28" t="str">
        <x:v>Square grid</x:v>
      </x:c>
      <x:c r="I15" s="28" t="str">
        <x:v>✏️ Open Maths Scratchpad</x:v>
      </x:c>
      <x:c r="J15" s="28" t="str">
        <x:v>Structure Lab</x:v>
      </x:c>
      <x:c r="K15" s="28" t="str">
        <x:v>Planned</x:v>
      </x:c>
      <x:c r="L15" s="36" t="str">
        <x:v>Keep all core interaction in-page; no external URL required.</x:v>
      </x:c>
    </x:row>
    <x:row r="16" ht="62" customHeight="1">
      <x:c r="A16" s="35" t="str">
        <x:v>TOOL-012</x:v>
      </x:c>
      <x:c r="B16" s="28" t="str">
        <x:v>NEO-MATH-Y7-04</x:v>
      </x:c>
      <x:c r="C16" s="28" t="str">
        <x:v>Year 7 Foundations</x:v>
      </x:c>
      <x:c r="D16" s="28" t="str">
        <x:v>One Amount, Three Languages</x:v>
      </x:c>
      <x:c r="E16" s="28" t="str">
        <x:v>FDP Converter with Bar/Line Toggle</x:v>
      </x:c>
      <x:c r="F16" s="28" t="str">
        <x:v>Predict → Sketch → Test → Notice → Revise</x:v>
      </x:c>
      <x:c r="G16" s="28" t="str">
        <x:v>Change values; make a prediction; test; compare representations; explain what changed and what stayed the same.</x:v>
      </x:c>
      <x:c r="H16" s="28" t="str">
        <x:v>Double number line</x:v>
      </x:c>
      <x:c r="I16" s="28" t="str">
        <x:v>✏️ Show the multiplier / relationship</x:v>
      </x:c>
      <x:c r="J16" s="28" t="str">
        <x:v>Scaling Lab</x:v>
      </x:c>
      <x:c r="K16" s="28" t="str">
        <x:v>Planned</x:v>
      </x:c>
      <x:c r="L16" s="36" t="str">
        <x:v>Keep all core interaction in-page; no external URL required.</x:v>
      </x:c>
    </x:row>
    <x:row r="17" ht="62" customHeight="1">
      <x:c r="A17" s="35" t="str">
        <x:v>TOOL-013</x:v>
      </x:c>
      <x:c r="B17" s="28" t="str">
        <x:v>NEO-MATH-Y7-05</x:v>
      </x:c>
      <x:c r="C17" s="28" t="str">
        <x:v>Year 7 Foundations</x:v>
      </x:c>
      <x:c r="D17" s="28" t="str">
        <x:v>Angles Tell Us Why</x:v>
      </x:c>
      <x:c r="E17" s="28" t="str">
        <x:v>Angle Constraint Explorer</x:v>
      </x:c>
      <x:c r="F17" s="28" t="str">
        <x:v>Predict → Sketch → Test → Notice → Revise</x:v>
      </x:c>
      <x:c r="G17" s="28" t="str">
        <x:v>Manipulate a diagram or constraint; sketch first; test a construction or measure; annotate the relationship.</x:v>
      </x:c>
      <x:c r="H17" s="28" t="str">
        <x:v>Square grid</x:v>
      </x:c>
      <x:c r="I17" s="28" t="str">
        <x:v>✏️ Open Maths Scratchpad</x:v>
      </x:c>
      <x:c r="J17" s="28" t="str">
        <x:v>Geometry Studio</x:v>
      </x:c>
      <x:c r="K17" s="28" t="str">
        <x:v>Planned</x:v>
      </x:c>
      <x:c r="L17" s="36" t="str">
        <x:v>Keep all core interaction in-page; no external URL required.</x:v>
      </x:c>
    </x:row>
    <x:row r="18" ht="62" customHeight="1">
      <x:c r="A18" s="35" t="str">
        <x:v>TOOL-014</x:v>
      </x:c>
      <x:c r="B18" s="28" t="str">
        <x:v>NEO-MATH-Y7-06</x:v>
      </x:c>
      <x:c r="C18" s="28" t="str">
        <x:v>Year 7 Foundations</x:v>
      </x:c>
      <x:c r="D18" s="28" t="str">
        <x:v>Perimeter and Area: Same Shape Story?</x:v>
      </x:c>
      <x:c r="E18" s="28" t="str">
        <x:v>Fixed-Perimeter Shape Designer</x:v>
      </x:c>
      <x:c r="F18" s="28" t="str">
        <x:v>Predict → Sketch → Test → Notice → Revise</x:v>
      </x:c>
      <x:c r="G18" s="28" t="str">
        <x:v>Manipulate a diagram or constraint; sketch first; test a construction or measure; annotate the relationship.</x:v>
      </x:c>
      <x:c r="H18" s="28" t="str">
        <x:v>Square grid</x:v>
      </x:c>
      <x:c r="I18" s="28" t="str">
        <x:v>✏️ Open Maths Scratchpad</x:v>
      </x:c>
      <x:c r="J18" s="28" t="str">
        <x:v>Geometry Studio</x:v>
      </x:c>
      <x:c r="K18" s="28" t="str">
        <x:v>Planned</x:v>
      </x:c>
      <x:c r="L18" s="36" t="str">
        <x:v>Keep all core interaction in-page; no external URL required.</x:v>
      </x:c>
    </x:row>
    <x:row r="19" ht="62" customHeight="1">
      <x:c r="A19" s="35" t="str">
        <x:v>TOOL-015</x:v>
      </x:c>
      <x:c r="B19" s="28" t="str">
        <x:v>NEO-MATH-Y7-07</x:v>
      </x:c>
      <x:c r="C19" s="28" t="str">
        <x:v>Year 7 Foundations</x:v>
      </x:c>
      <x:c r="D19" s="28" t="str">
        <x:v>Relationships That Scale</x:v>
      </x:c>
      <x:c r="E19" s="28" t="str">
        <x:v>Recipe Scaler + Ratio Table Builder</x:v>
      </x:c>
      <x:c r="F19" s="28" t="str">
        <x:v>Predict → Sketch → Test → Notice → Revise</x:v>
      </x:c>
      <x:c r="G19" s="28" t="str">
        <x:v>Change values; make a prediction; test; compare representations; explain what changed and what stayed the same.</x:v>
      </x:c>
      <x:c r="H19" s="28" t="str">
        <x:v>Ratio table / Double number line</x:v>
      </x:c>
      <x:c r="I19" s="28" t="str">
        <x:v>✏️ Show the multiplier / relationship</x:v>
      </x:c>
      <x:c r="J19" s="28" t="str">
        <x:v>Scaling Lab</x:v>
      </x:c>
      <x:c r="K19" s="28" t="str">
        <x:v>Locked prototype</x:v>
      </x:c>
      <x:c r="L19" s="36" t="str">
        <x:v>Keep all core interaction in-page; no external URL required.</x:v>
      </x:c>
    </x:row>
    <x:row r="20" ht="62" customHeight="1">
      <x:c r="A20" s="35" t="str">
        <x:v>TOOL-016</x:v>
      </x:c>
      <x:c r="B20" s="28" t="str">
        <x:v>NEO-MATH-Y7-08</x:v>
      </x:c>
      <x:c r="C20" s="28" t="str">
        <x:v>Year 7 Foundations</x:v>
      </x:c>
      <x:c r="D20" s="28" t="str">
        <x:v>Coordinates and Moves</x:v>
      </x:c>
      <x:c r="E20" s="28" t="str">
        <x:v>Coordinate Move Studio</x:v>
      </x:c>
      <x:c r="F20" s="28" t="str">
        <x:v>Predict → Sketch → Test → Notice → Revise</x:v>
      </x:c>
      <x:c r="G20" s="28" t="str">
        <x:v>Change values; make a prediction; test; compare representations; explain what changed and what stayed the same.</x:v>
      </x:c>
      <x:c r="H20" s="28" t="str">
        <x:v>Coordinate grid</x:v>
      </x:c>
      <x:c r="I20" s="28" t="str">
        <x:v>✏️ Sketch a prediction</x:v>
      </x:c>
      <x:c r="J20" s="28" t="str">
        <x:v>Dynamic Graph Lab</x:v>
      </x:c>
      <x:c r="K20" s="28" t="str">
        <x:v>Planned</x:v>
      </x:c>
      <x:c r="L20" s="36" t="str">
        <x:v>Keep all core interaction in-page; no external URL required.</x:v>
      </x:c>
    </x:row>
    <x:row r="21" ht="62" customHeight="1">
      <x:c r="A21" s="35" t="str">
        <x:v>TOOL-017</x:v>
      </x:c>
      <x:c r="B21" s="28" t="str">
        <x:v>NEO-MATH-Y7-09</x:v>
      </x:c>
      <x:c r="C21" s="28" t="str">
        <x:v>Year 7 Foundations</x:v>
      </x:c>
      <x:c r="D21" s="28" t="str">
        <x:v>Averages and Fair Shares</x:v>
      </x:c>
      <x:c r="E21" s="28" t="str">
        <x:v>Average as Fair-Share Simulator</x:v>
      </x:c>
      <x:c r="F21" s="28" t="str">
        <x:v>Predict → Sketch → Test → Notice → Revise</x:v>
      </x:c>
      <x:c r="G21" s="28" t="str">
        <x:v>Inspect a claim or data display; change a condition; compare evidence; record a conclusion and caveat.</x:v>
      </x:c>
      <x:c r="H21" s="28" t="str">
        <x:v>Blank / Square grid</x:v>
      </x:c>
      <x:c r="I21" s="28" t="str">
        <x:v>✏️ Open Maths Scratchpad</x:v>
      </x:c>
      <x:c r="J21" s="28" t="str">
        <x:v>Evidence Lab</x:v>
      </x:c>
      <x:c r="K21" s="28" t="str">
        <x:v>Planned</x:v>
      </x:c>
      <x:c r="L21" s="36" t="str">
        <x:v>Keep all core interaction in-page; no external URL required.</x:v>
      </x:c>
    </x:row>
    <x:row r="22" ht="62" customHeight="1">
      <x:c r="A22" s="35" t="str">
        <x:v>TOOL-018</x:v>
      </x:c>
      <x:c r="B22" s="28" t="str">
        <x:v>NEO-MATH-Y7-10</x:v>
      </x:c>
      <x:c r="C22" s="28" t="str">
        <x:v>Year 7 Foundations</x:v>
      </x:c>
      <x:c r="D22" s="28" t="str">
        <x:v>Chance, Experiments and Fairness</x:v>
      </x:c>
      <x:c r="E22" s="28" t="str">
        <x:v>Probability Experiment Simulator</x:v>
      </x:c>
      <x:c r="F22" s="28" t="str">
        <x:v>Predict → Sketch → Test → Notice → Revise</x:v>
      </x:c>
      <x:c r="G22" s="28" t="str">
        <x:v>Inspect a claim or data display; change a condition; compare evidence; record a conclusion and caveat.</x:v>
      </x:c>
      <x:c r="H22" s="28" t="str">
        <x:v>Blank</x:v>
      </x:c>
      <x:c r="I22" s="28" t="str">
        <x:v>✏️ Open Maths Scratchpad</x:v>
      </x:c>
      <x:c r="J22" s="28" t="str">
        <x:v>Evidence Lab</x:v>
      </x:c>
      <x:c r="K22" s="28" t="str">
        <x:v>Planned</x:v>
      </x:c>
      <x:c r="L22" s="36" t="str">
        <x:v>Keep all core interaction in-page; no external URL required.</x:v>
      </x:c>
    </x:row>
    <x:row r="23" ht="62" customHeight="1">
      <x:c r="A23" s="35" t="str">
        <x:v>TOOL-019</x:v>
      </x:c>
      <x:c r="B23" s="28" t="str">
        <x:v>NEO-MATH-Y8-01</x:v>
      </x:c>
      <x:c r="C23" s="28" t="str">
        <x:v>Year 8 Connections</x:v>
      </x:c>
      <x:c r="D23" s="28" t="str">
        <x:v>Percent Change and the Story of Growth</x:v>
      </x:c>
      <x:c r="E23" s="28" t="str">
        <x:v>Percentage Change Journey</x:v>
      </x:c>
      <x:c r="F23" s="28" t="str">
        <x:v>Predict → Sketch → Test → Notice → Revise</x:v>
      </x:c>
      <x:c r="G23" s="28" t="str">
        <x:v>Change values; make a prediction; test; compare representations; explain what changed and what stayed the same.</x:v>
      </x:c>
      <x:c r="H23" s="28" t="str">
        <x:v>Double number line</x:v>
      </x:c>
      <x:c r="I23" s="28" t="str">
        <x:v>✏️ Show the multiplier / relationship</x:v>
      </x:c>
      <x:c r="J23" s="28" t="str">
        <x:v>Number Explorer</x:v>
      </x:c>
      <x:c r="K23" s="28" t="str">
        <x:v>Planned</x:v>
      </x:c>
      <x:c r="L23" s="36" t="str">
        <x:v>Keep all core interaction in-page; no external URL required.</x:v>
      </x:c>
    </x:row>
    <x:row r="24" ht="62" customHeight="1">
      <x:c r="A24" s="35" t="str">
        <x:v>TOOL-020</x:v>
      </x:c>
      <x:c r="B24" s="28" t="str">
        <x:v>NEO-MATH-Y8-02</x:v>
      </x:c>
      <x:c r="C24" s="28" t="str">
        <x:v>Year 8 Connections</x:v>
      </x:c>
      <x:c r="D24" s="28" t="str">
        <x:v>Algebra as a Language of Structure</x:v>
      </x:c>
      <x:c r="E24" s="28" t="str">
        <x:v>Expression Equivalence Lab</x:v>
      </x:c>
      <x:c r="F24" s="28" t="str">
        <x:v>Predict → Sketch → Test → Notice → Revise</x:v>
      </x:c>
      <x:c r="G24" s="28" t="str">
        <x:v>Vary one element; notice invariance; conjecture a rule; test examples and repair a misconception.</x:v>
      </x:c>
      <x:c r="H24" s="28" t="str">
        <x:v>Blank</x:v>
      </x:c>
      <x:c r="I24" s="28" t="str">
        <x:v>✏️ Open Maths Scratchpad</x:v>
      </x:c>
      <x:c r="J24" s="28" t="str">
        <x:v>Structure Lab</x:v>
      </x:c>
      <x:c r="K24" s="28" t="str">
        <x:v>Planned</x:v>
      </x:c>
      <x:c r="L24" s="36" t="str">
        <x:v>Keep all core interaction in-page; no external URL required.</x:v>
      </x:c>
    </x:row>
    <x:row r="25" ht="62" customHeight="1">
      <x:c r="A25" s="35" t="str">
        <x:v>TOOL-021</x:v>
      </x:c>
      <x:c r="B25" s="28" t="str">
        <x:v>NEO-MATH-Y8-03</x:v>
      </x:c>
      <x:c r="C25" s="28" t="str">
        <x:v>Year 8 Connections</x:v>
      </x:c>
      <x:c r="D25" s="28" t="str">
        <x:v>Equations: Keeping a Relationship in Balance</x:v>
      </x:c>
      <x:c r="E25" s="28" t="str">
        <x:v>Balance Equation Simulator</x:v>
      </x:c>
      <x:c r="F25" s="28" t="str">
        <x:v>Predict → Sketch → Test → Notice → Revise</x:v>
      </x:c>
      <x:c r="G25" s="28" t="str">
        <x:v>Vary one element; notice invariance; conjecture a rule; test examples and repair a misconception.</x:v>
      </x:c>
      <x:c r="H25" s="28" t="str">
        <x:v>Blank</x:v>
      </x:c>
      <x:c r="I25" s="28" t="str">
        <x:v>✏️ Open Maths Scratchpad</x:v>
      </x:c>
      <x:c r="J25" s="28" t="str">
        <x:v>Structure Lab</x:v>
      </x:c>
      <x:c r="K25" s="28" t="str">
        <x:v>Planned</x:v>
      </x:c>
      <x:c r="L25" s="36" t="str">
        <x:v>Keep all core interaction in-page; no external URL required.</x:v>
      </x:c>
    </x:row>
    <x:row r="26" ht="62" customHeight="1">
      <x:c r="A26" s="35" t="str">
        <x:v>TOOL-022</x:v>
      </x:c>
      <x:c r="B26" s="28" t="str">
        <x:v>NEO-MATH-Y8-04</x:v>
      </x:c>
      <x:c r="C26" s="28" t="str">
        <x:v>Year 8 Connections</x:v>
      </x:c>
      <x:c r="D26" s="28" t="str">
        <x:v>Lines Tell Stories of Change</x:v>
      </x:c>
      <x:c r="E26" s="28" t="str">
        <x:v>Gradient &amp; Intercept Explorer + Representation Matcher + Line Detective</x:v>
      </x:c>
      <x:c r="F26" s="28" t="str">
        <x:v>Predict → Sketch → Test → Notice → Revise</x:v>
      </x:c>
      <x:c r="G26" s="28" t="str">
        <x:v>Change values; make a prediction; test; compare representations; explain what changed and what stayed the same.</x:v>
      </x:c>
      <x:c r="H26" s="28" t="str">
        <x:v>Coordinate grid</x:v>
      </x:c>
      <x:c r="I26" s="28" t="str">
        <x:v>✏️ Sketch a prediction</x:v>
      </x:c>
      <x:c r="J26" s="28" t="str">
        <x:v>Dynamic Graph Lab</x:v>
      </x:c>
      <x:c r="K26" s="28" t="str">
        <x:v>Locked prototype</x:v>
      </x:c>
      <x:c r="L26" s="36" t="str">
        <x:v>Keep all core interaction in-page; no external URL required.</x:v>
      </x:c>
    </x:row>
    <x:row r="27" ht="62" customHeight="1">
      <x:c r="A27" s="35" t="str">
        <x:v>TOOL-023</x:v>
      </x:c>
      <x:c r="B27" s="28" t="str">
        <x:v>NEO-MATH-Y8-05</x:v>
      </x:c>
      <x:c r="C27" s="28" t="str">
        <x:v>Year 8 Connections</x:v>
      </x:c>
      <x:c r="D27" s="28" t="str">
        <x:v>Sequences: From Steps to Rules</x:v>
      </x:c>
      <x:c r="E27" s="28" t="str">
        <x:v>Sequence Machine + Nth-Term Tester</x:v>
      </x:c>
      <x:c r="F27" s="28" t="str">
        <x:v>Predict → Sketch → Test → Notice → Revise</x:v>
      </x:c>
      <x:c r="G27" s="28" t="str">
        <x:v>Vary one element; notice invariance; conjecture a rule; test examples and repair a misconception.</x:v>
      </x:c>
      <x:c r="H27" s="28" t="str">
        <x:v>Square grid</x:v>
      </x:c>
      <x:c r="I27" s="28" t="str">
        <x:v>✏️ Open Maths Scratchpad</x:v>
      </x:c>
      <x:c r="J27" s="28" t="str">
        <x:v>Structure Lab</x:v>
      </x:c>
      <x:c r="K27" s="28" t="str">
        <x:v>Planned</x:v>
      </x:c>
      <x:c r="L27" s="36" t="str">
        <x:v>Keep all core interaction in-page; no external URL required.</x:v>
      </x:c>
    </x:row>
    <x:row r="28" ht="62" customHeight="1">
      <x:c r="A28" s="35" t="str">
        <x:v>TOOL-024</x:v>
      </x:c>
      <x:c r="B28" s="28" t="str">
        <x:v>NEO-MATH-Y8-06</x:v>
      </x:c>
      <x:c r="C28" s="28" t="str">
        <x:v>Year 8 Connections</x:v>
      </x:c>
      <x:c r="D28" s="28" t="str">
        <x:v>Parallel Lines and Polygon Logic</x:v>
      </x:c>
      <x:c r="E28" s="28" t="str">
        <x:v>Angle Chain Explorer</x:v>
      </x:c>
      <x:c r="F28" s="28" t="str">
        <x:v>Predict → Sketch → Test → Notice → Revise</x:v>
      </x:c>
      <x:c r="G28" s="28" t="str">
        <x:v>Manipulate a diagram or constraint; sketch first; test a construction or measure; annotate the relationship.</x:v>
      </x:c>
      <x:c r="H28" s="28" t="str">
        <x:v>Square grid</x:v>
      </x:c>
      <x:c r="I28" s="28" t="str">
        <x:v>✏️ Open Maths Scratchpad</x:v>
      </x:c>
      <x:c r="J28" s="28" t="str">
        <x:v>Geometry Studio</x:v>
      </x:c>
      <x:c r="K28" s="28" t="str">
        <x:v>Planned</x:v>
      </x:c>
      <x:c r="L28" s="36" t="str">
        <x:v>Keep all core interaction in-page; no external URL required.</x:v>
      </x:c>
    </x:row>
    <x:row r="29" ht="62" customHeight="1">
      <x:c r="A29" s="35" t="str">
        <x:v>TOOL-025</x:v>
      </x:c>
      <x:c r="B29" s="28" t="str">
        <x:v>NEO-MATH-Y8-07</x:v>
      </x:c>
      <x:c r="C29" s="28" t="str">
        <x:v>Year 8 Connections</x:v>
      </x:c>
      <x:c r="D29" s="28" t="str">
        <x:v>Circles, Prisms and Packaging</x:v>
      </x:c>
      <x:c r="E29" s="28" t="str">
        <x:v>Packaging Constraint Designer</x:v>
      </x:c>
      <x:c r="F29" s="28" t="str">
        <x:v>Predict → Sketch → Test → Notice → Revise</x:v>
      </x:c>
      <x:c r="G29" s="28" t="str">
        <x:v>Manipulate a diagram or constraint; sketch first; test a construction or measure; annotate the relationship.</x:v>
      </x:c>
      <x:c r="H29" s="28" t="str">
        <x:v>Square grid</x:v>
      </x:c>
      <x:c r="I29" s="28" t="str">
        <x:v>✏️ Open Maths Scratchpad</x:v>
      </x:c>
      <x:c r="J29" s="28" t="str">
        <x:v>Geometry Studio</x:v>
      </x:c>
      <x:c r="K29" s="28" t="str">
        <x:v>Planned</x:v>
      </x:c>
      <x:c r="L29" s="36" t="str">
        <x:v>Keep all core interaction in-page; no external URL required.</x:v>
      </x:c>
    </x:row>
    <x:row r="30" ht="62" customHeight="1">
      <x:c r="A30" s="35" t="str">
        <x:v>TOOL-026</x:v>
      </x:c>
      <x:c r="B30" s="28" t="str">
        <x:v>NEO-MATH-Y8-08</x:v>
      </x:c>
      <x:c r="C30" s="28" t="str">
        <x:v>Year 8 Connections</x:v>
      </x:c>
      <x:c r="D30" s="28" t="str">
        <x:v>Rates, Best Value and Direct Proportion</x:v>
      </x:c>
      <x:c r="E30" s="28" t="str">
        <x:v>Best-Value Comparator + Proportion Graph</x:v>
      </x:c>
      <x:c r="F30" s="28" t="str">
        <x:v>Predict → Sketch → Test → Notice → Revise</x:v>
      </x:c>
      <x:c r="G30" s="28" t="str">
        <x:v>Change values; make a prediction; test; compare representations; explain what changed and what stayed the same.</x:v>
      </x:c>
      <x:c r="H30" s="28" t="str">
        <x:v>Ratio table / Double number line</x:v>
      </x:c>
      <x:c r="I30" s="28" t="str">
        <x:v>✏️ Show the multiplier / relationship</x:v>
      </x:c>
      <x:c r="J30" s="28" t="str">
        <x:v>Scaling Lab</x:v>
      </x:c>
      <x:c r="K30" s="28" t="str">
        <x:v>Planned</x:v>
      </x:c>
      <x:c r="L30" s="36" t="str">
        <x:v>Keep all core interaction in-page; no external URL required.</x:v>
      </x:c>
    </x:row>
    <x:row r="31" ht="62" customHeight="1">
      <x:c r="A31" s="35" t="str">
        <x:v>TOOL-027</x:v>
      </x:c>
      <x:c r="B31" s="28" t="str">
        <x:v>NEO-MATH-Y8-09</x:v>
      </x:c>
      <x:c r="C31" s="28" t="str">
        <x:v>Year 8 Connections</x:v>
      </x:c>
      <x:c r="D31" s="28" t="str">
        <x:v>Comparing Data Without Hiding the Story</x:v>
      </x:c>
      <x:c r="E31" s="28" t="str">
        <x:v>Data Claim Comparator</x:v>
      </x:c>
      <x:c r="F31" s="28" t="str">
        <x:v>Predict → Sketch → Test → Notice → Revise</x:v>
      </x:c>
      <x:c r="G31" s="28" t="str">
        <x:v>Inspect a claim or data display; change a condition; compare evidence; record a conclusion and caveat.</x:v>
      </x:c>
      <x:c r="H31" s="28" t="str">
        <x:v>Blank</x:v>
      </x:c>
      <x:c r="I31" s="28" t="str">
        <x:v>✏️ Open Maths Scratchpad</x:v>
      </x:c>
      <x:c r="J31" s="28" t="str">
        <x:v>Evidence Lab</x:v>
      </x:c>
      <x:c r="K31" s="28" t="str">
        <x:v>Planned</x:v>
      </x:c>
      <x:c r="L31" s="36" t="str">
        <x:v>Keep all core interaction in-page; no external URL required.</x:v>
      </x:c>
    </x:row>
    <x:row r="32" ht="62" customHeight="1">
      <x:c r="A32" s="35" t="str">
        <x:v>TOOL-028</x:v>
      </x:c>
      <x:c r="B32" s="28" t="str">
        <x:v>NEO-MATH-Y8-10</x:v>
      </x:c>
      <x:c r="C32" s="28" t="str">
        <x:v>Year 8 Connections</x:v>
      </x:c>
      <x:c r="D32" s="28" t="str">
        <x:v>Building Probability Models</x:v>
      </x:c>
      <x:c r="E32" s="28" t="str">
        <x:v>Sample-Space Builder + Fairness Tester</x:v>
      </x:c>
      <x:c r="F32" s="28" t="str">
        <x:v>Predict → Sketch → Test → Notice → Revise</x:v>
      </x:c>
      <x:c r="G32" s="28" t="str">
        <x:v>Inspect a claim or data display; change a condition; compare evidence; record a conclusion and caveat.</x:v>
      </x:c>
      <x:c r="H32" s="28" t="str">
        <x:v>Blank</x:v>
      </x:c>
      <x:c r="I32" s="28" t="str">
        <x:v>✏️ Open Maths Scratchpad</x:v>
      </x:c>
      <x:c r="J32" s="28" t="str">
        <x:v>Evidence Lab</x:v>
      </x:c>
      <x:c r="K32" s="28" t="str">
        <x:v>Planned</x:v>
      </x:c>
      <x:c r="L32" s="36" t="str">
        <x:v>Keep all core interaction in-page; no external URL required.</x:v>
      </x:c>
    </x:row>
    <x:row r="33" ht="62" customHeight="1">
      <x:c r="A33" s="35" t="str">
        <x:v>TOOL-029</x:v>
      </x:c>
      <x:c r="B33" s="28" t="str">
        <x:v>NEO-MATH-Y9-01</x:v>
      </x:c>
      <x:c r="C33" s="28" t="str">
        <x:v>Year 9 Bridge</x:v>
      </x:c>
      <x:c r="D33" s="28" t="str">
        <x:v>Accuracy, Powers and Scale</x:v>
      </x:c>
      <x:c r="E33" s="28" t="str">
        <x:v>Micro-to-Macro Scale Explorer</x:v>
      </x:c>
      <x:c r="F33" s="28" t="str">
        <x:v>Predict → Sketch → Test → Notice → Revise</x:v>
      </x:c>
      <x:c r="G33" s="28" t="str">
        <x:v>Change values; make a prediction; test; compare representations; explain what changed and what stayed the same.</x:v>
      </x:c>
      <x:c r="H33" s="28" t="str">
        <x:v>Square grid</x:v>
      </x:c>
      <x:c r="I33" s="28" t="str">
        <x:v>✏️ Open Maths Scratchpad</x:v>
      </x:c>
      <x:c r="J33" s="28" t="str">
        <x:v>Number Explorer</x:v>
      </x:c>
      <x:c r="K33" s="28" t="str">
        <x:v>Planned</x:v>
      </x:c>
      <x:c r="L33" s="36" t="str">
        <x:v>Keep all core interaction in-page; no external URL required.</x:v>
      </x:c>
    </x:row>
    <x:row r="34" ht="62" customHeight="1">
      <x:c r="A34" s="35" t="str">
        <x:v>TOOL-030</x:v>
      </x:c>
      <x:c r="B34" s="28" t="str">
        <x:v>NEO-MATH-Y9-02</x:v>
      </x:c>
      <x:c r="C34" s="28" t="str">
        <x:v>Year 9 Bridge</x:v>
      </x:c>
      <x:c r="D34" s="28" t="str">
        <x:v>Solids, Cross-Sections and Space</x:v>
      </x:c>
      <x:c r="E34" s="28" t="str">
        <x:v>3D Slice and Net Explorer</x:v>
      </x:c>
      <x:c r="F34" s="28" t="str">
        <x:v>Predict → Sketch → Test → Notice → Revise</x:v>
      </x:c>
      <x:c r="G34" s="28" t="str">
        <x:v>Manipulate a diagram or constraint; sketch first; test a construction or measure; annotate the relationship.</x:v>
      </x:c>
      <x:c r="H34" s="28" t="str">
        <x:v>Square grid</x:v>
      </x:c>
      <x:c r="I34" s="28" t="str">
        <x:v>✏️ Open Maths Scratchpad</x:v>
      </x:c>
      <x:c r="J34" s="28" t="str">
        <x:v>Geometry Studio</x:v>
      </x:c>
      <x:c r="K34" s="28" t="str">
        <x:v>Planned</x:v>
      </x:c>
      <x:c r="L34" s="36" t="str">
        <x:v>Keep all core interaction in-page; no external URL required.</x:v>
      </x:c>
    </x:row>
    <x:row r="35" ht="62" customHeight="1">
      <x:c r="A35" s="35" t="str">
        <x:v>TOOL-031</x:v>
      </x:c>
      <x:c r="B35" s="28" t="str">
        <x:v>NEO-MATH-Y9-03</x:v>
      </x:c>
      <x:c r="C35" s="28" t="str">
        <x:v>Year 9 Bridge</x:v>
      </x:c>
      <x:c r="D35" s="28" t="str">
        <x:v>Quadratics: When Change Itself Changes</x:v>
      </x:c>
      <x:c r="E35" s="28" t="str">
        <x:v>Quadratic Shape Shifter</x:v>
      </x:c>
      <x:c r="F35" s="28" t="str">
        <x:v>Predict → Sketch → Test → Notice → Revise</x:v>
      </x:c>
      <x:c r="G35" s="28" t="str">
        <x:v>Vary one element; notice invariance; conjecture a rule; test examples and repair a misconception.</x:v>
      </x:c>
      <x:c r="H35" s="28" t="str">
        <x:v>Coordinate grid</x:v>
      </x:c>
      <x:c r="I35" s="28" t="str">
        <x:v>✏️ Sketch a prediction</x:v>
      </x:c>
      <x:c r="J35" s="28" t="str">
        <x:v>Structure Lab</x:v>
      </x:c>
      <x:c r="K35" s="28" t="str">
        <x:v>Planned</x:v>
      </x:c>
      <x:c r="L35" s="36" t="str">
        <x:v>Keep all core interaction in-page; no external URL required.</x:v>
      </x:c>
    </x:row>
    <x:row r="36" ht="62" customHeight="1">
      <x:c r="A36" s="35" t="str">
        <x:v>TOOL-032</x:v>
      </x:c>
      <x:c r="B36" s="28" t="str">
        <x:v>NEO-MATH-Y9-04</x:v>
      </x:c>
      <x:c r="C36" s="28" t="str">
        <x:v>Year 9 Bridge</x:v>
      </x:c>
      <x:c r="D36" s="28" t="str">
        <x:v>Precision, Loci and Safe Routes</x:v>
      </x:c>
      <x:c r="E36" s="28" t="str">
        <x:v>Locus and Safe-Route Planner</x:v>
      </x:c>
      <x:c r="F36" s="28" t="str">
        <x:v>Predict → Sketch → Test → Notice → Revise</x:v>
      </x:c>
      <x:c r="G36" s="28" t="str">
        <x:v>Manipulate a diagram or constraint; sketch first; test a construction or measure; annotate the relationship.</x:v>
      </x:c>
      <x:c r="H36" s="28" t="str">
        <x:v>Square grid</x:v>
      </x:c>
      <x:c r="I36" s="28" t="str">
        <x:v>✏️ Open Maths Scratchpad</x:v>
      </x:c>
      <x:c r="J36" s="28" t="str">
        <x:v>Geometry Studio</x:v>
      </x:c>
      <x:c r="K36" s="28" t="str">
        <x:v>Planned</x:v>
      </x:c>
      <x:c r="L36" s="36" t="str">
        <x:v>Keep all core interaction in-page; no external URL required.</x:v>
      </x:c>
    </x:row>
    <x:row r="37" ht="62" customHeight="1">
      <x:c r="A37" s="35" t="str">
        <x:v>TOOL-033</x:v>
      </x:c>
      <x:c r="B37" s="28" t="str">
        <x:v>NEO-MATH-Y9-05</x:v>
      </x:c>
      <x:c r="C37" s="28" t="str">
        <x:v>Year 9 Bridge</x:v>
      </x:c>
      <x:c r="D37" s="28" t="str">
        <x:v>Inequalities: Mathematics with Boundaries</x:v>
      </x:c>
      <x:c r="E37" s="28" t="str">
        <x:v>Inequality Region Painter</x:v>
      </x:c>
      <x:c r="F37" s="28" t="str">
        <x:v>Predict → Sketch → Test → Notice → Revise</x:v>
      </x:c>
      <x:c r="G37" s="28" t="str">
        <x:v>Vary one element; notice invariance; conjecture a rule; test examples and repair a misconception.</x:v>
      </x:c>
      <x:c r="H37" s="28" t="str">
        <x:v>Coordinate grid</x:v>
      </x:c>
      <x:c r="I37" s="28" t="str">
        <x:v>✏️ Sketch a prediction</x:v>
      </x:c>
      <x:c r="J37" s="28" t="str">
        <x:v>Structure Lab</x:v>
      </x:c>
      <x:c r="K37" s="28" t="str">
        <x:v>Planned</x:v>
      </x:c>
      <x:c r="L37" s="36" t="str">
        <x:v>Keep all core interaction in-page; no external URL required.</x:v>
      </x:c>
    </x:row>
    <x:row r="38" ht="62" customHeight="1">
      <x:c r="A38" s="35" t="str">
        <x:v>TOOL-034</x:v>
      </x:c>
      <x:c r="B38" s="28" t="str">
        <x:v>NEO-MATH-Y9-06</x:v>
      </x:c>
      <x:c r="C38" s="28" t="str">
        <x:v>Year 9 Bridge</x:v>
      </x:c>
      <x:c r="D38" s="28" t="str">
        <x:v>Formulae and Rearranging: Changing the Subject</x:v>
      </x:c>
      <x:c r="E38" s="28" t="str">
        <x:v>Formula Balance and Subject Switcher</x:v>
      </x:c>
      <x:c r="F38" s="28" t="str">
        <x:v>Predict → Sketch → Test → Notice → Revise</x:v>
      </x:c>
      <x:c r="G38" s="28" t="str">
        <x:v>Vary one element; notice invariance; conjecture a rule; test examples and repair a misconception.</x:v>
      </x:c>
      <x:c r="H38" s="28" t="str">
        <x:v>Blank</x:v>
      </x:c>
      <x:c r="I38" s="28" t="str">
        <x:v>✏️ Open Maths Scratchpad</x:v>
      </x:c>
      <x:c r="J38" s="28" t="str">
        <x:v>Structure Lab</x:v>
      </x:c>
      <x:c r="K38" s="28" t="str">
        <x:v>Planned</x:v>
      </x:c>
      <x:c r="L38" s="36" t="str">
        <x:v>Keep all core interaction in-page; no external URL required.</x:v>
      </x:c>
    </x:row>
    <x:row r="39" ht="62" customHeight="1">
      <x:c r="A39" s="35" t="str">
        <x:v>TOOL-035</x:v>
      </x:c>
      <x:c r="B39" s="28" t="str">
        <x:v>NEO-MATH-Y9-07</x:v>
      </x:c>
      <x:c r="C39" s="28" t="str">
        <x:v>Year 9 Bridge</x:v>
      </x:c>
      <x:c r="D39" s="28" t="str">
        <x:v>Pythagoras and the Hidden Length</x:v>
      </x:c>
      <x:c r="E39" s="28" t="str">
        <x:v>Right-Triangle Length Explorer</x:v>
      </x:c>
      <x:c r="F39" s="28" t="str">
        <x:v>Predict → Sketch → Test → Notice → Revise</x:v>
      </x:c>
      <x:c r="G39" s="28" t="str">
        <x:v>Manipulate a diagram or constraint; sketch first; test a construction or measure; annotate the relationship.</x:v>
      </x:c>
      <x:c r="H39" s="28" t="str">
        <x:v>Square grid</x:v>
      </x:c>
      <x:c r="I39" s="28" t="str">
        <x:v>✏️ Open Maths Scratchpad</x:v>
      </x:c>
      <x:c r="J39" s="28" t="str">
        <x:v>Geometry Studio</x:v>
      </x:c>
      <x:c r="K39" s="28" t="str">
        <x:v>Planned</x:v>
      </x:c>
      <x:c r="L39" s="36" t="str">
        <x:v>Keep all core interaction in-page; no external URL required.</x:v>
      </x:c>
    </x:row>
    <x:row r="40" ht="62" customHeight="1">
      <x:c r="A40" s="35" t="str">
        <x:v>TOOL-036</x:v>
      </x:c>
      <x:c r="B40" s="28" t="str">
        <x:v>NEO-MATH-Y9-08</x:v>
      </x:c>
      <x:c r="C40" s="28" t="str">
        <x:v>Year 9 Bridge</x:v>
      </x:c>
      <x:c r="D40" s="28" t="str">
        <x:v>Similarity and Scale: Same Shape, New Size</x:v>
      </x:c>
      <x:c r="E40" s="28" t="str">
        <x:v>Similarity Zoom Lab</x:v>
      </x:c>
      <x:c r="F40" s="28" t="str">
        <x:v>Predict → Sketch → Test → Notice → Revise</x:v>
      </x:c>
      <x:c r="G40" s="28" t="str">
        <x:v>Change values; make a prediction; test; compare representations; explain what changed and what stayed the same.</x:v>
      </x:c>
      <x:c r="H40" s="28" t="str">
        <x:v>Square grid</x:v>
      </x:c>
      <x:c r="I40" s="28" t="str">
        <x:v>✏️ Open Maths Scratchpad</x:v>
      </x:c>
      <x:c r="J40" s="28" t="str">
        <x:v>Scaling Lab</x:v>
      </x:c>
      <x:c r="K40" s="28" t="str">
        <x:v>Planned</x:v>
      </x:c>
      <x:c r="L40" s="36" t="str">
        <x:v>Keep all core interaction in-page; no external URL required.</x:v>
      </x:c>
    </x:row>
    <x:row r="41" ht="62" customHeight="1">
      <x:c r="A41" s="35" t="str">
        <x:v>TOOL-037</x:v>
      </x:c>
      <x:c r="B41" s="28" t="str">
        <x:v>NEO-MATH-Y9-09</x:v>
      </x:c>
      <x:c r="C41" s="28" t="str">
        <x:v>Year 9 Bridge</x:v>
      </x:c>
      <x:c r="D41" s="28" t="str">
        <x:v>Sampling, Bias and What We Can Infer</x:v>
      </x:c>
      <x:c r="E41" s="28" t="str">
        <x:v>Sampling Bias Simulator + Claim Critic</x:v>
      </x:c>
      <x:c r="F41" s="28" t="str">
        <x:v>Predict → Sketch → Test → Notice → Revise</x:v>
      </x:c>
      <x:c r="G41" s="28" t="str">
        <x:v>Inspect a claim or data display; change a condition; compare evidence; record a conclusion and caveat.</x:v>
      </x:c>
      <x:c r="H41" s="28" t="str">
        <x:v>Blank</x:v>
      </x:c>
      <x:c r="I41" s="28" t="str">
        <x:v>✏️ Open Maths Scratchpad</x:v>
      </x:c>
      <x:c r="J41" s="28" t="str">
        <x:v>Evidence Lab</x:v>
      </x:c>
      <x:c r="K41" s="28" t="str">
        <x:v>Planned</x:v>
      </x:c>
      <x:c r="L41" s="36" t="str">
        <x:v>Keep all core interaction in-page; no external URL required.</x:v>
      </x:c>
    </x:row>
    <x:row r="42" ht="62" customHeight="1">
      <x:c r="A42" s="35" t="str">
        <x:v>TOOL-038</x:v>
      </x:c>
      <x:c r="B42" s="28" t="str">
        <x:v>NEO-MATH-Y9-10</x:v>
      </x:c>
      <x:c r="C42" s="28" t="str">
        <x:v>Year 9 Bridge</x:v>
      </x:c>
      <x:c r="D42" s="28" t="str">
        <x:v>Probability Trees and Conditional Change</x:v>
      </x:c>
      <x:c r="E42" s="28" t="str">
        <x:v>Dynamic Probability Tree</x:v>
      </x:c>
      <x:c r="F42" s="28" t="str">
        <x:v>Predict → Sketch → Test → Notice → Revise</x:v>
      </x:c>
      <x:c r="G42" s="28" t="str">
        <x:v>Inspect a claim or data display; change a condition; compare evidence; record a conclusion and caveat.</x:v>
      </x:c>
      <x:c r="H42" s="28" t="str">
        <x:v>Blank</x:v>
      </x:c>
      <x:c r="I42" s="28" t="str">
        <x:v>✏️ Open Maths Scratchpad</x:v>
      </x:c>
      <x:c r="J42" s="28" t="str">
        <x:v>Evidence Lab</x:v>
      </x:c>
      <x:c r="K42" s="28" t="str">
        <x:v>Planned</x:v>
      </x:c>
      <x:c r="L42" s="36" t="str">
        <x:v>Keep all core interaction in-page; no external URL required.</x:v>
      </x:c>
    </x:row>
    <x:row r="43" ht="62" customHeight="1">
      <x:c r="A43" s="35" t="str">
        <x:v>TOOL-039</x:v>
      </x:c>
      <x:c r="B43" s="28" t="str">
        <x:v>NEO-MATH-Y10-01</x:v>
      </x:c>
      <x:c r="C43" s="28" t="str">
        <x:v>iGCSE Year 1</x:v>
      </x:c>
      <x:c r="D43" s="28" t="str">
        <x:v>Number Systems and Calculator Judgement</x:v>
      </x:c>
      <x:c r="E43" s="28" t="str">
        <x:v>Calculator Input Detective</x:v>
      </x:c>
      <x:c r="F43" s="28" t="str">
        <x:v>Predict → Sketch → Test → Notice → Revise</x:v>
      </x:c>
      <x:c r="G43" s="28" t="str">
        <x:v>Change values; make a prediction; test; compare representations; explain what changed and what stayed the same.</x:v>
      </x:c>
      <x:c r="H43" s="28" t="str">
        <x:v>Blank</x:v>
      </x:c>
      <x:c r="I43" s="28" t="str">
        <x:v>✏️ Open Maths Scratchpad</x:v>
      </x:c>
      <x:c r="J43" s="28" t="str">
        <x:v>Number Explorer</x:v>
      </x:c>
      <x:c r="K43" s="28" t="str">
        <x:v>Planned</x:v>
      </x:c>
      <x:c r="L43" s="36" t="str">
        <x:v>Keep all core interaction in-page; no external URL required.</x:v>
      </x:c>
    </x:row>
    <x:row r="44" ht="62" customHeight="1">
      <x:c r="A44" s="35" t="str">
        <x:v>TOOL-040</x:v>
      </x:c>
      <x:c r="B44" s="28" t="str">
        <x:v>NEO-MATH-Y10-02</x:v>
      </x:c>
      <x:c r="C44" s="28" t="str">
        <x:v>iGCSE Year 1</x:v>
      </x:c>
      <x:c r="D44" s="28" t="str">
        <x:v>Algebraic Expressions and Identities</x:v>
      </x:c>
      <x:c r="E44" s="28" t="str">
        <x:v>Algebra Structure Lens</x:v>
      </x:c>
      <x:c r="F44" s="28" t="str">
        <x:v>Predict → Sketch → Test → Notice → Revise</x:v>
      </x:c>
      <x:c r="G44" s="28" t="str">
        <x:v>Vary one element; notice invariance; conjecture a rule; test examples and repair a misconception.</x:v>
      </x:c>
      <x:c r="H44" s="28" t="str">
        <x:v>Blank</x:v>
      </x:c>
      <x:c r="I44" s="28" t="str">
        <x:v>✏️ Open Maths Scratchpad</x:v>
      </x:c>
      <x:c r="J44" s="28" t="str">
        <x:v>Structure Lab</x:v>
      </x:c>
      <x:c r="K44" s="28" t="str">
        <x:v>Planned</x:v>
      </x:c>
      <x:c r="L44" s="36" t="str">
        <x:v>Keep all core interaction in-page; no external URL required.</x:v>
      </x:c>
    </x:row>
    <x:row r="45" ht="62" customHeight="1">
      <x:c r="A45" s="35" t="str">
        <x:v>TOOL-041</x:v>
      </x:c>
      <x:c r="B45" s="28" t="str">
        <x:v>NEO-MATH-Y10-03</x:v>
      </x:c>
      <x:c r="C45" s="28" t="str">
        <x:v>iGCSE Year 1</x:v>
      </x:c>
      <x:c r="D45" s="28" t="str">
        <x:v>Straight Lines, Sets and Connected Representations</x:v>
      </x:c>
      <x:c r="E45" s="28" t="str">
        <x:v>Gradient Explorer + Venn Set Builder</x:v>
      </x:c>
      <x:c r="F45" s="28" t="str">
        <x:v>Predict → Sketch → Test → Notice → Revise</x:v>
      </x:c>
      <x:c r="G45" s="28" t="str">
        <x:v>Change values; make a prediction; test; compare representations; explain what changed and what stayed the same.</x:v>
      </x:c>
      <x:c r="H45" s="28" t="str">
        <x:v>Coordinate grid</x:v>
      </x:c>
      <x:c r="I45" s="28" t="str">
        <x:v>✏️ Sketch a prediction</x:v>
      </x:c>
      <x:c r="J45" s="28" t="str">
        <x:v>Dynamic Graph Lab</x:v>
      </x:c>
      <x:c r="K45" s="28" t="str">
        <x:v>Planned</x:v>
      </x:c>
      <x:c r="L45" s="36" t="str">
        <x:v>Keep all core interaction in-page; no external URL required.</x:v>
      </x:c>
    </x:row>
    <x:row r="46" ht="62" customHeight="1">
      <x:c r="A46" s="35" t="str">
        <x:v>TOOL-042</x:v>
      </x:c>
      <x:c r="B46" s="28" t="str">
        <x:v>NEO-MATH-Y10-04</x:v>
      </x:c>
      <x:c r="C46" s="28" t="str">
        <x:v>iGCSE Year 1</x:v>
      </x:c>
      <x:c r="D46" s="28" t="str">
        <x:v>Percentages, Ratio and Growth Models</x:v>
      </x:c>
      <x:c r="E46" s="28" t="str">
        <x:v>Growth Multiplier Lab</x:v>
      </x:c>
      <x:c r="F46" s="28" t="str">
        <x:v>Predict → Sketch → Test → Notice → Revise</x:v>
      </x:c>
      <x:c r="G46" s="28" t="str">
        <x:v>Change values; make a prediction; test; compare representations; explain what changed and what stayed the same.</x:v>
      </x:c>
      <x:c r="H46" s="28" t="str">
        <x:v>Double number line</x:v>
      </x:c>
      <x:c r="I46" s="28" t="str">
        <x:v>✏️ Show the multiplier / relationship</x:v>
      </x:c>
      <x:c r="J46" s="28" t="str">
        <x:v>Scaling Lab</x:v>
      </x:c>
      <x:c r="K46" s="28" t="str">
        <x:v>Planned</x:v>
      </x:c>
      <x:c r="L46" s="36" t="str">
        <x:v>Keep all core interaction in-page; no external URL required.</x:v>
      </x:c>
    </x:row>
    <x:row r="47" ht="62" customHeight="1">
      <x:c r="A47" s="35" t="str">
        <x:v>TOOL-043</x:v>
      </x:c>
      <x:c r="B47" s="28" t="str">
        <x:v>NEO-MATH-Y10-05</x:v>
      </x:c>
      <x:c r="C47" s="28" t="str">
        <x:v>iGCSE Year 1</x:v>
      </x:c>
      <x:c r="D47" s="28" t="str">
        <x:v>Equations, Inequalities and Simultaneous Relationships</x:v>
      </x:c>
      <x:c r="E47" s="28" t="str">
        <x:v>Intersection and Constraint Studio</x:v>
      </x:c>
      <x:c r="F47" s="28" t="str">
        <x:v>Predict → Sketch → Test → Notice → Revise</x:v>
      </x:c>
      <x:c r="G47" s="28" t="str">
        <x:v>Vary one element; notice invariance; conjecture a rule; test examples and repair a misconception.</x:v>
      </x:c>
      <x:c r="H47" s="28" t="str">
        <x:v>Coordinate grid</x:v>
      </x:c>
      <x:c r="I47" s="28" t="str">
        <x:v>✏️ Sketch a prediction</x:v>
      </x:c>
      <x:c r="J47" s="28" t="str">
        <x:v>Structure Lab</x:v>
      </x:c>
      <x:c r="K47" s="28" t="str">
        <x:v>Planned</x:v>
      </x:c>
      <x:c r="L47" s="36" t="str">
        <x:v>Keep all core interaction in-page; no external URL required.</x:v>
      </x:c>
    </x:row>
    <x:row r="48" ht="62" customHeight="1">
      <x:c r="A48" s="35" t="str">
        <x:v>TOOL-044</x:v>
      </x:c>
      <x:c r="B48" s="28" t="str">
        <x:v>NEO-MATH-Y10-06</x:v>
      </x:c>
      <x:c r="C48" s="28" t="str">
        <x:v>iGCSE Year 1</x:v>
      </x:c>
      <x:c r="D48" s="28" t="str">
        <x:v>Pythagoras, Trigonometry and Measuring the Unreachable</x:v>
      </x:c>
      <x:c r="E48" s="28" t="str">
        <x:v>Triangle Reveal Explorer</x:v>
      </x:c>
      <x:c r="F48" s="28" t="str">
        <x:v>Predict → Sketch → Test → Notice → Revise</x:v>
      </x:c>
      <x:c r="G48" s="28" t="str">
        <x:v>Manipulate a diagram or constraint; sketch first; test a construction or measure; annotate the relationship.</x:v>
      </x:c>
      <x:c r="H48" s="28" t="str">
        <x:v>Square grid</x:v>
      </x:c>
      <x:c r="I48" s="28" t="str">
        <x:v>✏️ Open Maths Scratchpad</x:v>
      </x:c>
      <x:c r="J48" s="28" t="str">
        <x:v>Geometry Studio</x:v>
      </x:c>
      <x:c r="K48" s="28" t="str">
        <x:v>Planned</x:v>
      </x:c>
      <x:c r="L48" s="36" t="str">
        <x:v>Keep all core interaction in-page; no external URL required.</x:v>
      </x:c>
    </x:row>
    <x:row r="49" ht="62" customHeight="1">
      <x:c r="A49" s="35" t="str">
        <x:v>TOOL-045</x:v>
      </x:c>
      <x:c r="B49" s="28" t="str">
        <x:v>NEO-MATH-Y10-07</x:v>
      </x:c>
      <x:c r="C49" s="28" t="str">
        <x:v>iGCSE Year 1</x:v>
      </x:c>
      <x:c r="D49" s="28" t="str">
        <x:v>Frequency, Scatter and the Shape of Data</x:v>
      </x:c>
      <x:c r="E49" s="28" t="str">
        <x:v>Data Display Switcher</x:v>
      </x:c>
      <x:c r="F49" s="28" t="str">
        <x:v>Predict → Sketch → Test → Notice → Revise</x:v>
      </x:c>
      <x:c r="G49" s="28" t="str">
        <x:v>Inspect a claim or data display; change a condition; compare evidence; record a conclusion and caveat.</x:v>
      </x:c>
      <x:c r="H49" s="28" t="str">
        <x:v>Blank</x:v>
      </x:c>
      <x:c r="I49" s="28" t="str">
        <x:v>✏️ Open Maths Scratchpad</x:v>
      </x:c>
      <x:c r="J49" s="28" t="str">
        <x:v>Evidence Lab</x:v>
      </x:c>
      <x:c r="K49" s="28" t="str">
        <x:v>Planned</x:v>
      </x:c>
      <x:c r="L49" s="36" t="str">
        <x:v>Keep all core interaction in-page; no external URL required.</x:v>
      </x:c>
    </x:row>
    <x:row r="50" ht="62" customHeight="1">
      <x:c r="A50" s="35" t="str">
        <x:v>TOOL-046</x:v>
      </x:c>
      <x:c r="B50" s="28" t="str">
        <x:v>NEO-MATH-Y10-08</x:v>
      </x:c>
      <x:c r="C50" s="28" t="str">
        <x:v>iGCSE Year 1</x:v>
      </x:c>
      <x:c r="D50" s="28" t="str">
        <x:v>Bounds and the Mathematics of ‘Nearly’</x:v>
      </x:c>
      <x:c r="E50" s="28" t="str">
        <x:v>Bounds Interval Visualiser</x:v>
      </x:c>
      <x:c r="F50" s="28" t="str">
        <x:v>Predict → Sketch → Test → Notice → Revise</x:v>
      </x:c>
      <x:c r="G50" s="28" t="str">
        <x:v>Change values; make a prediction; test; compare representations; explain what changed and what stayed the same.</x:v>
      </x:c>
      <x:c r="H50" s="28" t="str">
        <x:v>Double number line</x:v>
      </x:c>
      <x:c r="I50" s="28" t="str">
        <x:v>✏️ Show the multiplier / relationship</x:v>
      </x:c>
      <x:c r="J50" s="28" t="str">
        <x:v>Number Explorer</x:v>
      </x:c>
      <x:c r="K50" s="28" t="str">
        <x:v>Planned</x:v>
      </x:c>
      <x:c r="L50" s="36" t="str">
        <x:v>Keep all core interaction in-page; no external URL required.</x:v>
      </x:c>
    </x:row>
    <x:row r="51" ht="62" customHeight="1">
      <x:c r="A51" s="35" t="str">
        <x:v>TOOL-047</x:v>
      </x:c>
      <x:c r="B51" s="28" t="str">
        <x:v>NEO-MATH-Y10-09</x:v>
      </x:c>
      <x:c r="C51" s="28" t="str">
        <x:v>iGCSE Year 1</x:v>
      </x:c>
      <x:c r="D51" s="28" t="str">
        <x:v>Quadratics: Factors, Roots and Graphs</x:v>
      </x:c>
      <x:c r="E51" s="28" t="str">
        <x:v>Root–Graph Connector</x:v>
      </x:c>
      <x:c r="F51" s="28" t="str">
        <x:v>Predict → Sketch → Test → Notice → Revise</x:v>
      </x:c>
      <x:c r="G51" s="28" t="str">
        <x:v>Vary one element; notice invariance; conjecture a rule; test examples and repair a misconception.</x:v>
      </x:c>
      <x:c r="H51" s="28" t="str">
        <x:v>Coordinate grid</x:v>
      </x:c>
      <x:c r="I51" s="28" t="str">
        <x:v>✏️ Sketch a prediction</x:v>
      </x:c>
      <x:c r="J51" s="28" t="str">
        <x:v>Structure Lab</x:v>
      </x:c>
      <x:c r="K51" s="28" t="str">
        <x:v>Planned</x:v>
      </x:c>
      <x:c r="L51" s="36" t="str">
        <x:v>Keep all core interaction in-page; no external URL required.</x:v>
      </x:c>
    </x:row>
    <x:row r="52" ht="62" customHeight="1">
      <x:c r="A52" s="35" t="str">
        <x:v>TOOL-048</x:v>
      </x:c>
      <x:c r="B52" s="28" t="str">
        <x:v>NEO-MATH-Y10-10</x:v>
      </x:c>
      <x:c r="C52" s="28" t="str">
        <x:v>iGCSE Year 1</x:v>
      </x:c>
      <x:c r="D52" s="28" t="str">
        <x:v>The Connected Maths Performance Project</x:v>
      </x:c>
      <x:c r="E52" s="28" t="str">
        <x:v>Multi-Topic Model Builder</x:v>
      </x:c>
      <x:c r="F52" s="28" t="str">
        <x:v>Predict → Sketch → Test → Notice → Revise</x:v>
      </x:c>
      <x:c r="G52" s="28" t="str">
        <x:v>Change values; make a prediction; test; compare representations; explain what changed and what stayed the same.</x:v>
      </x:c>
      <x:c r="H52" s="28" t="str">
        <x:v>Blank / context preset</x:v>
      </x:c>
      <x:c r="I52" s="28" t="str">
        <x:v>✏️ Open Maths Scratchpad</x:v>
      </x:c>
      <x:c r="J52" s="28" t="str">
        <x:v>Reasoning Studio</x:v>
      </x:c>
      <x:c r="K52" s="28" t="str">
        <x:v>Planned</x:v>
      </x:c>
      <x:c r="L52" s="36" t="str">
        <x:v>Keep all core interaction in-page; no external URL required.</x:v>
      </x:c>
    </x:row>
    <x:row r="53" ht="62" customHeight="1">
      <x:c r="A53" s="35" t="str">
        <x:v>TOOL-049</x:v>
      </x:c>
      <x:c r="B53" s="28" t="str">
        <x:v>NEO-MATH-Y11-01</x:v>
      </x:c>
      <x:c r="C53" s="28" t="str">
        <x:v>iGCSE Year 2</x:v>
      </x:c>
      <x:c r="D53" s="28" t="str">
        <x:v>Advanced Algebra: Structure, Strategy and Proof</x:v>
      </x:c>
      <x:c r="E53" s="28" t="str">
        <x:v>Algebra Route Comparator</x:v>
      </x:c>
      <x:c r="F53" s="28" t="str">
        <x:v>Predict → Sketch → Test → Notice → Revise</x:v>
      </x:c>
      <x:c r="G53" s="28" t="str">
        <x:v>Vary one element; notice invariance; conjecture a rule; test examples and repair a misconception.</x:v>
      </x:c>
      <x:c r="H53" s="28" t="str">
        <x:v>Blank</x:v>
      </x:c>
      <x:c r="I53" s="28" t="str">
        <x:v>✏️ Open Maths Scratchpad</x:v>
      </x:c>
      <x:c r="J53" s="28" t="str">
        <x:v>Structure Lab</x:v>
      </x:c>
      <x:c r="K53" s="28" t="str">
        <x:v>Planned</x:v>
      </x:c>
      <x:c r="L53" s="36" t="str">
        <x:v>Keep all core interaction in-page; no external URL required.</x:v>
      </x:c>
    </x:row>
    <x:row r="54" ht="62" customHeight="1">
      <x:c r="A54" s="35" t="str">
        <x:v>TOOL-050</x:v>
      </x:c>
      <x:c r="B54" s="28" t="str">
        <x:v>NEO-MATH-Y11-02</x:v>
      </x:c>
      <x:c r="C54" s="28" t="str">
        <x:v>iGCSE Year 2</x:v>
      </x:c>
      <x:c r="D54" s="28" t="str">
        <x:v>Functions, Transformations and Rates of Change</x:v>
      </x:c>
      <x:c r="E54" s="28" t="str">
        <x:v>Function Transformation Studio</x:v>
      </x:c>
      <x:c r="F54" s="28" t="str">
        <x:v>Predict → Sketch → Test → Notice → Revise</x:v>
      </x:c>
      <x:c r="G54" s="28" t="str">
        <x:v>Change values; make a prediction; test; compare representations; explain what changed and what stayed the same.</x:v>
      </x:c>
      <x:c r="H54" s="28" t="str">
        <x:v>Coordinate grid</x:v>
      </x:c>
      <x:c r="I54" s="28" t="str">
        <x:v>✏️ Sketch a prediction</x:v>
      </x:c>
      <x:c r="J54" s="28" t="str">
        <x:v>Dynamic Graph Lab</x:v>
      </x:c>
      <x:c r="K54" s="28" t="str">
        <x:v>Planned</x:v>
      </x:c>
      <x:c r="L54" s="36" t="str">
        <x:v>Keep all core interaction in-page; no external URL required.</x:v>
      </x:c>
    </x:row>
    <x:row r="55" ht="62" customHeight="1">
      <x:c r="A55" s="35" t="str">
        <x:v>TOOL-051</x:v>
      </x:c>
      <x:c r="B55" s="28" t="str">
        <x:v>NEO-MATH-Y11-03</x:v>
      </x:c>
      <x:c r="C55" s="28" t="str">
        <x:v>iGCSE Year 2</x:v>
      </x:c>
      <x:c r="D55" s="28" t="str">
        <x:v>Motion Graphs: Distance, Speed and Area</x:v>
      </x:c>
      <x:c r="E55" s="28" t="str">
        <x:v>Motion Graph Animator</x:v>
      </x:c>
      <x:c r="F55" s="28" t="str">
        <x:v>Predict → Sketch → Test → Notice → Revise</x:v>
      </x:c>
      <x:c r="G55" s="28" t="str">
        <x:v>Change values; make a prediction; test; compare representations; explain what changed and what stayed the same.</x:v>
      </x:c>
      <x:c r="H55" s="28" t="str">
        <x:v>Coordinate grid</x:v>
      </x:c>
      <x:c r="I55" s="28" t="str">
        <x:v>✏️ Sketch a prediction</x:v>
      </x:c>
      <x:c r="J55" s="28" t="str">
        <x:v>Dynamic Graph Lab</x:v>
      </x:c>
      <x:c r="K55" s="28" t="str">
        <x:v>Planned</x:v>
      </x:c>
      <x:c r="L55" s="36" t="str">
        <x:v>Keep all core interaction in-page; no external URL required.</x:v>
      </x:c>
    </x:row>
    <x:row r="56" ht="62" customHeight="1">
      <x:c r="A56" s="35" t="str">
        <x:v>TOOL-052</x:v>
      </x:c>
      <x:c r="B56" s="28" t="str">
        <x:v>NEO-MATH-Y11-04</x:v>
      </x:c>
      <x:c r="C56" s="28" t="str">
        <x:v>iGCSE Year 2</x:v>
      </x:c>
      <x:c r="D56" s="28" t="str">
        <x:v>Circle Geometry and Proof Chains</x:v>
      </x:c>
      <x:c r="E56" s="28" t="str">
        <x:v>Circle Theorem Constraint Explorer</x:v>
      </x:c>
      <x:c r="F56" s="28" t="str">
        <x:v>Predict → Sketch → Test → Notice → Revise</x:v>
      </x:c>
      <x:c r="G56" s="28" t="str">
        <x:v>Manipulate a diagram or constraint; sketch first; test a construction or measure; annotate the relationship.</x:v>
      </x:c>
      <x:c r="H56" s="28" t="str">
        <x:v>Square grid</x:v>
      </x:c>
      <x:c r="I56" s="28" t="str">
        <x:v>✏️ Open Maths Scratchpad</x:v>
      </x:c>
      <x:c r="J56" s="28" t="str">
        <x:v>Geometry Studio</x:v>
      </x:c>
      <x:c r="K56" s="28" t="str">
        <x:v>Planned</x:v>
      </x:c>
      <x:c r="L56" s="36" t="str">
        <x:v>Keep all core interaction in-page; no external URL required.</x:v>
      </x:c>
    </x:row>
    <x:row r="57" ht="62" customHeight="1">
      <x:c r="A57" s="35" t="str">
        <x:v>TOOL-053</x:v>
      </x:c>
      <x:c r="B57" s="28" t="str">
        <x:v>NEO-MATH-Y11-05</x:v>
      </x:c>
      <x:c r="C57" s="28" t="str">
        <x:v>iGCSE Year 2</x:v>
      </x:c>
      <x:c r="D57" s="28" t="str">
        <x:v>Similarity, Vectors and Transformation Geometry</x:v>
      </x:c>
      <x:c r="E57" s="28" t="str">
        <x:v>Vector and Similarity Move Lab</x:v>
      </x:c>
      <x:c r="F57" s="28" t="str">
        <x:v>Predict → Sketch → Test → Notice → Revise</x:v>
      </x:c>
      <x:c r="G57" s="28" t="str">
        <x:v>Manipulate a diagram or constraint; sketch first; test a construction or measure; annotate the relationship.</x:v>
      </x:c>
      <x:c r="H57" s="28" t="str">
        <x:v>Coordinate grid</x:v>
      </x:c>
      <x:c r="I57" s="28" t="str">
        <x:v>✏️ Sketch a prediction</x:v>
      </x:c>
      <x:c r="J57" s="28" t="str">
        <x:v>Geometry Studio</x:v>
      </x:c>
      <x:c r="K57" s="28" t="str">
        <x:v>Planned</x:v>
      </x:c>
      <x:c r="L57" s="36" t="str">
        <x:v>Keep all core interaction in-page; no external URL required.</x:v>
      </x:c>
    </x:row>
    <x:row r="58" ht="62" customHeight="1">
      <x:c r="A58" s="35" t="str">
        <x:v>TOOL-054</x:v>
      </x:c>
      <x:c r="B58" s="28" t="str">
        <x:v>NEO-MATH-Y11-06</x:v>
      </x:c>
      <x:c r="C58" s="28" t="str">
        <x:v>iGCSE Year 2</x:v>
      </x:c>
      <x:c r="D58" s="28" t="str">
        <x:v>Trigonometry and 3D Measures</x:v>
      </x:c>
      <x:c r="E58" s="28" t="str">
        <x:v>3D Triangle Finder</x:v>
      </x:c>
      <x:c r="F58" s="28" t="str">
        <x:v>Predict → Sketch → Test → Notice → Revise</x:v>
      </x:c>
      <x:c r="G58" s="28" t="str">
        <x:v>Manipulate a diagram or constraint; sketch first; test a construction or measure; annotate the relationship.</x:v>
      </x:c>
      <x:c r="H58" s="28" t="str">
        <x:v>Square grid</x:v>
      </x:c>
      <x:c r="I58" s="28" t="str">
        <x:v>✏️ Open Maths Scratchpad</x:v>
      </x:c>
      <x:c r="J58" s="28" t="str">
        <x:v>Geometry Studio</x:v>
      </x:c>
      <x:c r="K58" s="28" t="str">
        <x:v>Planned</x:v>
      </x:c>
      <x:c r="L58" s="36" t="str">
        <x:v>Keep all core interaction in-page; no external URL required.</x:v>
      </x:c>
    </x:row>
    <x:row r="59" ht="62" customHeight="1">
      <x:c r="A59" s="35" t="str">
        <x:v>TOOL-055</x:v>
      </x:c>
      <x:c r="B59" s="28" t="str">
        <x:v>NEO-MATH-Y11-07</x:v>
      </x:c>
      <x:c r="C59" s="28" t="str">
        <x:v>iGCSE Year 2</x:v>
      </x:c>
      <x:c r="D59" s="28" t="str">
        <x:v>Histograms, Cumulative Frequency and Comparing Distributions</x:v>
      </x:c>
      <x:c r="E59" s="28" t="str">
        <x:v>Frequency Density Visualiser</x:v>
      </x:c>
      <x:c r="F59" s="28" t="str">
        <x:v>Predict → Sketch → Test → Notice → Revise</x:v>
      </x:c>
      <x:c r="G59" s="28" t="str">
        <x:v>Inspect a claim or data display; change a condition; compare evidence; record a conclusion and caveat.</x:v>
      </x:c>
      <x:c r="H59" s="28" t="str">
        <x:v>Blank / Square grid</x:v>
      </x:c>
      <x:c r="I59" s="28" t="str">
        <x:v>✏️ Open Maths Scratchpad</x:v>
      </x:c>
      <x:c r="J59" s="28" t="str">
        <x:v>Evidence Lab</x:v>
      </x:c>
      <x:c r="K59" s="28" t="str">
        <x:v>Planned</x:v>
      </x:c>
      <x:c r="L59" s="36" t="str">
        <x:v>Keep all core interaction in-page; no external URL required.</x:v>
      </x:c>
    </x:row>
    <x:row r="60" ht="62" customHeight="1">
      <x:c r="A60" s="35" t="str">
        <x:v>TOOL-056</x:v>
      </x:c>
      <x:c r="B60" s="28" t="str">
        <x:v>NEO-MATH-Y11-08</x:v>
      </x:c>
      <x:c r="C60" s="28" t="str">
        <x:v>iGCSE Year 2</x:v>
      </x:c>
      <x:c r="D60" s="28" t="str">
        <x:v>Conditional Probability and Decision-Making</x:v>
      </x:c>
      <x:c r="E60" s="28" t="str">
        <x:v>Conditional Tree Simulator</x:v>
      </x:c>
      <x:c r="F60" s="28" t="str">
        <x:v>Predict → Sketch → Test → Notice → Revise</x:v>
      </x:c>
      <x:c r="G60" s="28" t="str">
        <x:v>Inspect a claim or data display; change a condition; compare evidence; record a conclusion and caveat.</x:v>
      </x:c>
      <x:c r="H60" s="28" t="str">
        <x:v>Blank</x:v>
      </x:c>
      <x:c r="I60" s="28" t="str">
        <x:v>✏️ Open Maths Scratchpad</x:v>
      </x:c>
      <x:c r="J60" s="28" t="str">
        <x:v>Evidence Lab</x:v>
      </x:c>
      <x:c r="K60" s="28" t="str">
        <x:v>Planned</x:v>
      </x:c>
      <x:c r="L60" s="36" t="str">
        <x:v>Keep all core interaction in-page; no external URL required.</x:v>
      </x:c>
    </x:row>
    <x:row r="61" ht="62" customHeight="1">
      <x:c r="A61" s="35" t="str">
        <x:v>TOOL-057</x:v>
      </x:c>
      <x:c r="B61" s="28" t="str">
        <x:v>NEO-MATH-Y11-09</x:v>
      </x:c>
      <x:c r="C61" s="28" t="str">
        <x:v>iGCSE Year 2</x:v>
      </x:c>
      <x:c r="D61" s="28" t="str">
        <x:v>Exam Problems as Translation</x:v>
      </x:c>
      <x:c r="E61" s="28" t="str">
        <x:v>Question Translation Highlighter</x:v>
      </x:c>
      <x:c r="F61" s="28" t="str">
        <x:v>Predict → Sketch → Test → Notice → Revise</x:v>
      </x:c>
      <x:c r="G61" s="28" t="str">
        <x:v>Change values; make a prediction; test; compare representations; explain what changed and what stayed the same.</x:v>
      </x:c>
      <x:c r="H61" s="28" t="str">
        <x:v>Blank</x:v>
      </x:c>
      <x:c r="I61" s="28" t="str">
        <x:v>✏️ Open Maths Scratchpad</x:v>
      </x:c>
      <x:c r="J61" s="28" t="str">
        <x:v>Reasoning Studio</x:v>
      </x:c>
      <x:c r="K61" s="28" t="str">
        <x:v>Planned</x:v>
      </x:c>
      <x:c r="L61" s="36" t="str">
        <x:v>Keep all core interaction in-page; no external URL required.</x:v>
      </x:c>
    </x:row>
    <x:row r="62" ht="62" customHeight="1">
      <x:c r="A62" s="35" t="str">
        <x:v>TOOL-058</x:v>
      </x:c>
      <x:c r="B62" s="28" t="str">
        <x:v>NEO-MATH-Y11-10</x:v>
      </x:c>
      <x:c r="C62" s="28" t="str">
        <x:v>iGCSE Year 2</x:v>
      </x:c>
      <x:c r="D62" s="28" t="str">
        <x:v>Mathematics Capstone: Solve, Explain, Evaluate</x:v>
      </x:c>
      <x:c r="E62" s="28" t="str">
        <x:v>Capstone Model Canvas</x:v>
      </x:c>
      <x:c r="F62" s="28" t="str">
        <x:v>Predict → Sketch → Test → Notice → Revise</x:v>
      </x:c>
      <x:c r="G62" s="28" t="str">
        <x:v>Change values; make a prediction; test; compare representations; explain what changed and what stayed the same.</x:v>
      </x:c>
      <x:c r="H62" s="28" t="str">
        <x:v>Blank / context preset</x:v>
      </x:c>
      <x:c r="I62" s="28" t="str">
        <x:v>✏️ Open Maths Scratchpad</x:v>
      </x:c>
      <x:c r="J62" s="28" t="str">
        <x:v>Model Canvas</x:v>
      </x:c>
      <x:c r="K62" s="28" t="str">
        <x:v>Planned</x:v>
      </x:c>
      <x:c r="L62" s="36" t="str">
        <x:v>Keep all core interaction in-page; no external URL required.</x:v>
      </x:c>
    </x:row>
    <x:row r="63" ht="62" customHeight="1">
      <x:c r="A63" s="35" t="str">
        <x:v>TOOL-059</x:v>
      </x:c>
      <x:c r="B63" s="28" t="str">
        <x:v>NEO-MATH-FS-01</x:v>
      </x:c>
      <x:c r="C63" s="28" t="str">
        <x:v>Functional &amp; Applied Mathematics</x:v>
      </x:c>
      <x:c r="D63" s="28" t="str">
        <x:v>Everyday Number and Estimation</x:v>
      </x:c>
      <x:c r="E63" s="28" t="str">
        <x:v>Real-Life Estimate Checker</x:v>
      </x:c>
      <x:c r="F63" s="28" t="str">
        <x:v>Predict → Sketch → Test → Notice → Revise</x:v>
      </x:c>
      <x:c r="G63" s="28" t="str">
        <x:v>Change values; make a prediction; test; compare representations; explain what changed and what stayed the same.</x:v>
      </x:c>
      <x:c r="H63" s="28" t="str">
        <x:v>Blank</x:v>
      </x:c>
      <x:c r="I63" s="28" t="str">
        <x:v>✏️ Open Maths Scratchpad</x:v>
      </x:c>
      <x:c r="J63" s="28" t="str">
        <x:v>Number Explorer</x:v>
      </x:c>
      <x:c r="K63" s="28" t="str">
        <x:v>Planned</x:v>
      </x:c>
      <x:c r="L63" s="36" t="str">
        <x:v>Keep all core interaction in-page; no external URL required.</x:v>
      </x:c>
    </x:row>
    <x:row r="64" ht="62" customHeight="1">
      <x:c r="A64" s="35" t="str">
        <x:v>TOOL-060</x:v>
      </x:c>
      <x:c r="B64" s="28" t="str">
        <x:v>NEO-MATH-FS-02</x:v>
      </x:c>
      <x:c r="C64" s="28" t="str">
        <x:v>Functional &amp; Applied Mathematics</x:v>
      </x:c>
      <x:c r="D64" s="28" t="str">
        <x:v>Money, Discounts and Budget Choices</x:v>
      </x:c>
      <x:c r="E64" s="28" t="str">
        <x:v>Budget and Discount Comparator</x:v>
      </x:c>
      <x:c r="F64" s="28" t="str">
        <x:v>Predict → Sketch → Test → Notice → Revise</x:v>
      </x:c>
      <x:c r="G64" s="28" t="str">
        <x:v>Enter realistic values; compare options; calculate; test assumptions; explain a recommendation.</x:v>
      </x:c>
      <x:c r="H64" s="28" t="str">
        <x:v>Blank</x:v>
      </x:c>
      <x:c r="I64" s="28" t="str">
        <x:v>✏️ Open Maths Scratchpad</x:v>
      </x:c>
      <x:c r="J64" s="28" t="str">
        <x:v>Decision Lab</x:v>
      </x:c>
      <x:c r="K64" s="28" t="str">
        <x:v>Planned</x:v>
      </x:c>
      <x:c r="L64" s="36" t="str">
        <x:v>Keep all core interaction in-page; no external URL required.</x:v>
      </x:c>
    </x:row>
    <x:row r="65" ht="62" customHeight="1">
      <x:c r="A65" s="35" t="str">
        <x:v>TOOL-061</x:v>
      </x:c>
      <x:c r="B65" s="28" t="str">
        <x:v>NEO-MATH-FS-03</x:v>
      </x:c>
      <x:c r="C65" s="28" t="str">
        <x:v>Functional &amp; Applied Mathematics</x:v>
      </x:c>
      <x:c r="D65" s="28" t="str">
        <x:v>Recipes, Ratio and Direct Proportion</x:v>
      </x:c>
      <x:c r="E65" s="28" t="str">
        <x:v>Recipe Scaler + Ratio Table Builder</x:v>
      </x:c>
      <x:c r="F65" s="28" t="str">
        <x:v>Predict → Sketch → Test → Notice → Revise</x:v>
      </x:c>
      <x:c r="G65" s="28" t="str">
        <x:v>Change values; make a prediction; test; compare representations; explain what changed and what stayed the same.</x:v>
      </x:c>
      <x:c r="H65" s="28" t="str">
        <x:v>Ratio table / Double number line</x:v>
      </x:c>
      <x:c r="I65" s="28" t="str">
        <x:v>✏️ Show the multiplier / relationship</x:v>
      </x:c>
      <x:c r="J65" s="28" t="str">
        <x:v>Scaling Lab</x:v>
      </x:c>
      <x:c r="K65" s="28" t="str">
        <x:v>Planned</x:v>
      </x:c>
      <x:c r="L65" s="36" t="str">
        <x:v>Keep all core interaction in-page; no external URL required.</x:v>
      </x:c>
    </x:row>
    <x:row r="66" ht="62" customHeight="1">
      <x:c r="A66" s="35" t="str">
        <x:v>TOOL-062</x:v>
      </x:c>
      <x:c r="B66" s="28" t="str">
        <x:v>NEO-MATH-FS-04</x:v>
      </x:c>
      <x:c r="C66" s="28" t="str">
        <x:v>Functional &amp; Applied Mathematics</x:v>
      </x:c>
      <x:c r="D66" s="28" t="str">
        <x:v>Pay, Speed, Density and Real Rates</x:v>
      </x:c>
      <x:c r="E66" s="28" t="str">
        <x:v>Rate Comparator</x:v>
      </x:c>
      <x:c r="F66" s="28" t="str">
        <x:v>Predict → Sketch → Test → Notice → Revise</x:v>
      </x:c>
      <x:c r="G66" s="28" t="str">
        <x:v>Enter realistic values; compare options; calculate; test assumptions; explain a recommendation.</x:v>
      </x:c>
      <x:c r="H66" s="28" t="str">
        <x:v>Double number line</x:v>
      </x:c>
      <x:c r="I66" s="28" t="str">
        <x:v>✏️ Show the multiplier / relationship</x:v>
      </x:c>
      <x:c r="J66" s="28" t="str">
        <x:v>Decision Lab</x:v>
      </x:c>
      <x:c r="K66" s="28" t="str">
        <x:v>Planned</x:v>
      </x:c>
      <x:c r="L66" s="36" t="str">
        <x:v>Keep all core interaction in-page; no external URL required.</x:v>
      </x:c>
    </x:row>
    <x:row r="67" ht="62" customHeight="1">
      <x:c r="A67" s="35" t="str">
        <x:v>TOOL-063</x:v>
      </x:c>
      <x:c r="B67" s="28" t="str">
        <x:v>NEO-MATH-FS-05</x:v>
      </x:c>
      <x:c r="C67" s="28" t="str">
        <x:v>Functional &amp; Applied Mathematics</x:v>
      </x:c>
      <x:c r="D67" s="28" t="str">
        <x:v>Measure, Scale and Making Things Fit</x:v>
      </x:c>
      <x:c r="E67" s="28" t="str">
        <x:v>Fit-the-Space Planner</x:v>
      </x:c>
      <x:c r="F67" s="28" t="str">
        <x:v>Predict → Sketch → Test → Notice → Revise</x:v>
      </x:c>
      <x:c r="G67" s="28" t="str">
        <x:v>Manipulate a diagram or constraint; sketch first; test a construction or measure; annotate the relationship.</x:v>
      </x:c>
      <x:c r="H67" s="28" t="str">
        <x:v>Square grid</x:v>
      </x:c>
      <x:c r="I67" s="28" t="str">
        <x:v>✏️ Open Maths Scratchpad</x:v>
      </x:c>
      <x:c r="J67" s="28" t="str">
        <x:v>Geometry Studio</x:v>
      </x:c>
      <x:c r="K67" s="28" t="str">
        <x:v>Planned</x:v>
      </x:c>
      <x:c r="L67" s="36" t="str">
        <x:v>Keep all core interaction in-page; no external URL required.</x:v>
      </x:c>
    </x:row>
    <x:row r="68" ht="62" customHeight="1">
      <x:c r="A68" s="35" t="str">
        <x:v>TOOL-064</x:v>
      </x:c>
      <x:c r="B68" s="28" t="str">
        <x:v>NEO-MATH-FS-06</x:v>
      </x:c>
      <x:c r="C68" s="28" t="str">
        <x:v>Functional &amp; Applied Mathematics</x:v>
      </x:c>
      <x:c r="D68" s="28" t="str">
        <x:v>Time, Travel and Scheduling</x:v>
      </x:c>
      <x:c r="E68" s="28" t="str">
        <x:v>Journey Schedule Builder</x:v>
      </x:c>
      <x:c r="F68" s="28" t="str">
        <x:v>Predict → Sketch → Test → Notice → Revise</x:v>
      </x:c>
      <x:c r="G68" s="28" t="str">
        <x:v>Enter realistic values; compare options; calculate; test assumptions; explain a recommendation.</x:v>
      </x:c>
      <x:c r="H68" s="28" t="str">
        <x:v>Blank</x:v>
      </x:c>
      <x:c r="I68" s="28" t="str">
        <x:v>✏️ Open Maths Scratchpad</x:v>
      </x:c>
      <x:c r="J68" s="28" t="str">
        <x:v>Decision Lab</x:v>
      </x:c>
      <x:c r="K68" s="28" t="str">
        <x:v>Planned</x:v>
      </x:c>
      <x:c r="L68" s="36" t="str">
        <x:v>Keep all core interaction in-page; no external URL required.</x:v>
      </x:c>
    </x:row>
    <x:row r="69" ht="62" customHeight="1">
      <x:c r="A69" s="35" t="str">
        <x:v>TOOL-065</x:v>
      </x:c>
      <x:c r="B69" s="28" t="str">
        <x:v>NEO-MATH-FS-07</x:v>
      </x:c>
      <x:c r="C69" s="28" t="str">
        <x:v>Functional &amp; Applied Mathematics</x:v>
      </x:c>
      <x:c r="D69" s="28" t="str">
        <x:v>Charts, Averages and Claims</x:v>
      </x:c>
      <x:c r="E69" s="28" t="str">
        <x:v>Misleading Chart Studio</x:v>
      </x:c>
      <x:c r="F69" s="28" t="str">
        <x:v>Predict → Sketch → Test → Notice → Revise</x:v>
      </x:c>
      <x:c r="G69" s="28" t="str">
        <x:v>Inspect a claim or data display; change a condition; compare evidence; record a conclusion and caveat.</x:v>
      </x:c>
      <x:c r="H69" s="28" t="str">
        <x:v>Blank</x:v>
      </x:c>
      <x:c r="I69" s="28" t="str">
        <x:v>✏️ Open Maths Scratchpad</x:v>
      </x:c>
      <x:c r="J69" s="28" t="str">
        <x:v>Evidence Lab</x:v>
      </x:c>
      <x:c r="K69" s="28" t="str">
        <x:v>Planned</x:v>
      </x:c>
      <x:c r="L69" s="36" t="str">
        <x:v>Keep all core interaction in-page; no external URL required.</x:v>
      </x:c>
    </x:row>
    <x:row r="70" ht="62" customHeight="1">
      <x:c r="A70" s="35" t="str">
        <x:v>TOOL-066</x:v>
      </x:c>
      <x:c r="B70" s="28" t="str">
        <x:v>NEO-MATH-FS-08</x:v>
      </x:c>
      <x:c r="C70" s="28" t="str">
        <x:v>Functional &amp; Applied Mathematics</x:v>
      </x:c>
      <x:c r="D70" s="28" t="str">
        <x:v>Probability, Risk and Everyday Decisions</x:v>
      </x:c>
      <x:c r="E70" s="28" t="str">
        <x:v>Risk Language and Probability Simulator</x:v>
      </x:c>
      <x:c r="F70" s="28" t="str">
        <x:v>Predict → Sketch → Test → Notice → Revise</x:v>
      </x:c>
      <x:c r="G70" s="28" t="str">
        <x:v>Inspect a claim or data display; change a condition; compare evidence; record a conclusion and caveat.</x:v>
      </x:c>
      <x:c r="H70" s="28" t="str">
        <x:v>Blank</x:v>
      </x:c>
      <x:c r="I70" s="28" t="str">
        <x:v>✏️ Open Maths Scratchpad</x:v>
      </x:c>
      <x:c r="J70" s="28" t="str">
        <x:v>Evidence Lab</x:v>
      </x:c>
      <x:c r="K70" s="28" t="str">
        <x:v>Planned</x:v>
      </x:c>
      <x:c r="L70" s="36" t="str">
        <x:v>Keep all core interaction in-page; no external URL required.</x:v>
      </x:c>
    </x:row>
    <x:row r="71" ht="62" customHeight="1">
      <x:c r="A71" s="35" t="str">
        <x:v>TOOL-067</x:v>
      </x:c>
      <x:c r="B71" s="28" t="str">
        <x:v>NEO-MATH-FS-09</x:v>
      </x:c>
      <x:c r="C71" s="28" t="str">
        <x:v>Functional &amp; Applied Mathematics</x:v>
      </x:c>
      <x:c r="D71" s="28" t="str">
        <x:v>Applied Decision Project</x:v>
      </x:c>
      <x:c r="E71" s="28" t="str">
        <x:v>Applied Decision Canvas</x:v>
      </x:c>
      <x:c r="F71" s="28" t="str">
        <x:v>Predict → Sketch → Test → Notice → Revise</x:v>
      </x:c>
      <x:c r="G71" s="28" t="str">
        <x:v>Change values; make a prediction; test; compare representations; explain what changed and what stayed the same.</x:v>
      </x:c>
      <x:c r="H71" s="28" t="str">
        <x:v>Blank</x:v>
      </x:c>
      <x:c r="I71" s="28" t="str">
        <x:v>✏️ Open Maths Scratchpad</x:v>
      </x:c>
      <x:c r="J71" s="28" t="str">
        <x:v>Model Canvas</x:v>
      </x:c>
      <x:c r="K71" s="28" t="str">
        <x:v>Planned</x:v>
      </x:c>
      <x:c r="L71" s="36" t="str">
        <x:v>Keep all core interaction in-page; no external URL required.</x:v>
      </x:c>
    </x:row>
    <x:row r="72" ht="62" customHeight="1">
      <x:c r="A72" s="37" t="str">
        <x:v>TOOL-068</x:v>
      </x:c>
      <x:c r="B72" s="38" t="str">
        <x:v>NEO-MATH-FS-10</x:v>
      </x:c>
      <x:c r="C72" s="38" t="str">
        <x:v>Functional &amp; Applied Mathematics</x:v>
      </x:c>
      <x:c r="D72" s="38" t="str">
        <x:v>Functional Skills Assessment Navigation</x:v>
      </x:c>
      <x:c r="E72" s="38" t="str">
        <x:v>Problem Step Mapper</x:v>
      </x:c>
      <x:c r="F72" s="38" t="str">
        <x:v>Predict → Sketch → Test → Notice → Revise</x:v>
      </x:c>
      <x:c r="G72" s="38" t="str">
        <x:v>Change values; make a prediction; test; compare representations; explain what changed and what stayed the same.</x:v>
      </x:c>
      <x:c r="H72" s="38" t="str">
        <x:v>Blank</x:v>
      </x:c>
      <x:c r="I72" s="38" t="str">
        <x:v>✏️ Open Maths Scratchpad</x:v>
      </x:c>
      <x:c r="J72" s="38" t="str">
        <x:v>Navigation Tool</x:v>
      </x:c>
      <x:c r="K72" s="38" t="str">
        <x:v>Planned</x:v>
      </x:c>
      <x:c r="L72" s="39" t="str">
        <x:v>Keep all core interaction in-page; no external URL required.</x:v>
      </x:c>
    </x:row>
  </x:sheetData>
  <x:mergeCells>
    <x:mergeCell ref="A1:L1"/>
    <x:mergeCell ref="A2:L2"/>
  </x:mergeCells>
  <x:dataValidations count="1">
    <x:dataValidation type="list" sqref="K5:K72">
      <x:formula1>"Planned,Designed,HTML Built,Reviewed,Locked prototype"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5ce3c7c5f6448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24" hidden="0" customWidth="1"/>
    <x:col min="5" max="5" width="32" hidden="0" customWidth="1"/>
    <x:col min="6" max="6" width="40" hidden="0" customWidth="1"/>
    <x:col min="7" max="7" width="52" hidden="0" customWidth="1"/>
    <x:col min="8" max="8" width="48" hidden="0" customWidth="1"/>
    <x:col min="9" max="9" width="48" hidden="0" customWidth="1"/>
    <x:col min="10" max="10" width="48" hidden="0" customWidth="1"/>
    <x:col min="11" max="11" width="52" hidden="0" customWidth="1"/>
    <x:col min="12" max="12" width="44" hidden="0" customWidth="1"/>
    <x:col min="13" max="13" width="48" hidden="0" customWidth="1"/>
    <x:col min="14" max="14" width="42" hidden="0" customWidth="1"/>
  </x:cols>
  <x:sheetData>
    <x:row r="1">
      <x:c r="A1" s="5" t="str">
        <x:v>Portfolio Evidence and Mastery Outcomes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2" t="str">
        <x:v>A single piece of learner-owned evidence may demonstrate several canonical Stepping Stones and qualification overlay outcomes. Mastery is judged per outcome demonstration.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s="32" t="str">
        <x:v>Unit ID</x:v>
      </x:c>
      <x:c r="B4" s="33" t="str">
        <x:v>Pathway</x:v>
      </x:c>
      <x:c r="C4" s="33" t="str">
        <x:v>Year / Stage</x:v>
      </x:c>
      <x:c r="D4" s="33" t="str">
        <x:v>Strand</x:v>
      </x:c>
      <x:c r="E4" s="33" t="str">
        <x:v>Unit Title</x:v>
      </x:c>
      <x:c r="F4" s="33" t="str">
        <x:v>Portfolio / Evidence Product</x:v>
      </x:c>
      <x:c r="G4" s="33" t="str">
        <x:v>Alternative Evidence Forms</x:v>
      </x:c>
      <x:c r="H4" s="33" t="str">
        <x:v>Emerging</x:v>
      </x:c>
      <x:c r="I4" s="33" t="str">
        <x:v>Developing</x:v>
      </x:c>
      <x:c r="J4" s="33" t="str">
        <x:v>Secure</x:v>
      </x:c>
      <x:c r="K4" s="33" t="str">
        <x:v>Mastering</x:v>
      </x:c>
      <x:c r="L4" s="33" t="str">
        <x:v>Submission Pattern</x:v>
      </x:c>
      <x:c r="M4" s="33" t="str">
        <x:v>Learner Reflection Prompt</x:v>
      </x:c>
      <x:c r="N4" s="34" t="str">
        <x:v>Evidence Ownership Note</x:v>
      </x:c>
    </x:row>
    <x:row r="5" ht="86" customHeight="1">
      <x:c r="A5" s="35" t="str">
        <x:v>NEO-MATH-DISC-01</x:v>
      </x:c>
      <x:c r="B5" s="28" t="str">
        <x:v>Discovery / Reconnection</x:v>
      </x:c>
      <x:c r="C5" s="28" t="str">
        <x:v>Flexible entry</x:v>
      </x:c>
      <x:c r="D5" s="28" t="str">
        <x:v>Self-Regulated Mathematical Learning</x:v>
      </x:c>
      <x:c r="E5" s="28" t="str">
        <x:v>Finding My Maths Starting Point</x:v>
      </x:c>
      <x:c r="F5" s="28" t="str">
        <x:v>My Maths Map: strengths, supports and next steps</x:v>
      </x:c>
      <x:c r="G5" s="28" t="str">
        <x:v>Interactive choices; Scratchpad image; annotated solution; verbal teach-back; corrected misconception; short written or audio explanation</x:v>
      </x:c>
      <x:c r="H5" s="28" t="str">
        <x:v>Notices or attempts key ideas from notice mathematical strengths with support and can show one relevant representation.</x:v>
      </x:c>
      <x:c r="I5" s="28" t="str">
        <x:v>Uses familiar methods to try different representations and completes connected examples with prompts or checking support.</x:v>
      </x:c>
      <x:c r="J5" s="28" t="str">
        <x:v>Independently explain what helps and explains the mathematical relationship or reasoning in a familiar and one varied context.</x:v>
      </x:c>
      <x:c r="K5" s="28" t="str">
        <x:v>Selects efficient representations or strategies, applies the learning in an unfamiliar context, and can choose a next Stepping Stone with precise justification and reflection.</x:v>
      </x:c>
      <x:c r="L5" s="28" t="str">
        <x:v>NEO_Maths_Finding_My_Maths_Starting_Point_[FirstName]_[Date]</x:v>
      </x:c>
      <x:c r="M5" s="28" t="str">
        <x:v>What changed in my thinking? What support helped? What would I test or explain next?</x:v>
      </x:c>
      <x:c r="N5" s="36" t="str">
        <x:v>Learner owns the evidence; NEO owns canonical curriculum metadata.</x:v>
      </x:c>
    </x:row>
    <x:row r="6" ht="86" customHeight="1">
      <x:c r="A6" s="35" t="str">
        <x:v>NEO-MATH-DISC-02</x:v>
      </x:c>
      <x:c r="B6" s="28" t="str">
        <x:v>Discovery / Reconnection</x:v>
      </x:c>
      <x:c r="C6" s="28" t="str">
        <x:v>Flexible entry</x:v>
      </x:c>
      <x:c r="D6" s="28" t="str">
        <x:v>Number Sense</x:v>
      </x:c>
      <x:c r="E6" s="28" t="str">
        <x:v>Numbers I Can Trust</x:v>
      </x:c>
      <x:c r="F6" s="28" t="str">
        <x:v>Annotated Number Confidence Card</x:v>
      </x:c>
      <x:c r="G6" s="28" t="str">
        <x:v>Interactive choices; Scratchpad image; annotated solution; verbal teach-back; corrected misconception; short written or audio explanation</x:v>
      </x:c>
      <x:c r="H6" s="28" t="str">
        <x:v>Notices or attempts key ideas from read and compare integers and decimals with support and can show one relevant representation.</x:v>
      </x:c>
      <x:c r="I6" s="28" t="str">
        <x:v>Uses familiar methods to use place value and completes connected examples with prompts or checking support.</x:v>
      </x:c>
      <x:c r="J6" s="28" t="str">
        <x:v>Independently estimate and explains the mathematical relationship or reasoning in a familiar and one varied context.</x:v>
      </x:c>
      <x:c r="K6" s="28" t="str">
        <x:v>Selects efficient representations or strategies, applies the learning in an unfamiliar context, and can check reasonableness with precise justification and reflection.</x:v>
      </x:c>
      <x:c r="L6" s="28" t="str">
        <x:v>NEO_Maths_Numbers_I_Can_Trust_[FirstName]_[Date]</x:v>
      </x:c>
      <x:c r="M6" s="28" t="str">
        <x:v>What changed in my thinking? What support helped? What would I test or explain next?</x:v>
      </x:c>
      <x:c r="N6" s="36" t="str">
        <x:v>Learner owns the evidence; NEO owns canonical curriculum metadata.</x:v>
      </x:c>
    </x:row>
    <x:row r="7" ht="86" customHeight="1">
      <x:c r="A7" s="35" t="str">
        <x:v>NEO-MATH-DISC-03</x:v>
      </x:c>
      <x:c r="B7" s="28" t="str">
        <x:v>Discovery / Reconnection</x:v>
      </x:c>
      <x:c r="C7" s="28" t="str">
        <x:v>Flexible entry</x:v>
      </x:c>
      <x:c r="D7" s="28" t="str">
        <x:v>Number Sense</x:v>
      </x:c>
      <x:c r="E7" s="28" t="str">
        <x:v>Operations as Choices</x:v>
      </x:c>
      <x:c r="F7" s="28" t="str">
        <x:v>My Best Method Guide</x:v>
      </x:c>
      <x:c r="G7" s="28" t="str">
        <x:v>Interactive choices; Scratchpad image; annotated solution; verbal teach-back; corrected misconception; short written or audio explanation</x:v>
      </x:c>
      <x:c r="H7" s="28" t="str">
        <x:v>Notices or attempts key ideas from select a calculation strategy with support and can show one relevant representation.</x:v>
      </x:c>
      <x:c r="I7" s="28" t="str">
        <x:v>Uses familiar methods to use inverse operations and completes connected examples with prompts or checking support.</x:v>
      </x:c>
      <x:c r="J7" s="28" t="str">
        <x:v>Independently estimate first and explains the mathematical relationship or reasoning in a familiar and one varied context.</x:v>
      </x:c>
      <x:c r="K7" s="28" t="str">
        <x:v>Selects efficient representations or strategies, applies the learning in an unfamiliar context, and can explain a method choice with precise justification and reflection.</x:v>
      </x:c>
      <x:c r="L7" s="28" t="str">
        <x:v>NEO_Maths_Operations_as_Choices_[FirstName]_[Date]</x:v>
      </x:c>
      <x:c r="M7" s="28" t="str">
        <x:v>What changed in my thinking? What support helped? What would I test or explain next?</x:v>
      </x:c>
      <x:c r="N7" s="36" t="str">
        <x:v>Learner owns the evidence; NEO owns canonical curriculum metadata.</x:v>
      </x:c>
    </x:row>
    <x:row r="8" ht="86" customHeight="1">
      <x:c r="A8" s="35" t="str">
        <x:v>NEO-MATH-DISC-04</x:v>
      </x:c>
      <x:c r="B8" s="28" t="str">
        <x:v>Discovery / Reconnection</x:v>
      </x:c>
      <x:c r="C8" s="28" t="str">
        <x:v>Flexible entry</x:v>
      </x:c>
      <x:c r="D8" s="28" t="str">
        <x:v>Proportional Reasoning</x:v>
      </x:c>
      <x:c r="E8" s="28" t="str">
        <x:v>Fractions, Decimals and Percentages as One Family</x:v>
      </x:c>
      <x:c r="F8" s="28" t="str">
        <x:v>Equivalence Gallery</x:v>
      </x:c>
      <x:c r="G8" s="28" t="str">
        <x:v>Interactive choices; Scratchpad image; annotated solution; verbal teach-back; corrected misconception; short written or audio explanation</x:v>
      </x:c>
      <x:c r="H8" s="28" t="str">
        <x:v>Notices or attempts key ideas from recognise common equivalences with support and can show one relevant representation.</x:v>
      </x:c>
      <x:c r="I8" s="28" t="str">
        <x:v>Uses familiar methods to compare FDP and completes connected examples with prompts or checking support.</x:v>
      </x:c>
      <x:c r="J8" s="28" t="str">
        <x:v>Independently find fractions and percentages of quantities and explains the mathematical relationship or reasoning in a familiar and one varied context.</x:v>
      </x:c>
      <x:c r="K8" s="28" t="str">
        <x:v>Selects efficient representations or strategies, applies the learning in an unfamiliar context, and can choose a helpful representation with precise justification and reflection.</x:v>
      </x:c>
      <x:c r="L8" s="28" t="str">
        <x:v>NEO_Maths_Fractions_Decimals_and_Percentag_[FirstName]_[Date]</x:v>
      </x:c>
      <x:c r="M8" s="28" t="str">
        <x:v>What changed in my thinking? What support helped? What would I test or explain next?</x:v>
      </x:c>
      <x:c r="N8" s="36" t="str">
        <x:v>Learner owns the evidence; NEO owns canonical curriculum metadata.</x:v>
      </x:c>
    </x:row>
    <x:row r="9" ht="86" customHeight="1">
      <x:c r="A9" s="35" t="str">
        <x:v>NEO-MATH-DISC-05</x:v>
      </x:c>
      <x:c r="B9" s="28" t="str">
        <x:v>Discovery / Reconnection</x:v>
      </x:c>
      <x:c r="C9" s="28" t="str">
        <x:v>Flexible entry</x:v>
      </x:c>
      <x:c r="D9" s="28" t="str">
        <x:v>Structure &amp; Generalisation</x:v>
      </x:c>
      <x:c r="E9" s="28" t="str">
        <x:v>Patterns Before Letters</x:v>
      </x:c>
      <x:c r="F9" s="28" t="str">
        <x:v>Pattern Rule Card with examples and non-examples</x:v>
      </x:c>
      <x:c r="G9" s="28" t="str">
        <x:v>Interactive choices; Scratchpad image; annotated solution; verbal teach-back; corrected misconception; short written or audio explanation</x:v>
      </x:c>
      <x:c r="H9" s="28" t="str">
        <x:v>Notices or attempts key ideas from continue sequences with support and can show one relevant representation.</x:v>
      </x:c>
      <x:c r="I9" s="28" t="str">
        <x:v>Uses familiar methods to describe a rule and completes connected examples with prompts or checking support.</x:v>
      </x:c>
      <x:c r="J9" s="28" t="str">
        <x:v>Independently substitute values and explains the mathematical relationship or reasoning in a familiar and one varied context.</x:v>
      </x:c>
      <x:c r="K9" s="28" t="str">
        <x:v>Selects efficient representations or strategies, applies the learning in an unfamiliar context, and can create and test a conjecture with precise justification and reflection.</x:v>
      </x:c>
      <x:c r="L9" s="28" t="str">
        <x:v>NEO_Maths_Patterns_Before_Letters_[FirstName]_[Date]</x:v>
      </x:c>
      <x:c r="M9" s="28" t="str">
        <x:v>What changed in my thinking? What support helped? What would I test or explain next?</x:v>
      </x:c>
      <x:c r="N9" s="36" t="str">
        <x:v>Learner owns the evidence; NEO owns canonical curriculum metadata.</x:v>
      </x:c>
    </x:row>
    <x:row r="10" ht="86" customHeight="1">
      <x:c r="A10" s="35" t="str">
        <x:v>NEO-MATH-DISC-06</x:v>
      </x:c>
      <x:c r="B10" s="28" t="str">
        <x:v>Discovery / Reconnection</x:v>
      </x:c>
      <x:c r="C10" s="28" t="str">
        <x:v>Flexible entry</x:v>
      </x:c>
      <x:c r="D10" s="28" t="str">
        <x:v>Spatial Reasoning</x:v>
      </x:c>
      <x:c r="E10" s="28" t="str">
        <x:v>Shape, Space and Measure Around Me</x:v>
      </x:c>
      <x:c r="F10" s="28" t="str">
        <x:v>Annotated Space Audit</x:v>
      </x:c>
      <x:c r="G10" s="28" t="str">
        <x:v>Interactive choices; Scratchpad image; annotated solution; verbal teach-back; corrected misconception; short written or audio explanation</x:v>
      </x:c>
      <x:c r="H10" s="28" t="str">
        <x:v>Notices or attempts key ideas from recognise angle and shape properties with support and can show one relevant representation.</x:v>
      </x:c>
      <x:c r="I10" s="28" t="str">
        <x:v>Uses familiar methods to measure accurately and completes connected examples with prompts or checking support.</x:v>
      </x:c>
      <x:c r="J10" s="28" t="str">
        <x:v>Independently use units and explains the mathematical relationship or reasoning in a familiar and one varied context.</x:v>
      </x:c>
      <x:c r="K10" s="28" t="str">
        <x:v>Selects efficient representations or strategies, applies the learning in an unfamiliar context, and can explain a spatial decision with precise justification and reflection.</x:v>
      </x:c>
      <x:c r="L10" s="28" t="str">
        <x:v>NEO_Maths_Shape_Space_and_Measure_Around_M_[FirstName]_[Date]</x:v>
      </x:c>
      <x:c r="M10" s="28" t="str">
        <x:v>What changed in my thinking? What support helped? What would I test or explain next?</x:v>
      </x:c>
      <x:c r="N10" s="36" t="str">
        <x:v>Learner owns the evidence; NEO owns canonical curriculum metadata.</x:v>
      </x:c>
    </x:row>
    <x:row r="11" ht="86" customHeight="1">
      <x:c r="A11" s="35" t="str">
        <x:v>NEO-MATH-DISC-07</x:v>
      </x:c>
      <x:c r="B11" s="28" t="str">
        <x:v>Discovery / Reconnection</x:v>
      </x:c>
      <x:c r="C11" s="28" t="str">
        <x:v>Flexible entry</x:v>
      </x:c>
      <x:c r="D11" s="28" t="str">
        <x:v>Data &amp; Uncertainty</x:v>
      </x:c>
      <x:c r="E11" s="28" t="str">
        <x:v>What Can Data Really Tell Me?</x:v>
      </x:c>
      <x:c r="F11" s="28" t="str">
        <x:v>One-Page Data Claim Review</x:v>
      </x:c>
      <x:c r="G11" s="28" t="str">
        <x:v>Interactive choices; Scratchpad image; annotated solution; verbal teach-back; corrected misconception; short written or audio explanation</x:v>
      </x:c>
      <x:c r="H11" s="28" t="str">
        <x:v>Notices or attempts key ideas from read tables and charts with support and can show one relevant representation.</x:v>
      </x:c>
      <x:c r="I11" s="28" t="str">
        <x:v>Uses familiar methods to choose an average and completes connected examples with prompts or checking support.</x:v>
      </x:c>
      <x:c r="J11" s="28" t="str">
        <x:v>Independently use probability language and explains the mathematical relationship or reasoning in a familiar and one varied context.</x:v>
      </x:c>
      <x:c r="K11" s="28" t="str">
        <x:v>Selects efficient representations or strategies, applies the learning in an unfamiliar context, and can ask what data cannot show with precise justification and reflection.</x:v>
      </x:c>
      <x:c r="L11" s="28" t="str">
        <x:v>NEO_Maths_What_Can_Data_Really_Tell_Me_[FirstName]_[Date]</x:v>
      </x:c>
      <x:c r="M11" s="28" t="str">
        <x:v>What changed in my thinking? What support helped? What would I test or explain next?</x:v>
      </x:c>
      <x:c r="N11" s="36" t="str">
        <x:v>Learner owns the evidence; NEO owns canonical curriculum metadata.</x:v>
      </x:c>
    </x:row>
    <x:row r="12" ht="86" customHeight="1">
      <x:c r="A12" s="35" t="str">
        <x:v>NEO-MATH-DISC-08</x:v>
      </x:c>
      <x:c r="B12" s="28" t="str">
        <x:v>Discovery / Reconnection</x:v>
      </x:c>
      <x:c r="C12" s="28" t="str">
        <x:v>Flexible entry</x:v>
      </x:c>
      <x:c r="D12" s="28" t="str">
        <x:v>Financial &amp; Applied Reasoning</x:v>
      </x:c>
      <x:c r="E12" s="28" t="str">
        <x:v>Maths for a Real Decision</x:v>
      </x:c>
      <x:c r="F12" s="28" t="str">
        <x:v>Personal Applied Maths Decision Card</x:v>
      </x:c>
      <x:c r="G12" s="28" t="str">
        <x:v>Interactive choices; Scratchpad image; annotated solution; verbal teach-back; corrected misconception; short written or audio explanation</x:v>
      </x:c>
      <x:c r="H12" s="28" t="str">
        <x:v>Notices or attempts key ideas from identify needed information with support and can show one relevant representation.</x:v>
      </x:c>
      <x:c r="I12" s="28" t="str">
        <x:v>Uses familiar methods to choose operations and completes connected examples with prompts or checking support.</x:v>
      </x:c>
      <x:c r="J12" s="28" t="str">
        <x:v>Independently calculate and explains the mathematical relationship or reasoning in a familiar and one varied context.</x:v>
      </x:c>
      <x:c r="K12" s="28" t="str">
        <x:v>Selects efficient representations or strategies, applies the learning in an unfamiliar context, and can explain a decision and limitation with precise justification and reflection.</x:v>
      </x:c>
      <x:c r="L12" s="28" t="str">
        <x:v>NEO_Maths_Maths_for_a_Real_Decision_[FirstName]_[Date]</x:v>
      </x:c>
      <x:c r="M12" s="28" t="str">
        <x:v>What changed in my thinking? What support helped? What would I test or explain next?</x:v>
      </x:c>
      <x:c r="N12" s="36" t="str">
        <x:v>Learner owns the evidence; NEO owns canonical curriculum metadata.</x:v>
      </x:c>
    </x:row>
    <x:row r="13" ht="86" customHeight="1">
      <x:c r="A13" s="35" t="str">
        <x:v>NEO-MATH-Y7-01</x:v>
      </x:c>
      <x:c r="B13" s="28" t="str">
        <x:v>Year 7 Foundations</x:v>
      </x:c>
      <x:c r="C13" s="28" t="str">
        <x:v>Year 7</x:v>
      </x:c>
      <x:c r="D13" s="28" t="str">
        <x:v>Number Sense</x:v>
      </x:c>
      <x:c r="E13" s="28" t="str">
        <x:v>How Much Is a Digit Worth?</x:v>
      </x:c>
      <x:c r="F13" s="28" t="str">
        <x:v>Place-Value Exhibition</x:v>
      </x:c>
      <x:c r="G13" s="28" t="str">
        <x:v>Interactive choices; Scratchpad image; annotated solution; verbal teach-back; corrected misconception; short written or audio explanation</x:v>
      </x:c>
      <x:c r="H13" s="28" t="str">
        <x:v>Notices or attempts key ideas from use place value with integers and decimals with support and can show one relevant representation.</x:v>
      </x:c>
      <x:c r="I13" s="28" t="str">
        <x:v>Uses familiar methods to explain tenfold relationships and completes connected examples with prompts or checking support.</x:v>
      </x:c>
      <x:c r="J13" s="28" t="str">
        <x:v>Independently partition numbers and explains the mathematical relationship or reasoning in a familiar and one varied context.</x:v>
      </x:c>
      <x:c r="K13" s="28" t="str">
        <x:v>Selects efficient representations or strategies, applies the learning in an unfamiliar context, and can move between representations with precise justification and reflection.</x:v>
      </x:c>
      <x:c r="L13" s="28" t="str">
        <x:v>NEO_Maths_How_Much_Is_a_Digit_Worth_[FirstName]_[Date]</x:v>
      </x:c>
      <x:c r="M13" s="28" t="str">
        <x:v>What changed in my thinking? What support helped? What would I test or explain next?</x:v>
      </x:c>
      <x:c r="N13" s="36" t="str">
        <x:v>Learner owns the evidence; NEO owns canonical curriculum metadata.</x:v>
      </x:c>
    </x:row>
    <x:row r="14" ht="86" customHeight="1">
      <x:c r="A14" s="35" t="str">
        <x:v>NEO-MATH-Y7-02</x:v>
      </x:c>
      <x:c r="B14" s="28" t="str">
        <x:v>Year 7 Foundations</x:v>
      </x:c>
      <x:c r="C14" s="28" t="str">
        <x:v>Year 7</x:v>
      </x:c>
      <x:c r="D14" s="28" t="str">
        <x:v>Number Sense</x:v>
      </x:c>
      <x:c r="E14" s="28" t="str">
        <x:v>Calculations That Make Sense</x:v>
      </x:c>
      <x:c r="F14" s="28" t="str">
        <x:v>Error-Proof Calculation Guide</x:v>
      </x:c>
      <x:c r="G14" s="28" t="str">
        <x:v>Interactive choices; Scratchpad image; annotated solution; verbal teach-back; corrected misconception; short written or audio explanation</x:v>
      </x:c>
      <x:c r="H14" s="28" t="str">
        <x:v>Notices or attempts key ideas from use four operations with support and can show one relevant representation.</x:v>
      </x:c>
      <x:c r="I14" s="28" t="str">
        <x:v>Uses familiar methods to follow operation order and completes connected examples with prompts or checking support.</x:v>
      </x:c>
      <x:c r="J14" s="28" t="str">
        <x:v>Independently use inverse operations and explains the mathematical relationship or reasoning in a familiar and one varied context.</x:v>
      </x:c>
      <x:c r="K14" s="28" t="str">
        <x:v>Selects efficient representations or strategies, applies the learning in an unfamiliar context, and can check reasonableness with precise justification and reflection.</x:v>
      </x:c>
      <x:c r="L14" s="28" t="str">
        <x:v>NEO_Maths_Calculations_That_Make_Sense_[FirstName]_[Date]</x:v>
      </x:c>
      <x:c r="M14" s="28" t="str">
        <x:v>What changed in my thinking? What support helped? What would I test or explain next?</x:v>
      </x:c>
      <x:c r="N14" s="36" t="str">
        <x:v>Learner owns the evidence; NEO owns canonical curriculum metadata.</x:v>
      </x:c>
    </x:row>
    <x:row r="15" ht="86" customHeight="1">
      <x:c r="A15" s="35" t="str">
        <x:v>NEO-MATH-Y7-03</x:v>
      </x:c>
      <x:c r="B15" s="28" t="str">
        <x:v>Year 7 Foundations</x:v>
      </x:c>
      <x:c r="C15" s="28" t="str">
        <x:v>Year 7</x:v>
      </x:c>
      <x:c r="D15" s="28" t="str">
        <x:v>Structure &amp; Generalisation</x:v>
      </x:c>
      <x:c r="E15" s="28" t="str">
        <x:v>Patterns, Factors and Hidden Structure</x:v>
      </x:c>
      <x:c r="F15" s="28" t="str">
        <x:v>Number Structure Museum Card</x:v>
      </x:c>
      <x:c r="G15" s="28" t="str">
        <x:v>Interactive choices; Scratchpad image; annotated solution; verbal teach-back; corrected misconception; short written or audio explanation</x:v>
      </x:c>
      <x:c r="H15" s="28" t="str">
        <x:v>Notices or attempts key ideas from identify factors and multiples with support and can show one relevant representation.</x:v>
      </x:c>
      <x:c r="I15" s="28" t="str">
        <x:v>Uses familiar methods to recognise primes and completes connected examples with prompts or checking support.</x:v>
      </x:c>
      <x:c r="J15" s="28" t="str">
        <x:v>Independently use powers and explains the mathematical relationship or reasoning in a familiar and one varied context.</x:v>
      </x:c>
      <x:c r="K15" s="28" t="str">
        <x:v>Selects efficient representations or strategies, applies the learning in an unfamiliar context, and can test conjectures with precise justification and reflection.</x:v>
      </x:c>
      <x:c r="L15" s="28" t="str">
        <x:v>NEO_Maths_Patterns_Factors_and_Hidden_Stru_[FirstName]_[Date]</x:v>
      </x:c>
      <x:c r="M15" s="28" t="str">
        <x:v>What changed in my thinking? What support helped? What would I test or explain next?</x:v>
      </x:c>
      <x:c r="N15" s="36" t="str">
        <x:v>Learner owns the evidence; NEO owns canonical curriculum metadata.</x:v>
      </x:c>
    </x:row>
    <x:row r="16" ht="86" customHeight="1">
      <x:c r="A16" s="35" t="str">
        <x:v>NEO-MATH-Y7-04</x:v>
      </x:c>
      <x:c r="B16" s="28" t="str">
        <x:v>Year 7 Foundations</x:v>
      </x:c>
      <x:c r="C16" s="28" t="str">
        <x:v>Year 7</x:v>
      </x:c>
      <x:c r="D16" s="28" t="str">
        <x:v>Proportional Reasoning</x:v>
      </x:c>
      <x:c r="E16" s="28" t="str">
        <x:v>One Amount, Three Languages</x:v>
      </x:c>
      <x:c r="F16" s="28" t="str">
        <x:v>FDP Translation Guide</x:v>
      </x:c>
      <x:c r="G16" s="28" t="str">
        <x:v>Interactive choices; Scratchpad image; annotated solution; verbal teach-back; corrected misconception; short written or audio explanation</x:v>
      </x:c>
      <x:c r="H16" s="28" t="str">
        <x:v>Notices or attempts key ideas from simplify fractions with support and can show one relevant representation.</x:v>
      </x:c>
      <x:c r="I16" s="28" t="str">
        <x:v>Uses familiar methods to find equivalent fractions and completes connected examples with prompts or checking support.</x:v>
      </x:c>
      <x:c r="J16" s="28" t="str">
        <x:v>Independently compare FDP and explains the mathematical relationship or reasoning in a familiar and one varied context.</x:v>
      </x:c>
      <x:c r="K16" s="28" t="str">
        <x:v>Selects efficient representations or strategies, applies the learning in an unfamiliar context, and can explain representation choice with precise justification and reflection.</x:v>
      </x:c>
      <x:c r="L16" s="28" t="str">
        <x:v>NEO_Maths_One_Amount_Three_Languages_[FirstName]_[Date]</x:v>
      </x:c>
      <x:c r="M16" s="28" t="str">
        <x:v>What changed in my thinking? What support helped? What would I test or explain next?</x:v>
      </x:c>
      <x:c r="N16" s="36" t="str">
        <x:v>Learner owns the evidence; NEO owns canonical curriculum metadata.</x:v>
      </x:c>
    </x:row>
    <x:row r="17" ht="86" customHeight="1">
      <x:c r="A17" s="35" t="str">
        <x:v>NEO-MATH-Y7-05</x:v>
      </x:c>
      <x:c r="B17" s="28" t="str">
        <x:v>Year 7 Foundations</x:v>
      </x:c>
      <x:c r="C17" s="28" t="str">
        <x:v>Year 7</x:v>
      </x:c>
      <x:c r="D17" s="28" t="str">
        <x:v>Spatial Reasoning</x:v>
      </x:c>
      <x:c r="E17" s="28" t="str">
        <x:v>Angles Tell Us Why</x:v>
      </x:c>
      <x:c r="F17" s="28" t="str">
        <x:v>Annotated Angle Proof Trail</x:v>
      </x:c>
      <x:c r="G17" s="28" t="str">
        <x:v>Interactive choices; Scratchpad image; annotated solution; verbal teach-back; corrected misconception; short written or audio explanation</x:v>
      </x:c>
      <x:c r="H17" s="28" t="str">
        <x:v>Notices or attempts key ideas from use angle facts with support and can show one relevant representation.</x:v>
      </x:c>
      <x:c r="I17" s="28" t="str">
        <x:v>Uses familiar methods to identify triangle and quadrilateral properties and completes connected examples with prompts or checking support.</x:v>
      </x:c>
      <x:c r="J17" s="28" t="str">
        <x:v>Independently use precise notation and explains the mathematical relationship or reasoning in a familiar and one varied context.</x:v>
      </x:c>
      <x:c r="K17" s="28" t="str">
        <x:v>Selects efficient representations or strategies, applies the learning in an unfamiliar context, and can construct because–therefore chains with precise justification and reflection.</x:v>
      </x:c>
      <x:c r="L17" s="28" t="str">
        <x:v>NEO_Maths_Angles_Tell_Us_Why_[FirstName]_[Date]</x:v>
      </x:c>
      <x:c r="M17" s="28" t="str">
        <x:v>What changed in my thinking? What support helped? What would I test or explain next?</x:v>
      </x:c>
      <x:c r="N17" s="36" t="str">
        <x:v>Learner owns the evidence; NEO owns canonical curriculum metadata.</x:v>
      </x:c>
    </x:row>
    <x:row r="18" ht="86" customHeight="1">
      <x:c r="A18" s="35" t="str">
        <x:v>NEO-MATH-Y7-06</x:v>
      </x:c>
      <x:c r="B18" s="28" t="str">
        <x:v>Year 7 Foundations</x:v>
      </x:c>
      <x:c r="C18" s="28" t="str">
        <x:v>Year 7</x:v>
      </x:c>
      <x:c r="D18" s="28" t="str">
        <x:v>Spatial Reasoning</x:v>
      </x:c>
      <x:c r="E18" s="28" t="str">
        <x:v>Perimeter and Area: Same Shape Story?</x:v>
      </x:c>
      <x:c r="F18" s="28" t="str">
        <x:v>Floorplan Redesign</x:v>
      </x:c>
      <x:c r="G18" s="28" t="str">
        <x:v>Interactive choices; Scratchpad image; annotated solution; verbal teach-back; corrected misconception; short written or audio explanation</x:v>
      </x:c>
      <x:c r="H18" s="28" t="str">
        <x:v>Notices or attempts key ideas from distinguish perimeter and area with support and can show one relevant representation.</x:v>
      </x:c>
      <x:c r="I18" s="28" t="str">
        <x:v>Uses familiar methods to derive/use area formulae and completes connected examples with prompts or checking support.</x:v>
      </x:c>
      <x:c r="J18" s="28" t="str">
        <x:v>Independently convert metric units and explains the mathematical relationship or reasoning in a familiar and one varied context.</x:v>
      </x:c>
      <x:c r="K18" s="28" t="str">
        <x:v>Selects efficient representations or strategies, applies the learning in an unfamiliar context, and can justify design choices with precise justification and reflection.</x:v>
      </x:c>
      <x:c r="L18" s="28" t="str">
        <x:v>NEO_Maths_Perimeter_and_Area_Same_Shape_St_[FirstName]_[Date]</x:v>
      </x:c>
      <x:c r="M18" s="28" t="str">
        <x:v>What changed in my thinking? What support helped? What would I test or explain next?</x:v>
      </x:c>
      <x:c r="N18" s="36" t="str">
        <x:v>Learner owns the evidence; NEO owns canonical curriculum metadata.</x:v>
      </x:c>
    </x:row>
    <x:row r="19" ht="86" customHeight="1">
      <x:c r="A19" s="35" t="str">
        <x:v>NEO-MATH-Y7-07</x:v>
      </x:c>
      <x:c r="B19" s="28" t="str">
        <x:v>Year 7 Foundations</x:v>
      </x:c>
      <x:c r="C19" s="28" t="str">
        <x:v>Year 7</x:v>
      </x:c>
      <x:c r="D19" s="28" t="str">
        <x:v>Proportional Reasoning</x:v>
      </x:c>
      <x:c r="E19" s="28" t="str">
        <x:v>Relationships That Scale</x:v>
      </x:c>
      <x:c r="F19" s="28" t="str">
        <x:v>Smoothie Ratio Portfolio Piece or alternative scaling model</x:v>
      </x:c>
      <x:c r="G19" s="28" t="str">
        <x:v>Interactive choices; Scratchpad image; annotated solution; verbal teach-back; corrected misconception; short written or audio explanation</x:v>
      </x:c>
      <x:c r="H19" s="28" t="str">
        <x:v>Notices or attempts key ideas from use ratio notation with support and can show one relevant representation.</x:v>
      </x:c>
      <x:c r="I19" s="28" t="str">
        <x:v>Uses familiar methods to simplify ratios and completes connected examples with prompts or checking support.</x:v>
      </x:c>
      <x:c r="J19" s="28" t="str">
        <x:v>Independently use scale factors and explains the mathematical relationship or reasoning in a familiar and one varied context.</x:v>
      </x:c>
      <x:c r="K19" s="28" t="str">
        <x:v>Selects efficient representations or strategies, applies the learning in an unfamiliar context, and can explain multiplicative relationships with precise justification and reflection.</x:v>
      </x:c>
      <x:c r="L19" s="28" t="str">
        <x:v>NEO_Maths_Relationships_That_Scale_[FirstName]_[Date]</x:v>
      </x:c>
      <x:c r="M19" s="28" t="str">
        <x:v>What changed in my thinking? What support helped? What would I test or explain next?</x:v>
      </x:c>
      <x:c r="N19" s="36" t="str">
        <x:v>Learner owns the evidence; NEO owns canonical curriculum metadata.</x:v>
      </x:c>
    </x:row>
    <x:row r="20" ht="86" customHeight="1">
      <x:c r="A20" s="35" t="str">
        <x:v>NEO-MATH-Y7-08</x:v>
      </x:c>
      <x:c r="B20" s="28" t="str">
        <x:v>Year 7 Foundations</x:v>
      </x:c>
      <x:c r="C20" s="28" t="str">
        <x:v>Year 7</x:v>
      </x:c>
      <x:c r="D20" s="28" t="str">
        <x:v>Change &amp; Functions</x:v>
      </x:c>
      <x:c r="E20" s="28" t="str">
        <x:v>Coordinates and Moves</x:v>
      </x:c>
      <x:c r="F20" s="28" t="str">
        <x:v>Transformation Storyboard</x:v>
      </x:c>
      <x:c r="G20" s="28" t="str">
        <x:v>Interactive choices; Scratchpad image; annotated solution; verbal teach-back; corrected misconception; short written or audio explanation</x:v>
      </x:c>
      <x:c r="H20" s="28" t="str">
        <x:v>Notices or attempts key ideas from plot coordinates with support and can show one relevant representation.</x:v>
      </x:c>
      <x:c r="I20" s="28" t="str">
        <x:v>Uses familiar methods to use four quadrants when ready and completes connected examples with prompts or checking support.</x:v>
      </x:c>
      <x:c r="J20" s="28" t="str">
        <x:v>Independently reflect shapes and explains the mathematical relationship or reasoning in a familiar and one varied context.</x:v>
      </x:c>
      <x:c r="K20" s="28" t="str">
        <x:v>Selects efficient representations or strategies, applies the learning in an unfamiliar context, and can check invariants with precise justification and reflection.</x:v>
      </x:c>
      <x:c r="L20" s="28" t="str">
        <x:v>NEO_Maths_Coordinates_and_Moves_[FirstName]_[Date]</x:v>
      </x:c>
      <x:c r="M20" s="28" t="str">
        <x:v>What changed in my thinking? What support helped? What would I test or explain next?</x:v>
      </x:c>
      <x:c r="N20" s="36" t="str">
        <x:v>Learner owns the evidence; NEO owns canonical curriculum metadata.</x:v>
      </x:c>
    </x:row>
    <x:row r="21" ht="86" customHeight="1">
      <x:c r="A21" s="35" t="str">
        <x:v>NEO-MATH-Y7-09</x:v>
      </x:c>
      <x:c r="B21" s="28" t="str">
        <x:v>Year 7 Foundations</x:v>
      </x:c>
      <x:c r="C21" s="28" t="str">
        <x:v>Year 7</x:v>
      </x:c>
      <x:c r="D21" s="28" t="str">
        <x:v>Data &amp; Uncertainty</x:v>
      </x:c>
      <x:c r="E21" s="28" t="str">
        <x:v>Averages and Fair Shares</x:v>
      </x:c>
      <x:c r="F21" s="28" t="str">
        <x:v>Data Summary Recommendation</x:v>
      </x:c>
      <x:c r="G21" s="28" t="str">
        <x:v>Interactive choices; Scratchpad image; annotated solution; verbal teach-back; corrected misconception; short written or audio explanation</x:v>
      </x:c>
      <x:c r="H21" s="28" t="str">
        <x:v>Notices or attempts key ideas from calculate mean/median/mode/range with support and can show one relevant representation.</x:v>
      </x:c>
      <x:c r="I21" s="28" t="str">
        <x:v>Uses familiar methods to interpret averages and completes connected examples with prompts or checking support.</x:v>
      </x:c>
      <x:c r="J21" s="28" t="str">
        <x:v>Independently construct and read charts and explains the mathematical relationship or reasoning in a familiar and one varied context.</x:v>
      </x:c>
      <x:c r="K21" s="28" t="str">
        <x:v>Selects efficient representations or strategies, applies the learning in an unfamiliar context, and can recognise outliers with precise justification and reflection.</x:v>
      </x:c>
      <x:c r="L21" s="28" t="str">
        <x:v>NEO_Maths_Averages_and_Fair_Shares_[FirstName]_[Date]</x:v>
      </x:c>
      <x:c r="M21" s="28" t="str">
        <x:v>What changed in my thinking? What support helped? What would I test or explain next?</x:v>
      </x:c>
      <x:c r="N21" s="36" t="str">
        <x:v>Learner owns the evidence; NEO owns canonical curriculum metadata.</x:v>
      </x:c>
    </x:row>
    <x:row r="22" ht="86" customHeight="1">
      <x:c r="A22" s="35" t="str">
        <x:v>NEO-MATH-Y7-10</x:v>
      </x:c>
      <x:c r="B22" s="28" t="str">
        <x:v>Year 7 Foundations</x:v>
      </x:c>
      <x:c r="C22" s="28" t="str">
        <x:v>Year 7</x:v>
      </x:c>
      <x:c r="D22" s="28" t="str">
        <x:v>Data &amp; Uncertainty</x:v>
      </x:c>
      <x:c r="E22" s="28" t="str">
        <x:v>Chance, Experiments and Fairness</x:v>
      </x:c>
      <x:c r="F22" s="28" t="str">
        <x:v>Fair Game Investigation</x:v>
      </x:c>
      <x:c r="G22" s="28" t="str">
        <x:v>Interactive choices; Scratchpad image; annotated solution; verbal teach-back; corrected misconception; short written or audio explanation</x:v>
      </x:c>
      <x:c r="H22" s="28" t="str">
        <x:v>Notices or attempts key ideas from use probability scale with support and can show one relevant representation.</x:v>
      </x:c>
      <x:c r="I22" s="28" t="str">
        <x:v>Uses familiar methods to identify outcomes and completes connected examples with prompts or checking support.</x:v>
      </x:c>
      <x:c r="J22" s="28" t="str">
        <x:v>Independently run experiments and explains the mathematical relationship or reasoning in a familiar and one varied context.</x:v>
      </x:c>
      <x:c r="K22" s="28" t="str">
        <x:v>Selects efficient representations or strategies, applies the learning in an unfamiliar context, and can discuss sample size with precise justification and reflection.</x:v>
      </x:c>
      <x:c r="L22" s="28" t="str">
        <x:v>NEO_Maths_Chance_Experiments_and_Fairness_[FirstName]_[Date]</x:v>
      </x:c>
      <x:c r="M22" s="28" t="str">
        <x:v>What changed in my thinking? What support helped? What would I test or explain next?</x:v>
      </x:c>
      <x:c r="N22" s="36" t="str">
        <x:v>Learner owns the evidence; NEO owns canonical curriculum metadata.</x:v>
      </x:c>
    </x:row>
    <x:row r="23" ht="86" customHeight="1">
      <x:c r="A23" s="35" t="str">
        <x:v>NEO-MATH-Y8-01</x:v>
      </x:c>
      <x:c r="B23" s="28" t="str">
        <x:v>Year 8 Connections</x:v>
      </x:c>
      <x:c r="C23" s="28" t="str">
        <x:v>Year 8</x:v>
      </x:c>
      <x:c r="D23" s="28" t="str">
        <x:v>Number Sense</x:v>
      </x:c>
      <x:c r="E23" s="28" t="str">
        <x:v>Percent Change and the Story of Growth</x:v>
      </x:c>
      <x:c r="F23" s="28" t="str">
        <x:v>Percentage Myth-Buster</x:v>
      </x:c>
      <x:c r="G23" s="28" t="str">
        <x:v>Interactive choices; Scratchpad image; annotated solution; verbal teach-back; corrected misconception; short written or audio explanation</x:v>
      </x:c>
      <x:c r="H23" s="28" t="str">
        <x:v>Notices or attempts key ideas from calculate percentage increase/decrease with support and can show one relevant representation.</x:v>
      </x:c>
      <x:c r="I23" s="28" t="str">
        <x:v>Uses familiar methods to use multipliers informally and completes connected examples with prompts or checking support.</x:v>
      </x:c>
      <x:c r="J23" s="28" t="str">
        <x:v>Independently estimate and explains the mathematical relationship or reasoning in a familiar and one varied context.</x:v>
      </x:c>
      <x:c r="K23" s="28" t="str">
        <x:v>Selects efficient representations or strategies, applies the learning in an unfamiliar context, and can explain non-reversibility with precise justification and reflection.</x:v>
      </x:c>
      <x:c r="L23" s="28" t="str">
        <x:v>NEO_Maths_Percent_Change_and_the_Story_of__[FirstName]_[Date]</x:v>
      </x:c>
      <x:c r="M23" s="28" t="str">
        <x:v>What changed in my thinking? What support helped? What would I test or explain next?</x:v>
      </x:c>
      <x:c r="N23" s="36" t="str">
        <x:v>Learner owns the evidence; NEO owns canonical curriculum metadata.</x:v>
      </x:c>
    </x:row>
    <x:row r="24" ht="86" customHeight="1">
      <x:c r="A24" s="35" t="str">
        <x:v>NEO-MATH-Y8-02</x:v>
      </x:c>
      <x:c r="B24" s="28" t="str">
        <x:v>Year 8 Connections</x:v>
      </x:c>
      <x:c r="C24" s="28" t="str">
        <x:v>Year 8</x:v>
      </x:c>
      <x:c r="D24" s="28" t="str">
        <x:v>Structure &amp; Generalisation</x:v>
      </x:c>
      <x:c r="E24" s="28" t="str">
        <x:v>Algebra as a Language of Structure</x:v>
      </x:c>
      <x:c r="F24" s="28" t="str">
        <x:v>Algebra Translation Dictionary</x:v>
      </x:c>
      <x:c r="G24" s="28" t="str">
        <x:v>Interactive choices; Scratchpad image; annotated solution; verbal teach-back; corrected misconception; short written or audio explanation</x:v>
      </x:c>
      <x:c r="H24" s="28" t="str">
        <x:v>Notices or attempts key ideas from collect like terms with support and can show one relevant representation.</x:v>
      </x:c>
      <x:c r="I24" s="28" t="str">
        <x:v>Uses familiar methods to substitute and completes connected examples with prompts or checking support.</x:v>
      </x:c>
      <x:c r="J24" s="28" t="str">
        <x:v>Independently factorise common factors and explains the mathematical relationship or reasoning in a familiar and one varied context.</x:v>
      </x:c>
      <x:c r="K24" s="28" t="str">
        <x:v>Selects efficient representations or strategies, applies the learning in an unfamiliar context, and can justify equivalent forms with precise justification and reflection.</x:v>
      </x:c>
      <x:c r="L24" s="28" t="str">
        <x:v>NEO_Maths_Algebra_as_a_Language_of_Structu_[FirstName]_[Date]</x:v>
      </x:c>
      <x:c r="M24" s="28" t="str">
        <x:v>What changed in my thinking? What support helped? What would I test or explain next?</x:v>
      </x:c>
      <x:c r="N24" s="36" t="str">
        <x:v>Learner owns the evidence; NEO owns canonical curriculum metadata.</x:v>
      </x:c>
    </x:row>
    <x:row r="25" ht="86" customHeight="1">
      <x:c r="A25" s="35" t="str">
        <x:v>NEO-MATH-Y8-03</x:v>
      </x:c>
      <x:c r="B25" s="28" t="str">
        <x:v>Year 8 Connections</x:v>
      </x:c>
      <x:c r="C25" s="28" t="str">
        <x:v>Year 8</x:v>
      </x:c>
      <x:c r="D25" s="28" t="str">
        <x:v>Structure &amp; Generalisation</x:v>
      </x:c>
      <x:c r="E25" s="28" t="str">
        <x:v>Equations: Keeping a Relationship in Balance</x:v>
      </x:c>
      <x:c r="F25" s="28" t="str">
        <x:v>Equation Repair Portfolio</x:v>
      </x:c>
      <x:c r="G25" s="28" t="str">
        <x:v>Interactive choices; Scratchpad image; annotated solution; verbal teach-back; corrected misconception; short written or audio explanation</x:v>
      </x:c>
      <x:c r="H25" s="28" t="str">
        <x:v>Notices or attempts key ideas from solve one- and two-step linear equations with support and can show one relevant representation.</x:v>
      </x:c>
      <x:c r="I25" s="28" t="str">
        <x:v>Uses familiar methods to use inverse operations and completes connected examples with prompts or checking support.</x:v>
      </x:c>
      <x:c r="J25" s="28" t="str">
        <x:v>Independently form equations from contexts and explains the mathematical relationship or reasoning in a familiar and one varied context.</x:v>
      </x:c>
      <x:c r="K25" s="28" t="str">
        <x:v>Selects efficient representations or strategies, applies the learning in an unfamiliar context, and can check by substitution with precise justification and reflection.</x:v>
      </x:c>
      <x:c r="L25" s="28" t="str">
        <x:v>NEO_Maths_Equations_Keeping_a_Relationship_[FirstName]_[Date]</x:v>
      </x:c>
      <x:c r="M25" s="28" t="str">
        <x:v>What changed in my thinking? What support helped? What would I test or explain next?</x:v>
      </x:c>
      <x:c r="N25" s="36" t="str">
        <x:v>Learner owns the evidence; NEO owns canonical curriculum metadata.</x:v>
      </x:c>
    </x:row>
    <x:row r="26" ht="86" customHeight="1">
      <x:c r="A26" s="35" t="str">
        <x:v>NEO-MATH-Y8-04</x:v>
      </x:c>
      <x:c r="B26" s="28" t="str">
        <x:v>Year 8 Connections</x:v>
      </x:c>
      <x:c r="C26" s="28" t="str">
        <x:v>Year 8</x:v>
      </x:c>
      <x:c r="D26" s="28" t="str">
        <x:v>Change &amp; Functions</x:v>
      </x:c>
      <x:c r="E26" s="28" t="str">
        <x:v>Lines Tell Stories of Change</x:v>
      </x:c>
      <x:c r="F26" s="28" t="str">
        <x:v>Human Graph Story / Linear Model Portfolio Piece</x:v>
      </x:c>
      <x:c r="G26" s="28" t="str">
        <x:v>Interactive choices; Scratchpad image; annotated solution; verbal teach-back; corrected misconception; short written or audio explanation</x:v>
      </x:c>
      <x:c r="H26" s="28" t="str">
        <x:v>Notices or attempts key ideas from connect equations, tables and graphs with support and can show one relevant representation.</x:v>
      </x:c>
      <x:c r="I26" s="28" t="str">
        <x:v>Uses familiar methods to interpret gradient and completes connected examples with prompts or checking support.</x:v>
      </x:c>
      <x:c r="J26" s="28" t="str">
        <x:v>Independently recognise positive/negative/zero gradients and explains the mathematical relationship or reasoning in a familiar and one varied context.</x:v>
      </x:c>
      <x:c r="K26" s="28" t="str">
        <x:v>Selects efficient representations or strategies, applies the learning in an unfamiliar context, and can evaluate linear models with precise justification and reflection.</x:v>
      </x:c>
      <x:c r="L26" s="28" t="str">
        <x:v>NEO_Maths_Lines_Tell_Stories_of_Change_[FirstName]_[Date]</x:v>
      </x:c>
      <x:c r="M26" s="28" t="str">
        <x:v>What changed in my thinking? What support helped? What would I test or explain next?</x:v>
      </x:c>
      <x:c r="N26" s="36" t="str">
        <x:v>Learner owns the evidence; NEO owns canonical curriculum metadata.</x:v>
      </x:c>
    </x:row>
    <x:row r="27" ht="86" customHeight="1">
      <x:c r="A27" s="35" t="str">
        <x:v>NEO-MATH-Y8-05</x:v>
      </x:c>
      <x:c r="B27" s="28" t="str">
        <x:v>Year 8 Connections</x:v>
      </x:c>
      <x:c r="C27" s="28" t="str">
        <x:v>Year 8</x:v>
      </x:c>
      <x:c r="D27" s="28" t="str">
        <x:v>Structure &amp; Generalisation</x:v>
      </x:c>
      <x:c r="E27" s="28" t="str">
        <x:v>Sequences: From Steps to Rules</x:v>
      </x:c>
      <x:c r="F27" s="28" t="str">
        <x:v>Sequence Design Card</x:v>
      </x:c>
      <x:c r="G27" s="28" t="str">
        <x:v>Interactive choices; Scratchpad image; annotated solution; verbal teach-back; corrected misconception; short written or audio explanation</x:v>
      </x:c>
      <x:c r="H27" s="28" t="str">
        <x:v>Notices or attempts key ideas from generate arithmetic sequences with support and can show one relevant representation.</x:v>
      </x:c>
      <x:c r="I27" s="28" t="str">
        <x:v>Uses familiar methods to find term-to-term rules and completes connected examples with prompts or checking support.</x:v>
      </x:c>
      <x:c r="J27" s="28" t="str">
        <x:v>Independently use position-to-term rules and explains the mathematical relationship or reasoning in a familiar and one varied context.</x:v>
      </x:c>
      <x:c r="K27" s="28" t="str">
        <x:v>Selects efficient representations or strategies, applies the learning in an unfamiliar context, and can compare sequence and graph representations with precise justification and reflection.</x:v>
      </x:c>
      <x:c r="L27" s="28" t="str">
        <x:v>NEO_Maths_Sequences_From_Steps_to_Rules_[FirstName]_[Date]</x:v>
      </x:c>
      <x:c r="M27" s="28" t="str">
        <x:v>What changed in my thinking? What support helped? What would I test or explain next?</x:v>
      </x:c>
      <x:c r="N27" s="36" t="str">
        <x:v>Learner owns the evidence; NEO owns canonical curriculum metadata.</x:v>
      </x:c>
    </x:row>
    <x:row r="28" ht="86" customHeight="1">
      <x:c r="A28" s="35" t="str">
        <x:v>NEO-MATH-Y8-06</x:v>
      </x:c>
      <x:c r="B28" s="28" t="str">
        <x:v>Year 8 Connections</x:v>
      </x:c>
      <x:c r="C28" s="28" t="str">
        <x:v>Year 8</x:v>
      </x:c>
      <x:c r="D28" s="28" t="str">
        <x:v>Spatial Reasoning</x:v>
      </x:c>
      <x:c r="E28" s="28" t="str">
        <x:v>Parallel Lines and Polygon Logic</x:v>
      </x:c>
      <x:c r="F28" s="28" t="str">
        <x:v>Because–Therefore Geometry Proof</x:v>
      </x:c>
      <x:c r="G28" s="28" t="str">
        <x:v>Interactive choices; Scratchpad image; annotated solution; verbal teach-back; corrected misconception; short written or audio explanation</x:v>
      </x:c>
      <x:c r="H28" s="28" t="str">
        <x:v>Notices or attempts key ideas from use parallel-line angle facts with support and can show one relevant representation.</x:v>
      </x:c>
      <x:c r="I28" s="28" t="str">
        <x:v>Uses familiar methods to derive polygon angle sums and completes connected examples with prompts or checking support.</x:v>
      </x:c>
      <x:c r="J28" s="28" t="str">
        <x:v>Independently justify each step and explains the mathematical relationship or reasoning in a familiar and one varied context.</x:v>
      </x:c>
      <x:c r="K28" s="28" t="str">
        <x:v>Selects efficient representations or strategies, applies the learning in an unfamiliar context, and can recognise conditions for rules with precise justification and reflection.</x:v>
      </x:c>
      <x:c r="L28" s="28" t="str">
        <x:v>NEO_Maths_Parallel_Lines_and_Polygon_Logic_[FirstName]_[Date]</x:v>
      </x:c>
      <x:c r="M28" s="28" t="str">
        <x:v>What changed in my thinking? What support helped? What would I test or explain next?</x:v>
      </x:c>
      <x:c r="N28" s="36" t="str">
        <x:v>Learner owns the evidence; NEO owns canonical curriculum metadata.</x:v>
      </x:c>
    </x:row>
    <x:row r="29" ht="86" customHeight="1">
      <x:c r="A29" s="35" t="str">
        <x:v>NEO-MATH-Y8-07</x:v>
      </x:c>
      <x:c r="B29" s="28" t="str">
        <x:v>Year 8 Connections</x:v>
      </x:c>
      <x:c r="C29" s="28" t="str">
        <x:v>Year 8</x:v>
      </x:c>
      <x:c r="D29" s="28" t="str">
        <x:v>Spatial Reasoning</x:v>
      </x:c>
      <x:c r="E29" s="28" t="str">
        <x:v>Circles, Prisms and Packaging</x:v>
      </x:c>
      <x:c r="F29" s="28" t="str">
        <x:v>Low-Waste Package Design</x:v>
      </x:c>
      <x:c r="G29" s="28" t="str">
        <x:v>Interactive choices; Scratchpad image; annotated solution; verbal teach-back; corrected misconception; short written or audio explanation</x:v>
      </x:c>
      <x:c r="H29" s="28" t="str">
        <x:v>Notices or attempts key ideas from use circle vocabulary with support and can show one relevant representation.</x:v>
      </x:c>
      <x:c r="I29" s="28" t="str">
        <x:v>Uses familiar methods to calculate circumference/area and completes connected examples with prompts or checking support.</x:v>
      </x:c>
      <x:c r="J29" s="28" t="str">
        <x:v>Independently calculate surface area and explains the mathematical relationship or reasoning in a familiar and one varied context.</x:v>
      </x:c>
      <x:c r="K29" s="28" t="str">
        <x:v>Selects efficient representations or strategies, applies the learning in an unfamiliar context, and can optimise within constraints with precise justification and reflection.</x:v>
      </x:c>
      <x:c r="L29" s="28" t="str">
        <x:v>NEO_Maths_Circles_Prisms_and_Packaging_[FirstName]_[Date]</x:v>
      </x:c>
      <x:c r="M29" s="28" t="str">
        <x:v>What changed in my thinking? What support helped? What would I test or explain next?</x:v>
      </x:c>
      <x:c r="N29" s="36" t="str">
        <x:v>Learner owns the evidence; NEO owns canonical curriculum metadata.</x:v>
      </x:c>
    </x:row>
    <x:row r="30" ht="86" customHeight="1">
      <x:c r="A30" s="35" t="str">
        <x:v>NEO-MATH-Y8-08</x:v>
      </x:c>
      <x:c r="B30" s="28" t="str">
        <x:v>Year 8 Connections</x:v>
      </x:c>
      <x:c r="C30" s="28" t="str">
        <x:v>Year 8</x:v>
      </x:c>
      <x:c r="D30" s="28" t="str">
        <x:v>Proportional Reasoning</x:v>
      </x:c>
      <x:c r="E30" s="28" t="str">
        <x:v>Rates, Best Value and Direct Proportion</x:v>
      </x:c>
      <x:c r="F30" s="28" t="str">
        <x:v>Fair Pricing Recommendation</x:v>
      </x:c>
      <x:c r="G30" s="28" t="str">
        <x:v>Interactive choices; Scratchpad image; annotated solution; verbal teach-back; corrected misconception; short written or audio explanation</x:v>
      </x:c>
      <x:c r="H30" s="28" t="str">
        <x:v>Notices or attempts key ideas from calculate unit rates with support and can show one relevant representation.</x:v>
      </x:c>
      <x:c r="I30" s="28" t="str">
        <x:v>Uses familiar methods to use speed/density and completes connected examples with prompts or checking support.</x:v>
      </x:c>
      <x:c r="J30" s="28" t="str">
        <x:v>Independently recognise proportional graphs through origin and explains the mathematical relationship or reasoning in a familiar and one varied context.</x:v>
      </x:c>
      <x:c r="K30" s="28" t="str">
        <x:v>Selects efficient representations or strategies, applies the learning in an unfamiliar context, and can justify best value with precise justification and reflection.</x:v>
      </x:c>
      <x:c r="L30" s="28" t="str">
        <x:v>NEO_Maths_Rates_Best_Value_and_Direct_Prop_[FirstName]_[Date]</x:v>
      </x:c>
      <x:c r="M30" s="28" t="str">
        <x:v>What changed in my thinking? What support helped? What would I test or explain next?</x:v>
      </x:c>
      <x:c r="N30" s="36" t="str">
        <x:v>Learner owns the evidence; NEO owns canonical curriculum metadata.</x:v>
      </x:c>
    </x:row>
    <x:row r="31" ht="86" customHeight="1">
      <x:c r="A31" s="35" t="str">
        <x:v>NEO-MATH-Y8-09</x:v>
      </x:c>
      <x:c r="B31" s="28" t="str">
        <x:v>Year 8 Connections</x:v>
      </x:c>
      <x:c r="C31" s="28" t="str">
        <x:v>Year 8</x:v>
      </x:c>
      <x:c r="D31" s="28" t="str">
        <x:v>Data &amp; Uncertainty</x:v>
      </x:c>
      <x:c r="E31" s="28" t="str">
        <x:v>Comparing Data Without Hiding the Story</x:v>
      </x:c>
      <x:c r="F31" s="28" t="str">
        <x:v>Data Claim Infographic with Caveats</x:v>
      </x:c>
      <x:c r="G31" s="28" t="str">
        <x:v>Interactive choices; Scratchpad image; annotated solution; verbal teach-back; corrected misconception; short written or audio explanation</x:v>
      </x:c>
      <x:c r="H31" s="28" t="str">
        <x:v>Notices or attempts key ideas from compare distributions with support and can show one relevant representation.</x:v>
      </x:c>
      <x:c r="I31" s="28" t="str">
        <x:v>Uses familiar methods to choose averages/spread and completes connected examples with prompts or checking support.</x:v>
      </x:c>
      <x:c r="J31" s="28" t="str">
        <x:v>Independently interpret scatter graphs and explains the mathematical relationship or reasoning in a familiar and one varied context.</x:v>
      </x:c>
      <x:c r="K31" s="28" t="str">
        <x:v>Selects efficient representations or strategies, applies the learning in an unfamiliar context, and can critique claims with precise justification and reflection.</x:v>
      </x:c>
      <x:c r="L31" s="28" t="str">
        <x:v>NEO_Maths_Comparing_Data_Without_Hiding_th_[FirstName]_[Date]</x:v>
      </x:c>
      <x:c r="M31" s="28" t="str">
        <x:v>What changed in my thinking? What support helped? What would I test or explain next?</x:v>
      </x:c>
      <x:c r="N31" s="36" t="str">
        <x:v>Learner owns the evidence; NEO owns canonical curriculum metadata.</x:v>
      </x:c>
    </x:row>
    <x:row r="32" ht="86" customHeight="1">
      <x:c r="A32" s="35" t="str">
        <x:v>NEO-MATH-Y8-10</x:v>
      </x:c>
      <x:c r="B32" s="28" t="str">
        <x:v>Year 8 Connections</x:v>
      </x:c>
      <x:c r="C32" s="28" t="str">
        <x:v>Year 8</x:v>
      </x:c>
      <x:c r="D32" s="28" t="str">
        <x:v>Data &amp; Uncertainty</x:v>
      </x:c>
      <x:c r="E32" s="28" t="str">
        <x:v>Building Probability Models</x:v>
      </x:c>
      <x:c r="F32" s="28" t="str">
        <x:v>Probability Model Review</x:v>
      </x:c>
      <x:c r="G32" s="28" t="str">
        <x:v>Interactive choices; Scratchpad image; annotated solution; verbal teach-back; corrected misconception; short written or audio explanation</x:v>
      </x:c>
      <x:c r="H32" s="28" t="str">
        <x:v>Notices or attempts key ideas from enumerate sample spaces with support and can show one relevant representation.</x:v>
      </x:c>
      <x:c r="I32" s="28" t="str">
        <x:v>Uses familiar methods to use two-way tables/Venn when appropriate and completes connected examples with prompts or checking support.</x:v>
      </x:c>
      <x:c r="J32" s="28" t="str">
        <x:v>Independently compare theory and experiment and explains the mathematical relationship or reasoning in a familiar and one varied context.</x:v>
      </x:c>
      <x:c r="K32" s="28" t="str">
        <x:v>Selects efficient representations or strategies, applies the learning in an unfamiliar context, and can explain fairness with precise justification and reflection.</x:v>
      </x:c>
      <x:c r="L32" s="28" t="str">
        <x:v>NEO_Maths_Building_Probability_Models_[FirstName]_[Date]</x:v>
      </x:c>
      <x:c r="M32" s="28" t="str">
        <x:v>What changed in my thinking? What support helped? What would I test or explain next?</x:v>
      </x:c>
      <x:c r="N32" s="36" t="str">
        <x:v>Learner owns the evidence; NEO owns canonical curriculum metadata.</x:v>
      </x:c>
    </x:row>
    <x:row r="33" ht="86" customHeight="1">
      <x:c r="A33" s="35" t="str">
        <x:v>NEO-MATH-Y9-01</x:v>
      </x:c>
      <x:c r="B33" s="28" t="str">
        <x:v>Year 9 Bridge</x:v>
      </x:c>
      <x:c r="C33" s="28" t="str">
        <x:v>Year 9</x:v>
      </x:c>
      <x:c r="D33" s="28" t="str">
        <x:v>Number Sense</x:v>
      </x:c>
      <x:c r="E33" s="28" t="str">
        <x:v>Accuracy, Powers and Scale</x:v>
      </x:c>
      <x:c r="F33" s="28" t="str">
        <x:v>Scale of the World Investigation</x:v>
      </x:c>
      <x:c r="G33" s="28" t="str">
        <x:v>Interactive choices; Scratchpad image; annotated solution; verbal teach-back; corrected misconception; short written or audio explanation</x:v>
      </x:c>
      <x:c r="H33" s="28" t="str">
        <x:v>Notices or attempts key ideas from round to significant figures with support and can show one relevant representation.</x:v>
      </x:c>
      <x:c r="I33" s="28" t="str">
        <x:v>Uses familiar methods to estimate and completes connected examples with prompts or checking support.</x:v>
      </x:c>
      <x:c r="J33" s="28" t="str">
        <x:v>Independently write/order standard form and explains the mathematical relationship or reasoning in a familiar and one varied context.</x:v>
      </x:c>
      <x:c r="K33" s="28" t="str">
        <x:v>Selects efficient representations or strategies, applies the learning in an unfamiliar context, and can choose sensible accuracy with precise justification and reflection.</x:v>
      </x:c>
      <x:c r="L33" s="28" t="str">
        <x:v>NEO_Maths_Accuracy_Powers_and_Scale_[FirstName]_[Date]</x:v>
      </x:c>
      <x:c r="M33" s="28" t="str">
        <x:v>What changed in my thinking? What support helped? What would I test or explain next?</x:v>
      </x:c>
      <x:c r="N33" s="36" t="str">
        <x:v>Learner owns the evidence; NEO owns canonical curriculum metadata.</x:v>
      </x:c>
    </x:row>
    <x:row r="34" ht="86" customHeight="1">
      <x:c r="A34" s="35" t="str">
        <x:v>NEO-MATH-Y9-02</x:v>
      </x:c>
      <x:c r="B34" s="28" t="str">
        <x:v>Year 9 Bridge</x:v>
      </x:c>
      <x:c r="C34" s="28" t="str">
        <x:v>Year 9</x:v>
      </x:c>
      <x:c r="D34" s="28" t="str">
        <x:v>Spatial Reasoning</x:v>
      </x:c>
      <x:c r="E34" s="28" t="str">
        <x:v>Solids, Cross-Sections and Space</x:v>
      </x:c>
      <x:c r="F34" s="28" t="str">
        <x:v>Shape Passport / Packaging Redesign</x:v>
      </x:c>
      <x:c r="G34" s="28" t="str">
        <x:v>Interactive choices; Scratchpad image; annotated solution; verbal teach-back; corrected misconception; short written or audio explanation</x:v>
      </x:c>
      <x:c r="H34" s="28" t="str">
        <x:v>Notices or attempts key ideas from analyse 2D/3D properties with support and can show one relevant representation.</x:v>
      </x:c>
      <x:c r="I34" s="28" t="str">
        <x:v>Uses familiar methods to calculate surface area/volume and completes connected examples with prompts or checking support.</x:v>
      </x:c>
      <x:c r="J34" s="28" t="str">
        <x:v>Independently use polygon angles and explains the mathematical relationship or reasoning in a familiar and one varied context.</x:v>
      </x:c>
      <x:c r="K34" s="28" t="str">
        <x:v>Selects efficient representations or strategies, applies the learning in an unfamiliar context, and can reason from nets with precise justification and reflection.</x:v>
      </x:c>
      <x:c r="L34" s="28" t="str">
        <x:v>NEO_Maths_Solids_Cross_Sections_and_Space_[FirstName]_[Date]</x:v>
      </x:c>
      <x:c r="M34" s="28" t="str">
        <x:v>What changed in my thinking? What support helped? What would I test or explain next?</x:v>
      </x:c>
      <x:c r="N34" s="36" t="str">
        <x:v>Learner owns the evidence; NEO owns canonical curriculum metadata.</x:v>
      </x:c>
    </x:row>
    <x:row r="35" ht="86" customHeight="1">
      <x:c r="A35" s="35" t="str">
        <x:v>NEO-MATH-Y9-03</x:v>
      </x:c>
      <x:c r="B35" s="28" t="str">
        <x:v>Year 9 Bridge</x:v>
      </x:c>
      <x:c r="C35" s="28" t="str">
        <x:v>Year 9</x:v>
      </x:c>
      <x:c r="D35" s="28" t="str">
        <x:v>Structure &amp; Generalisation</x:v>
      </x:c>
      <x:c r="E35" s="28" t="str">
        <x:v>Quadratics: When Change Itself Changes</x:v>
      </x:c>
      <x:c r="F35" s="28" t="str">
        <x:v>Quadratic Graph Story</x:v>
      </x:c>
      <x:c r="G35" s="28" t="str">
        <x:v>Interactive choices; Scratchpad image; annotated solution; verbal teach-back; corrected misconception; short written or audio explanation</x:v>
      </x:c>
      <x:c r="H35" s="28" t="str">
        <x:v>Notices or attempts key ideas from recognise quadratic patterns with support and can show one relevant representation.</x:v>
      </x:c>
      <x:c r="I35" s="28" t="str">
        <x:v>Uses familiar methods to use second differences and completes connected examples with prompts or checking support.</x:v>
      </x:c>
      <x:c r="J35" s="28" t="str">
        <x:v>Independently plot quadratic graphs and explains the mathematical relationship or reasoning in a familiar and one varied context.</x:v>
      </x:c>
      <x:c r="K35" s="28" t="str">
        <x:v>Selects efficient representations or strategies, applies the learning in an unfamiliar context, and can compare transformations with precise justification and reflection.</x:v>
      </x:c>
      <x:c r="L35" s="28" t="str">
        <x:v>NEO_Maths_Quadratics_When_Change_Itself_Ch_[FirstName]_[Date]</x:v>
      </x:c>
      <x:c r="M35" s="28" t="str">
        <x:v>What changed in my thinking? What support helped? What would I test or explain next?</x:v>
      </x:c>
      <x:c r="N35" s="36" t="str">
        <x:v>Learner owns the evidence; NEO owns canonical curriculum metadata.</x:v>
      </x:c>
    </x:row>
    <x:row r="36" ht="86" customHeight="1">
      <x:c r="A36" s="35" t="str">
        <x:v>NEO-MATH-Y9-04</x:v>
      </x:c>
      <x:c r="B36" s="28" t="str">
        <x:v>Year 9 Bridge</x:v>
      </x:c>
      <x:c r="C36" s="28" t="str">
        <x:v>Year 9</x:v>
      </x:c>
      <x:c r="D36" s="28" t="str">
        <x:v>Spatial Reasoning</x:v>
      </x:c>
      <x:c r="E36" s="28" t="str">
        <x:v>Precision, Loci and Safe Routes</x:v>
      </x:c>
      <x:c r="F36" s="28" t="str">
        <x:v>Safe Route Map with Construction Notes</x:v>
      </x:c>
      <x:c r="G36" s="28" t="str">
        <x:v>Interactive choices; Scratchpad image; annotated solution; verbal teach-back; corrected misconception; short written or audio explanation</x:v>
      </x:c>
      <x:c r="H36" s="28" t="str">
        <x:v>Notices or attempts key ideas from use ruler/compass constructions with support and can show one relevant representation.</x:v>
      </x:c>
      <x:c r="I36" s="28" t="str">
        <x:v>Uses familiar methods to construct bisectors and completes connected examples with prompts or checking support.</x:v>
      </x:c>
      <x:c r="J36" s="28" t="str">
        <x:v>Independently use bearings and explains the mathematical relationship or reasoning in a familiar and one varied context.</x:v>
      </x:c>
      <x:c r="K36" s="28" t="str">
        <x:v>Selects efficient representations or strategies, applies the learning in an unfamiliar context, and can justify precision with precise justification and reflection.</x:v>
      </x:c>
      <x:c r="L36" s="28" t="str">
        <x:v>NEO_Maths_Precision_Loci_and_Safe_Routes_[FirstName]_[Date]</x:v>
      </x:c>
      <x:c r="M36" s="28" t="str">
        <x:v>What changed in my thinking? What support helped? What would I test or explain next?</x:v>
      </x:c>
      <x:c r="N36" s="36" t="str">
        <x:v>Learner owns the evidence; NEO owns canonical curriculum metadata.</x:v>
      </x:c>
    </x:row>
    <x:row r="37" ht="86" customHeight="1">
      <x:c r="A37" s="35" t="str">
        <x:v>NEO-MATH-Y9-05</x:v>
      </x:c>
      <x:c r="B37" s="28" t="str">
        <x:v>Year 9 Bridge</x:v>
      </x:c>
      <x:c r="C37" s="28" t="str">
        <x:v>Year 9</x:v>
      </x:c>
      <x:c r="D37" s="28" t="str">
        <x:v>Structure &amp; Generalisation</x:v>
      </x:c>
      <x:c r="E37" s="28" t="str">
        <x:v>Inequalities: Mathematics with Boundaries</x:v>
      </x:c>
      <x:c r="F37" s="28" t="str">
        <x:v>Constraints Design Brief</x:v>
      </x:c>
      <x:c r="G37" s="28" t="str">
        <x:v>Interactive choices; Scratchpad image; annotated solution; verbal teach-back; corrected misconception; short written or audio explanation</x:v>
      </x:c>
      <x:c r="H37" s="28" t="str">
        <x:v>Notices or attempts key ideas from solve linear inequalities with support and can show one relevant representation.</x:v>
      </x:c>
      <x:c r="I37" s="28" t="str">
        <x:v>Uses familiar methods to represent solution sets and completes connected examples with prompts or checking support.</x:v>
      </x:c>
      <x:c r="J37" s="28" t="str">
        <x:v>Independently form inequalities and explains the mathematical relationship or reasoning in a familiar and one varied context.</x:v>
      </x:c>
      <x:c r="K37" s="28" t="str">
        <x:v>Selects efficient representations or strategies, applies the learning in an unfamiliar context, and can check boundary meaning with precise justification and reflection.</x:v>
      </x:c>
      <x:c r="L37" s="28" t="str">
        <x:v>NEO_Maths_Inequalities_Mathematics_with_Bo_[FirstName]_[Date]</x:v>
      </x:c>
      <x:c r="M37" s="28" t="str">
        <x:v>What changed in my thinking? What support helped? What would I test or explain next?</x:v>
      </x:c>
      <x:c r="N37" s="36" t="str">
        <x:v>Learner owns the evidence; NEO owns canonical curriculum metadata.</x:v>
      </x:c>
    </x:row>
    <x:row r="38" ht="86" customHeight="1">
      <x:c r="A38" s="35" t="str">
        <x:v>NEO-MATH-Y9-06</x:v>
      </x:c>
      <x:c r="B38" s="28" t="str">
        <x:v>Year 9 Bridge</x:v>
      </x:c>
      <x:c r="C38" s="28" t="str">
        <x:v>Year 9</x:v>
      </x:c>
      <x:c r="D38" s="28" t="str">
        <x:v>Structure &amp; Generalisation</x:v>
      </x:c>
      <x:c r="E38" s="28" t="str">
        <x:v>Formulae and Rearranging: Changing the Subject</x:v>
      </x:c>
      <x:c r="F38" s="28" t="str">
        <x:v>Formula Model Card</x:v>
      </x:c>
      <x:c r="G38" s="28" t="str">
        <x:v>Interactive choices; Scratchpad image; annotated solution; verbal teach-back; corrected misconception; short written or audio explanation</x:v>
      </x:c>
      <x:c r="H38" s="28" t="str">
        <x:v>Notices or attempts key ideas from substitute with support and can show one relevant representation.</x:v>
      </x:c>
      <x:c r="I38" s="28" t="str">
        <x:v>Uses familiar methods to rearrange simple formulae and completes connected examples with prompts or checking support.</x:v>
      </x:c>
      <x:c r="J38" s="28" t="str">
        <x:v>Independently make a subject and explains the mathematical relationship or reasoning in a familiar and one varied context.</x:v>
      </x:c>
      <x:c r="K38" s="28" t="str">
        <x:v>Selects efficient representations or strategies, applies the learning in an unfamiliar context, and can verify by substitution with precise justification and reflection.</x:v>
      </x:c>
      <x:c r="L38" s="28" t="str">
        <x:v>NEO_Maths_Formulae_and_Rearranging_Changin_[FirstName]_[Date]</x:v>
      </x:c>
      <x:c r="M38" s="28" t="str">
        <x:v>What changed in my thinking? What support helped? What would I test or explain next?</x:v>
      </x:c>
      <x:c r="N38" s="36" t="str">
        <x:v>Learner owns the evidence; NEO owns canonical curriculum metadata.</x:v>
      </x:c>
    </x:row>
    <x:row r="39" ht="86" customHeight="1">
      <x:c r="A39" s="35" t="str">
        <x:v>NEO-MATH-Y9-07</x:v>
      </x:c>
      <x:c r="B39" s="28" t="str">
        <x:v>Year 9 Bridge</x:v>
      </x:c>
      <x:c r="C39" s="28" t="str">
        <x:v>Year 9</x:v>
      </x:c>
      <x:c r="D39" s="28" t="str">
        <x:v>Spatial Reasoning</x:v>
      </x:c>
      <x:c r="E39" s="28" t="str">
        <x:v>Pythagoras and the Hidden Length</x:v>
      </x:c>
      <x:c r="F39" s="28" t="str">
        <x:v>Indirect Measurement Investigation</x:v>
      </x:c>
      <x:c r="G39" s="28" t="str">
        <x:v>Interactive choices; Scratchpad image; annotated solution; verbal teach-back; corrected misconception; short written or audio explanation</x:v>
      </x:c>
      <x:c r="H39" s="28" t="str">
        <x:v>Notices or attempts key ideas from identify right triangles with support and can show one relevant representation.</x:v>
      </x:c>
      <x:c r="I39" s="28" t="str">
        <x:v>Uses familiar methods to use Pythagoras and completes connected examples with prompts or checking support.</x:v>
      </x:c>
      <x:c r="J39" s="28" t="str">
        <x:v>Independently solve contextual problems and explains the mathematical relationship or reasoning in a familiar and one varied context.</x:v>
      </x:c>
      <x:c r="K39" s="28" t="str">
        <x:v>Selects efficient representations or strategies, applies the learning in an unfamiliar context, and can begin 3D connections with precise justification and reflection.</x:v>
      </x:c>
      <x:c r="L39" s="28" t="str">
        <x:v>NEO_Maths_Pythagoras_and_the_Hidden_Length_[FirstName]_[Date]</x:v>
      </x:c>
      <x:c r="M39" s="28" t="str">
        <x:v>What changed in my thinking? What support helped? What would I test or explain next?</x:v>
      </x:c>
      <x:c r="N39" s="36" t="str">
        <x:v>Learner owns the evidence; NEO owns canonical curriculum metadata.</x:v>
      </x:c>
    </x:row>
    <x:row r="40" ht="86" customHeight="1">
      <x:c r="A40" s="35" t="str">
        <x:v>NEO-MATH-Y9-08</x:v>
      </x:c>
      <x:c r="B40" s="28" t="str">
        <x:v>Year 9 Bridge</x:v>
      </x:c>
      <x:c r="C40" s="28" t="str">
        <x:v>Year 9</x:v>
      </x:c>
      <x:c r="D40" s="28" t="str">
        <x:v>Proportional Reasoning</x:v>
      </x:c>
      <x:c r="E40" s="28" t="str">
        <x:v>Similarity and Scale: Same Shape, New Size</x:v>
      </x:c>
      <x:c r="F40" s="28" t="str">
        <x:v>Scale Model Portfolio Piece</x:v>
      </x:c>
      <x:c r="G40" s="28" t="str">
        <x:v>Interactive choices; Scratchpad image; annotated solution; verbal teach-back; corrected misconception; short written or audio explanation</x:v>
      </x:c>
      <x:c r="H40" s="28" t="str">
        <x:v>Notices or attempts key ideas from recognise similar figures with support and can show one relevant representation.</x:v>
      </x:c>
      <x:c r="I40" s="28" t="str">
        <x:v>Uses familiar methods to use length scale factors and completes connected examples with prompts or checking support.</x:v>
      </x:c>
      <x:c r="J40" s="28" t="str">
        <x:v>Independently interpret maps and explains the mathematical relationship or reasoning in a familiar and one varied context.</x:v>
      </x:c>
      <x:c r="K40" s="28" t="str">
        <x:v>Selects efficient representations or strategies, applies the learning in an unfamiliar context, and can explore area scale factor with precise justification and reflection.</x:v>
      </x:c>
      <x:c r="L40" s="28" t="str">
        <x:v>NEO_Maths_Similarity_and_Scale_Same_Shape__[FirstName]_[Date]</x:v>
      </x:c>
      <x:c r="M40" s="28" t="str">
        <x:v>What changed in my thinking? What support helped? What would I test or explain next?</x:v>
      </x:c>
      <x:c r="N40" s="36" t="str">
        <x:v>Learner owns the evidence; NEO owns canonical curriculum metadata.</x:v>
      </x:c>
    </x:row>
    <x:row r="41" ht="86" customHeight="1">
      <x:c r="A41" s="35" t="str">
        <x:v>NEO-MATH-Y9-09</x:v>
      </x:c>
      <x:c r="B41" s="28" t="str">
        <x:v>Year 9 Bridge</x:v>
      </x:c>
      <x:c r="C41" s="28" t="str">
        <x:v>Year 9</x:v>
      </x:c>
      <x:c r="D41" s="28" t="str">
        <x:v>Data &amp; Uncertainty</x:v>
      </x:c>
      <x:c r="E41" s="28" t="str">
        <x:v>Sampling, Bias and What We Can Infer</x:v>
      </x:c>
      <x:c r="F41" s="28" t="str">
        <x:v>Data Justice Investigation</x:v>
      </x:c>
      <x:c r="G41" s="28" t="str">
        <x:v>Interactive choices; Scratchpad image; annotated solution; verbal teach-back; corrected misconception; short written or audio explanation</x:v>
      </x:c>
      <x:c r="H41" s="28" t="str">
        <x:v>Notices or attempts key ideas from plan a statistical enquiry with support and can show one relevant representation.</x:v>
      </x:c>
      <x:c r="I41" s="28" t="str">
        <x:v>Uses familiar methods to recognise bias and completes connected examples with prompts or checking support.</x:v>
      </x:c>
      <x:c r="J41" s="28" t="str">
        <x:v>Independently group data and explains the mathematical relationship or reasoning in a familiar and one varied context.</x:v>
      </x:c>
      <x:c r="K41" s="28" t="str">
        <x:v>Selects efficient representations or strategies, applies the learning in an unfamiliar context, and can critique conclusions with precise justification and reflection.</x:v>
      </x:c>
      <x:c r="L41" s="28" t="str">
        <x:v>NEO_Maths_Sampling_Bias_and_What_We_Can_In_[FirstName]_[Date]</x:v>
      </x:c>
      <x:c r="M41" s="28" t="str">
        <x:v>What changed in my thinking? What support helped? What would I test or explain next?</x:v>
      </x:c>
      <x:c r="N41" s="36" t="str">
        <x:v>Learner owns the evidence; NEO owns canonical curriculum metadata.</x:v>
      </x:c>
    </x:row>
    <x:row r="42" ht="86" customHeight="1">
      <x:c r="A42" s="35" t="str">
        <x:v>NEO-MATH-Y9-10</x:v>
      </x:c>
      <x:c r="B42" s="28" t="str">
        <x:v>Year 9 Bridge</x:v>
      </x:c>
      <x:c r="C42" s="28" t="str">
        <x:v>Year 9</x:v>
      </x:c>
      <x:c r="D42" s="28" t="str">
        <x:v>Data &amp; Uncertainty</x:v>
      </x:c>
      <x:c r="E42" s="28" t="str">
        <x:v>Probability Trees and Conditional Change</x:v>
      </x:c>
      <x:c r="F42" s="28" t="str">
        <x:v>Chance Model Explanation</x:v>
      </x:c>
      <x:c r="G42" s="28" t="str">
        <x:v>Interactive choices; Scratchpad image; annotated solution; verbal teach-back; corrected misconception; short written or audio explanation</x:v>
      </x:c>
      <x:c r="H42" s="28" t="str">
        <x:v>Notices or attempts key ideas from use Venn diagrams/set language with support and can show one relevant representation.</x:v>
      </x:c>
      <x:c r="I42" s="28" t="str">
        <x:v>Uses familiar methods to build tree diagrams and completes connected examples with prompts or checking support.</x:v>
      </x:c>
      <x:c r="J42" s="28" t="str">
        <x:v>Independently compare independent/dependent situations and explains the mathematical relationship or reasoning in a familiar and one varied context.</x:v>
      </x:c>
      <x:c r="K42" s="28" t="str">
        <x:v>Selects efficient representations or strategies, applies the learning in an unfamiliar context, and can compare experimental/theoretical probability with precise justification and reflection.</x:v>
      </x:c>
      <x:c r="L42" s="28" t="str">
        <x:v>NEO_Maths_Probability_Trees_and_Conditiona_[FirstName]_[Date]</x:v>
      </x:c>
      <x:c r="M42" s="28" t="str">
        <x:v>What changed in my thinking? What support helped? What would I test or explain next?</x:v>
      </x:c>
      <x:c r="N42" s="36" t="str">
        <x:v>Learner owns the evidence; NEO owns canonical curriculum metadata.</x:v>
      </x:c>
    </x:row>
    <x:row r="43" ht="86" customHeight="1">
      <x:c r="A43" s="35" t="str">
        <x:v>NEO-MATH-Y10-01</x:v>
      </x:c>
      <x:c r="B43" s="28" t="str">
        <x:v>iGCSE Year 1</x:v>
      </x:c>
      <x:c r="C43" s="28" t="str">
        <x:v>Year 10</x:v>
      </x:c>
      <x:c r="D43" s="28" t="str">
        <x:v>Number Sense</x:v>
      </x:c>
      <x:c r="E43" s="28" t="str">
        <x:v>Number Systems and Calculator Judgement</x:v>
      </x:c>
      <x:c r="F43" s="28" t="str">
        <x:v>Calculator Error Audit</x:v>
      </x:c>
      <x:c r="G43" s="28" t="str">
        <x:v>Interactive choices; Scratchpad image; annotated solution; verbal teach-back; corrected misconception; short written or audio explanation</x:v>
      </x:c>
      <x:c r="H43" s="28" t="str">
        <x:v>Notices or attempts key ideas from calculate with integers/fractions/decimals with support and can show one relevant representation.</x:v>
      </x:c>
      <x:c r="I43" s="28" t="str">
        <x:v>Uses familiar methods to use BIDMAS and completes connected examples with prompts or checking support.</x:v>
      </x:c>
      <x:c r="J43" s="28" t="str">
        <x:v>Independently estimate and explains the mathematical relationship or reasoning in a familiar and one varied context.</x:v>
      </x:c>
      <x:c r="K43" s="28" t="str">
        <x:v>Selects efficient representations or strategies, applies the learning in an unfamiliar context, and can judge reasonableness with precise justification and reflection.</x:v>
      </x:c>
      <x:c r="L43" s="28" t="str">
        <x:v>NEO_Maths_Number_Systems_and_Calculator_Ju_[FirstName]_[Date]</x:v>
      </x:c>
      <x:c r="M43" s="28" t="str">
        <x:v>What changed in my thinking? What support helped? What would I test or explain next?</x:v>
      </x:c>
      <x:c r="N43" s="36" t="str">
        <x:v>Learner owns the evidence; NEO owns canonical curriculum metadata.</x:v>
      </x:c>
    </x:row>
    <x:row r="44" ht="86" customHeight="1">
      <x:c r="A44" s="35" t="str">
        <x:v>NEO-MATH-Y10-02</x:v>
      </x:c>
      <x:c r="B44" s="28" t="str">
        <x:v>iGCSE Year 1</x:v>
      </x:c>
      <x:c r="C44" s="28" t="str">
        <x:v>Year 10</x:v>
      </x:c>
      <x:c r="D44" s="28" t="str">
        <x:v>Structure &amp; Generalisation</x:v>
      </x:c>
      <x:c r="E44" s="28" t="str">
        <x:v>Algebraic Expressions and Identities</x:v>
      </x:c>
      <x:c r="F44" s="28" t="str">
        <x:v>Expression Structure Commentary</x:v>
      </x:c>
      <x:c r="G44" s="28" t="str">
        <x:v>Interactive choices; Scratchpad image; annotated solution; verbal teach-back; corrected misconception; short written or audio explanation</x:v>
      </x:c>
      <x:c r="H44" s="28" t="str">
        <x:v>Notices or attempts key ideas from use symbols with support and can show one relevant representation.</x:v>
      </x:c>
      <x:c r="I44" s="28" t="str">
        <x:v>Uses familiar methods to substitute and completes connected examples with prompts or checking support.</x:v>
      </x:c>
      <x:c r="J44" s="28" t="str">
        <x:v>Independently expand and explains the mathematical relationship or reasoning in a familiar and one varied context.</x:v>
      </x:c>
      <x:c r="K44" s="28" t="str">
        <x:v>Selects efficient representations or strategies, applies the learning in an unfamiliar context, and can distinguish expression/equation/identity with precise justification and reflection.</x:v>
      </x:c>
      <x:c r="L44" s="28" t="str">
        <x:v>NEO_Maths_Algebraic_Expressions_and_Identi_[FirstName]_[Date]</x:v>
      </x:c>
      <x:c r="M44" s="28" t="str">
        <x:v>What changed in my thinking? What support helped? What would I test or explain next?</x:v>
      </x:c>
      <x:c r="N44" s="36" t="str">
        <x:v>Learner owns the evidence; NEO owns canonical curriculum metadata.</x:v>
      </x:c>
    </x:row>
    <x:row r="45" ht="86" customHeight="1">
      <x:c r="A45" s="35" t="str">
        <x:v>NEO-MATH-Y10-03</x:v>
      </x:c>
      <x:c r="B45" s="28" t="str">
        <x:v>iGCSE Year 1</x:v>
      </x:c>
      <x:c r="C45" s="28" t="str">
        <x:v>Year 10</x:v>
      </x:c>
      <x:c r="D45" s="28" t="str">
        <x:v>Change &amp; Functions</x:v>
      </x:c>
      <x:c r="E45" s="28" t="str">
        <x:v>Straight Lines, Sets and Connected Representations</x:v>
      </x:c>
      <x:c r="F45" s="28" t="str">
        <x:v>Connected Representation Portfolio</x:v>
      </x:c>
      <x:c r="G45" s="28" t="str">
        <x:v>Interactive choices; Scratchpad image; annotated solution; verbal teach-back; corrected misconception; short written or audio explanation</x:v>
      </x:c>
      <x:c r="H45" s="28" t="str">
        <x:v>Notices or attempts key ideas from use set notation/Venn diagrams with support and can show one relevant representation.</x:v>
      </x:c>
      <x:c r="I45" s="28" t="str">
        <x:v>Uses familiar methods to generate graph points and completes connected examples with prompts or checking support.</x:v>
      </x:c>
      <x:c r="J45" s="28" t="str">
        <x:v>Independently write linear equations and explains the mathematical relationship or reasoning in a familiar and one varied context.</x:v>
      </x:c>
      <x:c r="K45" s="28" t="str">
        <x:v>Selects efficient representations or strategies, applies the learning in an unfamiliar context, and can connect representations with precise justification and reflection.</x:v>
      </x:c>
      <x:c r="L45" s="28" t="str">
        <x:v>NEO_Maths_Straight_Lines_Sets_and_Connecte_[FirstName]_[Date]</x:v>
      </x:c>
      <x:c r="M45" s="28" t="str">
        <x:v>What changed in my thinking? What support helped? What would I test or explain next?</x:v>
      </x:c>
      <x:c r="N45" s="36" t="str">
        <x:v>Learner owns the evidence; NEO owns canonical curriculum metadata.</x:v>
      </x:c>
    </x:row>
    <x:row r="46" ht="86" customHeight="1">
      <x:c r="A46" s="35" t="str">
        <x:v>NEO-MATH-Y10-04</x:v>
      </x:c>
      <x:c r="B46" s="28" t="str">
        <x:v>iGCSE Year 1</x:v>
      </x:c>
      <x:c r="C46" s="28" t="str">
        <x:v>Year 10</x:v>
      </x:c>
      <x:c r="D46" s="28" t="str">
        <x:v>Proportional Reasoning</x:v>
      </x:c>
      <x:c r="E46" s="28" t="str">
        <x:v>Percentages, Ratio and Growth Models</x:v>
      </x:c>
      <x:c r="F46" s="28" t="str">
        <x:v>Growth or Decay Model Review</x:v>
      </x:c>
      <x:c r="G46" s="28" t="str">
        <x:v>Interactive choices; Scratchpad image; annotated solution; verbal teach-back; corrected misconception; short written or audio explanation</x:v>
      </x:c>
      <x:c r="H46" s="28" t="str">
        <x:v>Notices or attempts key ideas from solve ratio/proportion with support and can show one relevant representation.</x:v>
      </x:c>
      <x:c r="I46" s="28" t="str">
        <x:v>Uses familiar methods to use percentages and completes connected examples with prompts or checking support.</x:v>
      </x:c>
      <x:c r="J46" s="28" t="str">
        <x:v>Independently use direct proportion and explains the mathematical relationship or reasoning in a familiar and one varied context.</x:v>
      </x:c>
      <x:c r="K46" s="28" t="str">
        <x:v>Selects efficient representations or strategies, applies the learning in an unfamiliar context, and can reverse percentage changes with precise justification and reflection.</x:v>
      </x:c>
      <x:c r="L46" s="28" t="str">
        <x:v>NEO_Maths_Percentages_Ratio_and_Growth_Mod_[FirstName]_[Date]</x:v>
      </x:c>
      <x:c r="M46" s="28" t="str">
        <x:v>What changed in my thinking? What support helped? What would I test or explain next?</x:v>
      </x:c>
      <x:c r="N46" s="36" t="str">
        <x:v>Learner owns the evidence; NEO owns canonical curriculum metadata.</x:v>
      </x:c>
    </x:row>
    <x:row r="47" ht="86" customHeight="1">
      <x:c r="A47" s="35" t="str">
        <x:v>NEO-MATH-Y10-05</x:v>
      </x:c>
      <x:c r="B47" s="28" t="str">
        <x:v>iGCSE Year 1</x:v>
      </x:c>
      <x:c r="C47" s="28" t="str">
        <x:v>Year 10</x:v>
      </x:c>
      <x:c r="D47" s="28" t="str">
        <x:v>Structure &amp; Generalisation</x:v>
      </x:c>
      <x:c r="E47" s="28" t="str">
        <x:v>Equations, Inequalities and Simultaneous Relationships</x:v>
      </x:c>
      <x:c r="F47" s="28" t="str">
        <x:v>Two-Condition Modelling Task</x:v>
      </x:c>
      <x:c r="G47" s="28" t="str">
        <x:v>Interactive choices; Scratchpad image; annotated solution; verbal teach-back; corrected misconception; short written or audio explanation</x:v>
      </x:c>
      <x:c r="H47" s="28" t="str">
        <x:v>Notices or attempts key ideas from solve linear equations with support and can show one relevant representation.</x:v>
      </x:c>
      <x:c r="I47" s="28" t="str">
        <x:v>Uses familiar methods to solve simultaneous equations and completes connected examples with prompts or checking support.</x:v>
      </x:c>
      <x:c r="J47" s="28" t="str">
        <x:v>Independently form equations and explains the mathematical relationship or reasoning in a familiar and one varied context.</x:v>
      </x:c>
      <x:c r="K47" s="28" t="str">
        <x:v>Selects efficient representations or strategies, applies the learning in an unfamiliar context, and can check solutions with precise justification and reflection.</x:v>
      </x:c>
      <x:c r="L47" s="28" t="str">
        <x:v>NEO_Maths_Equations_Inequalities_and_Simul_[FirstName]_[Date]</x:v>
      </x:c>
      <x:c r="M47" s="28" t="str">
        <x:v>What changed in my thinking? What support helped? What would I test or explain next?</x:v>
      </x:c>
      <x:c r="N47" s="36" t="str">
        <x:v>Learner owns the evidence; NEO owns canonical curriculum metadata.</x:v>
      </x:c>
    </x:row>
    <x:row r="48" ht="86" customHeight="1">
      <x:c r="A48" s="35" t="str">
        <x:v>NEO-MATH-Y10-06</x:v>
      </x:c>
      <x:c r="B48" s="28" t="str">
        <x:v>iGCSE Year 1</x:v>
      </x:c>
      <x:c r="C48" s="28" t="str">
        <x:v>Year 10</x:v>
      </x:c>
      <x:c r="D48" s="28" t="str">
        <x:v>Spatial Reasoning</x:v>
      </x:c>
      <x:c r="E48" s="28" t="str">
        <x:v>Pythagoras, Trigonometry and Measuring the Unreachable</x:v>
      </x:c>
      <x:c r="F48" s="28" t="str">
        <x:v>Indirect Measurement Design</x:v>
      </x:c>
      <x:c r="G48" s="28" t="str">
        <x:v>Interactive choices; Scratchpad image; annotated solution; verbal teach-back; corrected misconception; short written or audio explanation</x:v>
      </x:c>
      <x:c r="H48" s="28" t="str">
        <x:v>Notices or attempts key ideas from use Pythagoras with support and can show one relevant representation.</x:v>
      </x:c>
      <x:c r="I48" s="28" t="str">
        <x:v>Uses familiar methods to choose sine/cosine/tangent and completes connected examples with prompts or checking support.</x:v>
      </x:c>
      <x:c r="J48" s="28" t="str">
        <x:v>Independently interpret bearings/elevation and explains the mathematical relationship or reasoning in a familiar and one varied context.</x:v>
      </x:c>
      <x:c r="K48" s="28" t="str">
        <x:v>Selects efficient representations or strategies, applies the learning in an unfamiliar context, and can justify method with precise justification and reflection.</x:v>
      </x:c>
      <x:c r="L48" s="28" t="str">
        <x:v>NEO_Maths_Pythagoras_Trigonometry_and_Meas_[FirstName]_[Date]</x:v>
      </x:c>
      <x:c r="M48" s="28" t="str">
        <x:v>What changed in my thinking? What support helped? What would I test or explain next?</x:v>
      </x:c>
      <x:c r="N48" s="36" t="str">
        <x:v>Learner owns the evidence; NEO owns canonical curriculum metadata.</x:v>
      </x:c>
    </x:row>
    <x:row r="49" ht="86" customHeight="1">
      <x:c r="A49" s="35" t="str">
        <x:v>NEO-MATH-Y10-07</x:v>
      </x:c>
      <x:c r="B49" s="28" t="str">
        <x:v>iGCSE Year 1</x:v>
      </x:c>
      <x:c r="C49" s="28" t="str">
        <x:v>Year 10</x:v>
      </x:c>
      <x:c r="D49" s="28" t="str">
        <x:v>Data &amp; Uncertainty</x:v>
      </x:c>
      <x:c r="E49" s="28" t="str">
        <x:v>Frequency, Scatter and the Shape of Data</x:v>
      </x:c>
      <x:c r="F49" s="28" t="str">
        <x:v>Data Communication Brief</x:v>
      </x:c>
      <x:c r="G49" s="28" t="str">
        <x:v>Interactive choices; Scratchpad image; annotated solution; verbal teach-back; corrected misconception; short written or audio explanation</x:v>
      </x:c>
      <x:c r="H49" s="28" t="str">
        <x:v>Notices or attempts key ideas from construct/interpret frequency diagrams with support and can show one relevant representation.</x:v>
      </x:c>
      <x:c r="I49" s="28" t="str">
        <x:v>Uses familiar methods to compare distributions and completes connected examples with prompts or checking support.</x:v>
      </x:c>
      <x:c r="J49" s="28" t="str">
        <x:v>Independently interpret correlation and explains the mathematical relationship or reasoning in a familiar and one varied context.</x:v>
      </x:c>
      <x:c r="K49" s="28" t="str">
        <x:v>Selects efficient representations or strategies, applies the learning in an unfamiliar context, and can critique graphical claims with precise justification and reflection.</x:v>
      </x:c>
      <x:c r="L49" s="28" t="str">
        <x:v>NEO_Maths_Frequency_Scatter_and_the_Shape__[FirstName]_[Date]</x:v>
      </x:c>
      <x:c r="M49" s="28" t="str">
        <x:v>What changed in my thinking? What support helped? What would I test or explain next?</x:v>
      </x:c>
      <x:c r="N49" s="36" t="str">
        <x:v>Learner owns the evidence; NEO owns canonical curriculum metadata.</x:v>
      </x:c>
    </x:row>
    <x:row r="50" ht="86" customHeight="1">
      <x:c r="A50" s="35" t="str">
        <x:v>NEO-MATH-Y10-08</x:v>
      </x:c>
      <x:c r="B50" s="28" t="str">
        <x:v>iGCSE Year 1</x:v>
      </x:c>
      <x:c r="C50" s="28" t="str">
        <x:v>Year 10</x:v>
      </x:c>
      <x:c r="D50" s="28" t="str">
        <x:v>Number Sense</x:v>
      </x:c>
      <x:c r="E50" s="28" t="str">
        <x:v>Bounds and the Mathematics of ‘Nearly’</x:v>
      </x:c>
      <x:c r="F50" s="28" t="str">
        <x:v>Tolerance and Safety Case Study</x:v>
      </x:c>
      <x:c r="G50" s="28" t="str">
        <x:v>Interactive choices; Scratchpad image; annotated solution; verbal teach-back; corrected misconception; short written or audio explanation</x:v>
      </x:c>
      <x:c r="H50" s="28" t="str">
        <x:v>Notices or attempts key ideas from identify rounding intervals with support and can show one relevant representation.</x:v>
      </x:c>
      <x:c r="I50" s="28" t="str">
        <x:v>Uses familiar methods to find upper/lower bounds and completes connected examples with prompts or checking support.</x:v>
      </x:c>
      <x:c r="J50" s="28" t="str">
        <x:v>Independently use estimation and explains the mathematical relationship or reasoning in a familiar and one varied context.</x:v>
      </x:c>
      <x:c r="K50" s="28" t="str">
        <x:v>Selects efficient representations or strategies, applies the learning in an unfamiliar context, and can communicate accuracy with precise justification and reflection.</x:v>
      </x:c>
      <x:c r="L50" s="28" t="str">
        <x:v>NEO_Maths_Bounds_and_the_Mathematics_of_Ne_[FirstName]_[Date]</x:v>
      </x:c>
      <x:c r="M50" s="28" t="str">
        <x:v>What changed in my thinking? What support helped? What would I test or explain next?</x:v>
      </x:c>
      <x:c r="N50" s="36" t="str">
        <x:v>Learner owns the evidence; NEO owns canonical curriculum metadata.</x:v>
      </x:c>
    </x:row>
    <x:row r="51" ht="86" customHeight="1">
      <x:c r="A51" s="35" t="str">
        <x:v>NEO-MATH-Y10-09</x:v>
      </x:c>
      <x:c r="B51" s="28" t="str">
        <x:v>iGCSE Year 1</x:v>
      </x:c>
      <x:c r="C51" s="28" t="str">
        <x:v>Year 10</x:v>
      </x:c>
      <x:c r="D51" s="28" t="str">
        <x:v>Structure &amp; Generalisation</x:v>
      </x:c>
      <x:c r="E51" s="28" t="str">
        <x:v>Quadratics: Factors, Roots and Graphs</x:v>
      </x:c>
      <x:c r="F51" s="28" t="str">
        <x:v>Quadratic Method Comparison</x:v>
      </x:c>
      <x:c r="G51" s="28" t="str">
        <x:v>Interactive choices; Scratchpad image; annotated solution; verbal teach-back; corrected misconception; short written or audio explanation</x:v>
      </x:c>
      <x:c r="H51" s="28" t="str">
        <x:v>Notices or attempts key ideas from expand/factorise quadratics with support and can show one relevant representation.</x:v>
      </x:c>
      <x:c r="I51" s="28" t="str">
        <x:v>Uses familiar methods to solve by factorisation and completes connected examples with prompts or checking support.</x:v>
      </x:c>
      <x:c r="J51" s="28" t="str">
        <x:v>Independently plot/interpret quadratics and explains the mathematical relationship or reasoning in a familiar and one varied context.</x:v>
      </x:c>
      <x:c r="K51" s="28" t="str">
        <x:v>Selects efficient representations or strategies, applies the learning in an unfamiliar context, and can compare methods with precise justification and reflection.</x:v>
      </x:c>
      <x:c r="L51" s="28" t="str">
        <x:v>NEO_Maths_Quadratics_Factors_Roots_and_Gra_[FirstName]_[Date]</x:v>
      </x:c>
      <x:c r="M51" s="28" t="str">
        <x:v>What changed in my thinking? What support helped? What would I test or explain next?</x:v>
      </x:c>
      <x:c r="N51" s="36" t="str">
        <x:v>Learner owns the evidence; NEO owns canonical curriculum metadata.</x:v>
      </x:c>
    </x:row>
    <x:row r="52" ht="86" customHeight="1">
      <x:c r="A52" s="35" t="str">
        <x:v>NEO-MATH-Y10-10</x:v>
      </x:c>
      <x:c r="B52" s="28" t="str">
        <x:v>iGCSE Year 1</x:v>
      </x:c>
      <x:c r="C52" s="28" t="str">
        <x:v>Year 10</x:v>
      </x:c>
      <x:c r="D52" s="28" t="str">
        <x:v>Proof &amp; Communication</x:v>
      </x:c>
      <x:c r="E52" s="28" t="str">
        <x:v>The Connected Maths Performance Project</x:v>
      </x:c>
      <x:c r="F52" s="28" t="str">
        <x:v>Year 10 Performance Project</x:v>
      </x:c>
      <x:c r="G52" s="28" t="str">
        <x:v>Interactive choices; Scratchpad image; annotated solution; verbal teach-back; corrected misconception; short written or audio explanation</x:v>
      </x:c>
      <x:c r="H52" s="28" t="str">
        <x:v>Notices or attempts key ideas from identify relevant mathematics with support and can show one relevant representation.</x:v>
      </x:c>
      <x:c r="I52" s="28" t="str">
        <x:v>Uses familiar methods to connect domains and completes connected examples with prompts or checking support.</x:v>
      </x:c>
      <x:c r="J52" s="28" t="str">
        <x:v>Independently justify a strategy and explains the mathematical relationship or reasoning in a familiar and one varied context.</x:v>
      </x:c>
      <x:c r="K52" s="28" t="str">
        <x:v>Selects efficient representations or strategies, applies the learning in an unfamiliar context, and can communicate a multi-step solution with precise justification and reflection.</x:v>
      </x:c>
      <x:c r="L52" s="28" t="str">
        <x:v>NEO_Maths_The_Connected_Maths_Performance__[FirstName]_[Date]</x:v>
      </x:c>
      <x:c r="M52" s="28" t="str">
        <x:v>What changed in my thinking? What support helped? What would I test or explain next?</x:v>
      </x:c>
      <x:c r="N52" s="36" t="str">
        <x:v>Learner owns the evidence; NEO owns canonical curriculum metadata.</x:v>
      </x:c>
    </x:row>
    <x:row r="53" ht="86" customHeight="1">
      <x:c r="A53" s="35" t="str">
        <x:v>NEO-MATH-Y11-01</x:v>
      </x:c>
      <x:c r="B53" s="28" t="str">
        <x:v>iGCSE Year 2</x:v>
      </x:c>
      <x:c r="C53" s="28" t="str">
        <x:v>Year 11</x:v>
      </x:c>
      <x:c r="D53" s="28" t="str">
        <x:v>Structure &amp; Generalisation</x:v>
      </x:c>
      <x:c r="E53" s="28" t="str">
        <x:v>Advanced Algebra: Structure, Strategy and Proof</x:v>
      </x:c>
      <x:c r="F53" s="28" t="str">
        <x:v>Algebra Strategy Commentary</x:v>
      </x:c>
      <x:c r="G53" s="28" t="str">
        <x:v>Interactive choices; Scratchpad image; annotated solution; verbal teach-back; corrected misconception; short written or audio explanation</x:v>
      </x:c>
      <x:c r="H53" s="28" t="str">
        <x:v>Notices or attempts key ideas from manipulate complex expressions with support and can show one relevant representation.</x:v>
      </x:c>
      <x:c r="I53" s="28" t="str">
        <x:v>Uses familiar methods to solve quadratics by multiple methods and completes connected examples with prompts or checking support.</x:v>
      </x:c>
      <x:c r="J53" s="28" t="str">
        <x:v>Independently rearrange harder formulae and explains the mathematical relationship or reasoning in a familiar and one varied context.</x:v>
      </x:c>
      <x:c r="K53" s="28" t="str">
        <x:v>Selects efficient representations or strategies, applies the learning in an unfamiliar context, and can choose strategy with precise justification and reflection.</x:v>
      </x:c>
      <x:c r="L53" s="28" t="str">
        <x:v>NEO_Maths_Advanced_Algebra_Structure_Strat_[FirstName]_[Date]</x:v>
      </x:c>
      <x:c r="M53" s="28" t="str">
        <x:v>What changed in my thinking? What support helped? What would I test or explain next?</x:v>
      </x:c>
      <x:c r="N53" s="36" t="str">
        <x:v>Learner owns the evidence; NEO owns canonical curriculum metadata.</x:v>
      </x:c>
    </x:row>
    <x:row r="54" ht="86" customHeight="1">
      <x:c r="A54" s="35" t="str">
        <x:v>NEO-MATH-Y11-02</x:v>
      </x:c>
      <x:c r="B54" s="28" t="str">
        <x:v>iGCSE Year 2</x:v>
      </x:c>
      <x:c r="C54" s="28" t="str">
        <x:v>Year 11</x:v>
      </x:c>
      <x:c r="D54" s="28" t="str">
        <x:v>Change &amp; Functions</x:v>
      </x:c>
      <x:c r="E54" s="28" t="str">
        <x:v>Functions, Transformations and Rates of Change</x:v>
      </x:c>
      <x:c r="F54" s="28" t="str">
        <x:v>Graph Transformation Field Guide</x:v>
      </x:c>
      <x:c r="G54" s="28" t="str">
        <x:v>Interactive choices; Scratchpad image; annotated solution; verbal teach-back; corrected misconception; short written or audio explanation</x:v>
      </x:c>
      <x:c r="H54" s="28" t="str">
        <x:v>Notices or attempts key ideas from interpret functions with support and can show one relevant representation.</x:v>
      </x:c>
      <x:c r="I54" s="28" t="str">
        <x:v>Uses familiar methods to sketch linear/quadratic/cubic/reciprocal/exponential graphs at tier and completes connected examples with prompts or checking support.</x:v>
      </x:c>
      <x:c r="J54" s="28" t="str">
        <x:v>Independently estimate roots/intersections and explains the mathematical relationship or reasoning in a familiar and one varied context.</x:v>
      </x:c>
      <x:c r="K54" s="28" t="str">
        <x:v>Selects efficient representations or strategies, applies the learning in an unfamiliar context, and can interpret gradient/rate with precise justification and reflection.</x:v>
      </x:c>
      <x:c r="L54" s="28" t="str">
        <x:v>NEO_Maths_Functions_Transformations_and_Ra_[FirstName]_[Date]</x:v>
      </x:c>
      <x:c r="M54" s="28" t="str">
        <x:v>What changed in my thinking? What support helped? What would I test or explain next?</x:v>
      </x:c>
      <x:c r="N54" s="36" t="str">
        <x:v>Learner owns the evidence; NEO owns canonical curriculum metadata.</x:v>
      </x:c>
    </x:row>
    <x:row r="55" ht="86" customHeight="1">
      <x:c r="A55" s="35" t="str">
        <x:v>NEO-MATH-Y11-03</x:v>
      </x:c>
      <x:c r="B55" s="28" t="str">
        <x:v>iGCSE Year 2</x:v>
      </x:c>
      <x:c r="C55" s="28" t="str">
        <x:v>Year 11</x:v>
      </x:c>
      <x:c r="D55" s="28" t="str">
        <x:v>Change &amp; Functions</x:v>
      </x:c>
      <x:c r="E55" s="28" t="str">
        <x:v>Motion Graphs: Distance, Speed and Area</x:v>
      </x:c>
      <x:c r="F55" s="28" t="str">
        <x:v>Journey Model Analysis</x:v>
      </x:c>
      <x:c r="G55" s="28" t="str">
        <x:v>Interactive choices; Scratchpad image; annotated solution; verbal teach-back; corrected misconception; short written or audio explanation</x:v>
      </x:c>
      <x:c r="H55" s="28" t="str">
        <x:v>Notices or attempts key ideas from interpret distance-time/speed-time graphs with support and can show one relevant representation.</x:v>
      </x:c>
      <x:c r="I55" s="28" t="str">
        <x:v>Uses familiar methods to calculate gradient as rate and completes connected examples with prompts or checking support.</x:v>
      </x:c>
      <x:c r="J55" s="28" t="str">
        <x:v>Independently compare average/instantaneous ideas and explains the mathematical relationship or reasoning in a familiar and one varied context.</x:v>
      </x:c>
      <x:c r="K55" s="28" t="str">
        <x:v>Selects efficient representations or strategies, applies the learning in an unfamiliar context, and can evaluate models with precise justification and reflection.</x:v>
      </x:c>
      <x:c r="L55" s="28" t="str">
        <x:v>NEO_Maths_Motion_Graphs_Distance_Speed_and_[FirstName]_[Date]</x:v>
      </x:c>
      <x:c r="M55" s="28" t="str">
        <x:v>What changed in my thinking? What support helped? What would I test or explain next?</x:v>
      </x:c>
      <x:c r="N55" s="36" t="str">
        <x:v>Learner owns the evidence; NEO owns canonical curriculum metadata.</x:v>
      </x:c>
    </x:row>
    <x:row r="56" ht="86" customHeight="1">
      <x:c r="A56" s="35" t="str">
        <x:v>NEO-MATH-Y11-04</x:v>
      </x:c>
      <x:c r="B56" s="28" t="str">
        <x:v>iGCSE Year 2</x:v>
      </x:c>
      <x:c r="C56" s="28" t="str">
        <x:v>Year 11</x:v>
      </x:c>
      <x:c r="D56" s="28" t="str">
        <x:v>Spatial Reasoning</x:v>
      </x:c>
      <x:c r="E56" s="28" t="str">
        <x:v>Circle Geometry and Proof Chains</x:v>
      </x:c>
      <x:c r="F56" s="28" t="str">
        <x:v>Circle Proof Deck</x:v>
      </x:c>
      <x:c r="G56" s="28" t="str">
        <x:v>Interactive choices; Scratchpad image; annotated solution; verbal teach-back; corrected misconception; short written or audio explanation</x:v>
      </x:c>
      <x:c r="H56" s="28" t="str">
        <x:v>Notices or attempts key ideas from use circle vocabulary/properties with support and can show one relevant representation.</x:v>
      </x:c>
      <x:c r="I56" s="28" t="str">
        <x:v>Uses familiar methods to apply circle theorems at tier and completes connected examples with prompts or checking support.</x:v>
      </x:c>
      <x:c r="J56" s="28" t="str">
        <x:v>Independently use tangent/chord facts and explains the mathematical relationship or reasoning in a familiar and one varied context.</x:v>
      </x:c>
      <x:c r="K56" s="28" t="str">
        <x:v>Selects efficient representations or strategies, applies the learning in an unfamiliar context, and can state reasons precisely with precise justification and reflection.</x:v>
      </x:c>
      <x:c r="L56" s="28" t="str">
        <x:v>NEO_Maths_Circle_Geometry_and_Proof_Chains_[FirstName]_[Date]</x:v>
      </x:c>
      <x:c r="M56" s="28" t="str">
        <x:v>What changed in my thinking? What support helped? What would I test or explain next?</x:v>
      </x:c>
      <x:c r="N56" s="36" t="str">
        <x:v>Learner owns the evidence; NEO owns canonical curriculum metadata.</x:v>
      </x:c>
    </x:row>
    <x:row r="57" ht="86" customHeight="1">
      <x:c r="A57" s="35" t="str">
        <x:v>NEO-MATH-Y11-05</x:v>
      </x:c>
      <x:c r="B57" s="28" t="str">
        <x:v>iGCSE Year 2</x:v>
      </x:c>
      <x:c r="C57" s="28" t="str">
        <x:v>Year 11</x:v>
      </x:c>
      <x:c r="D57" s="28" t="str">
        <x:v>Spatial Reasoning</x:v>
      </x:c>
      <x:c r="E57" s="28" t="str">
        <x:v>Similarity, Vectors and Transformation Geometry</x:v>
      </x:c>
      <x:c r="F57" s="28" t="str">
        <x:v>Geometric Relationship Proof</x:v>
      </x:c>
      <x:c r="G57" s="28" t="str">
        <x:v>Interactive choices; Scratchpad image; annotated solution; verbal teach-back; corrected misconception; short written or audio explanation</x:v>
      </x:c>
      <x:c r="H57" s="28" t="str">
        <x:v>Notices or attempts key ideas from use similarity including area/volume scale factors with support and can show one relevant representation.</x:v>
      </x:c>
      <x:c r="I57" s="28" t="str">
        <x:v>Uses familiar methods to use vectors at Higher and completes connected examples with prompts or checking support.</x:v>
      </x:c>
      <x:c r="J57" s="28" t="str">
        <x:v>Independently combine geometric reasoning and explains the mathematical relationship or reasoning in a familiar and one varied context.</x:v>
      </x:c>
      <x:c r="K57" s="28" t="str">
        <x:v>Selects efficient representations or strategies, applies the learning in an unfamiliar context, and can prove relationships where appropriate with precise justification and reflection.</x:v>
      </x:c>
      <x:c r="L57" s="28" t="str">
        <x:v>NEO_Maths_Similarity_Vectors_and_Transform_[FirstName]_[Date]</x:v>
      </x:c>
      <x:c r="M57" s="28" t="str">
        <x:v>What changed in my thinking? What support helped? What would I test or explain next?</x:v>
      </x:c>
      <x:c r="N57" s="36" t="str">
        <x:v>Learner owns the evidence; NEO owns canonical curriculum metadata.</x:v>
      </x:c>
    </x:row>
    <x:row r="58" ht="86" customHeight="1">
      <x:c r="A58" s="35" t="str">
        <x:v>NEO-MATH-Y11-06</x:v>
      </x:c>
      <x:c r="B58" s="28" t="str">
        <x:v>iGCSE Year 2</x:v>
      </x:c>
      <x:c r="C58" s="28" t="str">
        <x:v>Year 11</x:v>
      </x:c>
      <x:c r="D58" s="28" t="str">
        <x:v>Spatial Reasoning</x:v>
      </x:c>
      <x:c r="E58" s="28" t="str">
        <x:v>Trigonometry and 3D Measures</x:v>
      </x:c>
      <x:c r="F58" s="28" t="str">
        <x:v>Accessible Structure/Ramp Design</x:v>
      </x:c>
      <x:c r="G58" s="28" t="str">
        <x:v>Interactive choices; Scratchpad image; annotated solution; verbal teach-back; corrected misconception; short written or audio explanation</x:v>
      </x:c>
      <x:c r="H58" s="28" t="str">
        <x:v>Notices or attempts key ideas from apply trig/Pythagoras in 2D/3D with support and can show one relevant representation.</x:v>
      </x:c>
      <x:c r="I58" s="28" t="str">
        <x:v>Uses familiar methods to choose trig rules at tier and completes connected examples with prompts or checking support.</x:v>
      </x:c>
      <x:c r="J58" s="28" t="str">
        <x:v>Independently solve surface area/volume problems and explains the mathematical relationship or reasoning in a familiar and one varied context.</x:v>
      </x:c>
      <x:c r="K58" s="28" t="str">
        <x:v>Selects efficient representations or strategies, applies the learning in an unfamiliar context, and can justify precision with precise justification and reflection.</x:v>
      </x:c>
      <x:c r="L58" s="28" t="str">
        <x:v>NEO_Maths_Trigonometry_and_3D_Measures_[FirstName]_[Date]</x:v>
      </x:c>
      <x:c r="M58" s="28" t="str">
        <x:v>What changed in my thinking? What support helped? What would I test or explain next?</x:v>
      </x:c>
      <x:c r="N58" s="36" t="str">
        <x:v>Learner owns the evidence; NEO owns canonical curriculum metadata.</x:v>
      </x:c>
    </x:row>
    <x:row r="59" ht="86" customHeight="1">
      <x:c r="A59" s="35" t="str">
        <x:v>NEO-MATH-Y11-07</x:v>
      </x:c>
      <x:c r="B59" s="28" t="str">
        <x:v>iGCSE Year 2</x:v>
      </x:c>
      <x:c r="C59" s="28" t="str">
        <x:v>Year 11</x:v>
      </x:c>
      <x:c r="D59" s="28" t="str">
        <x:v>Data &amp; Uncertainty</x:v>
      </x:c>
      <x:c r="E59" s="28" t="str">
        <x:v>Histograms, Cumulative Frequency and Comparing Distributions</x:v>
      </x:c>
      <x:c r="F59" s="28" t="str">
        <x:v>Distribution Comparison Report</x:v>
      </x:c>
      <x:c r="G59" s="28" t="str">
        <x:v>Interactive choices; Scratchpad image; annotated solution; verbal teach-back; corrected misconception; short written or audio explanation</x:v>
      </x:c>
      <x:c r="H59" s="28" t="str">
        <x:v>Notices or attempts key ideas from interpret/construct histograms at tier with support and can show one relevant representation.</x:v>
      </x:c>
      <x:c r="I59" s="28" t="str">
        <x:v>Uses familiar methods to use frequency density and completes connected examples with prompts or checking support.</x:v>
      </x:c>
      <x:c r="J59" s="28" t="str">
        <x:v>Independently compare distributions and explains the mathematical relationship or reasoning in a familiar and one varied context.</x:v>
      </x:c>
      <x:c r="K59" s="28" t="str">
        <x:v>Selects efficient representations or strategies, applies the learning in an unfamiliar context, and can justify statistical conclusions with precise justification and reflection.</x:v>
      </x:c>
      <x:c r="L59" s="28" t="str">
        <x:v>NEO_Maths_Histograms_Cumulative_Frequency__[FirstName]_[Date]</x:v>
      </x:c>
      <x:c r="M59" s="28" t="str">
        <x:v>What changed in my thinking? What support helped? What would I test or explain next?</x:v>
      </x:c>
      <x:c r="N59" s="36" t="str">
        <x:v>Learner owns the evidence; NEO owns canonical curriculum metadata.</x:v>
      </x:c>
    </x:row>
    <x:row r="60" ht="86" customHeight="1">
      <x:c r="A60" s="35" t="str">
        <x:v>NEO-MATH-Y11-08</x:v>
      </x:c>
      <x:c r="B60" s="28" t="str">
        <x:v>iGCSE Year 2</x:v>
      </x:c>
      <x:c r="C60" s="28" t="str">
        <x:v>Year 11</x:v>
      </x:c>
      <x:c r="D60" s="28" t="str">
        <x:v>Data &amp; Uncertainty</x:v>
      </x:c>
      <x:c r="E60" s="28" t="str">
        <x:v>Conditional Probability and Decision-Making</x:v>
      </x:c>
      <x:c r="F60" s="28" t="str">
        <x:v>Risk Communication Brief</x:v>
      </x:c>
      <x:c r="G60" s="28" t="str">
        <x:v>Interactive choices; Scratchpad image; annotated solution; verbal teach-back; corrected misconception; short written or audio explanation</x:v>
      </x:c>
      <x:c r="H60" s="28" t="str">
        <x:v>Notices or attempts key ideas from use Venn/tree diagrams with support and can show one relevant representation.</x:v>
      </x:c>
      <x:c r="I60" s="28" t="str">
        <x:v>Uses familiar methods to calculate combined events and completes connected examples with prompts or checking support.</x:v>
      </x:c>
      <x:c r="J60" s="28" t="str">
        <x:v>Independently use expected frequency and explains the mathematical relationship or reasoning in a familiar and one varied context.</x:v>
      </x:c>
      <x:c r="K60" s="28" t="str">
        <x:v>Selects efficient representations or strategies, applies the learning in an unfamiliar context, and can communicate risk with precise justification and reflection.</x:v>
      </x:c>
      <x:c r="L60" s="28" t="str">
        <x:v>NEO_Maths_Conditional_Probability_and_Deci_[FirstName]_[Date]</x:v>
      </x:c>
      <x:c r="M60" s="28" t="str">
        <x:v>What changed in my thinking? What support helped? What would I test or explain next?</x:v>
      </x:c>
      <x:c r="N60" s="36" t="str">
        <x:v>Learner owns the evidence; NEO owns canonical curriculum metadata.</x:v>
      </x:c>
    </x:row>
    <x:row r="61" ht="86" customHeight="1">
      <x:c r="A61" s="35" t="str">
        <x:v>NEO-MATH-Y11-09</x:v>
      </x:c>
      <x:c r="B61" s="28" t="str">
        <x:v>iGCSE Year 2</x:v>
      </x:c>
      <x:c r="C61" s="28" t="str">
        <x:v>Year 11</x:v>
      </x:c>
      <x:c r="D61" s="28" t="str">
        <x:v>Proof &amp; Communication</x:v>
      </x:c>
      <x:c r="E61" s="28" t="str">
        <x:v>Exam Problems as Translation</x:v>
      </x:c>
      <x:c r="F61" s="28" t="str">
        <x:v>Personal Exam Translation Toolkit</x:v>
      </x:c>
      <x:c r="G61" s="28" t="str">
        <x:v>Interactive choices; Scratchpad image; annotated solution; verbal teach-back; corrected misconception; short written or audio explanation</x:v>
      </x:c>
      <x:c r="H61" s="28" t="str">
        <x:v>Notices or attempts key ideas from interpret command words with support and can show one relevant representation.</x:v>
      </x:c>
      <x:c r="I61" s="28" t="str">
        <x:v>Uses familiar methods to identify hidden topics and completes connected examples with prompts or checking support.</x:v>
      </x:c>
      <x:c r="J61" s="28" t="str">
        <x:v>Independently reason deductively and explains the mathematical relationship or reasoning in a familiar and one varied context.</x:v>
      </x:c>
      <x:c r="K61" s="28" t="str">
        <x:v>Selects efficient representations or strategies, applies the learning in an unfamiliar context, and can recover after a stuck moment with precise justification and reflection.</x:v>
      </x:c>
      <x:c r="L61" s="28" t="str">
        <x:v>NEO_Maths_Exam_Problems_as_Translation_[FirstName]_[Date]</x:v>
      </x:c>
      <x:c r="M61" s="28" t="str">
        <x:v>What changed in my thinking? What support helped? What would I test or explain next?</x:v>
      </x:c>
      <x:c r="N61" s="36" t="str">
        <x:v>Learner owns the evidence; NEO owns canonical curriculum metadata.</x:v>
      </x:c>
    </x:row>
    <x:row r="62" ht="86" customHeight="1">
      <x:c r="A62" s="35" t="str">
        <x:v>NEO-MATH-Y11-10</x:v>
      </x:c>
      <x:c r="B62" s="28" t="str">
        <x:v>iGCSE Year 2</x:v>
      </x:c>
      <x:c r="C62" s="28" t="str">
        <x:v>Year 11</x:v>
      </x:c>
      <x:c r="D62" s="28" t="str">
        <x:v>Modelling</x:v>
      </x:c>
      <x:c r="E62" s="28" t="str">
        <x:v>Mathematics Capstone: Solve, Explain, Evaluate</x:v>
      </x:c>
      <x:c r="F62" s="28" t="str">
        <x:v>Learner-Controlled Maths Capstone Portfolio</x:v>
      </x:c>
      <x:c r="G62" s="28" t="str">
        <x:v>Interactive choices; Scratchpad image; annotated solution; verbal teach-back; corrected misconception; short written or audio explanation</x:v>
      </x:c>
      <x:c r="H62" s="28" t="str">
        <x:v>Notices or attempts key ideas from form a model with support and can show one relevant representation.</x:v>
      </x:c>
      <x:c r="I62" s="28" t="str">
        <x:v>Uses familiar methods to combine multiple domains and completes connected examples with prompts or checking support.</x:v>
      </x:c>
      <x:c r="J62" s="28" t="str">
        <x:v>Independently calculate accurately and explains the mathematical relationship or reasoning in a familiar and one varied context.</x:v>
      </x:c>
      <x:c r="K62" s="28" t="str">
        <x:v>Selects efficient representations or strategies, applies the learning in an unfamiliar context, and can communicate and revise with precise justification and reflection.</x:v>
      </x:c>
      <x:c r="L62" s="28" t="str">
        <x:v>NEO_Maths_Mathematics_Capstone_Solve_Expla_[FirstName]_[Date]</x:v>
      </x:c>
      <x:c r="M62" s="28" t="str">
        <x:v>What changed in my thinking? What support helped? What would I test or explain next?</x:v>
      </x:c>
      <x:c r="N62" s="36" t="str">
        <x:v>Learner owns the evidence; NEO owns canonical curriculum metadata.</x:v>
      </x:c>
    </x:row>
    <x:row r="63" ht="86" customHeight="1">
      <x:c r="A63" s="35" t="str">
        <x:v>NEO-MATH-FS-01</x:v>
      </x:c>
      <x:c r="B63" s="28" t="str">
        <x:v>Functional &amp; Applied Mathematics</x:v>
      </x:c>
      <x:c r="C63" s="28" t="str">
        <x:v>FS L1/L2 flexible</x:v>
      </x:c>
      <x:c r="D63" s="28" t="str">
        <x:v>Number Sense</x:v>
      </x:c>
      <x:c r="E63" s="28" t="str">
        <x:v>Everyday Number and Estimation</x:v>
      </x:c>
      <x:c r="F63" s="28" t="str">
        <x:v>Reasonableness Checklist with worked examples</x:v>
      </x:c>
      <x:c r="G63" s="28" t="str">
        <x:v>Interactive choices; Scratchpad image; annotated solution; verbal teach-back; corrected misconception; short written or audio explanation</x:v>
      </x:c>
      <x:c r="H63" s="28" t="str">
        <x:v>Notices or attempts key ideas from read/order numbers with support and can show one relevant representation.</x:v>
      </x:c>
      <x:c r="I63" s="28" t="str">
        <x:v>Uses familiar methods to calculate with whole numbers/decimals and completes connected examples with prompts or checking support.</x:v>
      </x:c>
      <x:c r="J63" s="28" t="str">
        <x:v>Independently estimate and explains the mathematical relationship or reasoning in a familiar and one varied context.</x:v>
      </x:c>
      <x:c r="K63" s="28" t="str">
        <x:v>Selects efficient representations or strategies, applies the learning in an unfamiliar context, and can choose calculator or non-calculator routes with precise justification and reflection.</x:v>
      </x:c>
      <x:c r="L63" s="28" t="str">
        <x:v>NEO_Maths_Everyday_Number_and_Estimation_[FirstName]_[Date]</x:v>
      </x:c>
      <x:c r="M63" s="28" t="str">
        <x:v>What changed in my thinking? What support helped? What would I test or explain next?</x:v>
      </x:c>
      <x:c r="N63" s="36" t="str">
        <x:v>Learner owns the evidence; NEO owns canonical curriculum metadata.</x:v>
      </x:c>
    </x:row>
    <x:row r="64" ht="86" customHeight="1">
      <x:c r="A64" s="35" t="str">
        <x:v>NEO-MATH-FS-02</x:v>
      </x:c>
      <x:c r="B64" s="28" t="str">
        <x:v>Functional &amp; Applied Mathematics</x:v>
      </x:c>
      <x:c r="C64" s="28" t="str">
        <x:v>FS L1/L2 flexible</x:v>
      </x:c>
      <x:c r="D64" s="28" t="str">
        <x:v>Financial &amp; Applied Reasoning</x:v>
      </x:c>
      <x:c r="E64" s="28" t="str">
        <x:v>Money, Discounts and Budget Choices</x:v>
      </x:c>
      <x:c r="F64" s="28" t="str">
        <x:v>Personal or Community Budget Decision</x:v>
      </x:c>
      <x:c r="G64" s="28" t="str">
        <x:v>Interactive choices; Scratchpad image; annotated solution; verbal teach-back; corrected misconception; short written or audio explanation</x:v>
      </x:c>
      <x:c r="H64" s="28" t="str">
        <x:v>Notices or attempts key ideas from calculate money with support and can show one relevant representation.</x:v>
      </x:c>
      <x:c r="I64" s="28" t="str">
        <x:v>Uses familiar methods to use percentages and completes connected examples with prompts or checking support.</x:v>
      </x:c>
      <x:c r="J64" s="28" t="str">
        <x:v>Independently simple/compound interest by level and explains the mathematical relationship or reasoning in a familiar and one varied context.</x:v>
      </x:c>
      <x:c r="K64" s="28" t="str">
        <x:v>Selects efficient representations or strategies, applies the learning in an unfamiliar context, and can explain a decision with precise justification and reflection.</x:v>
      </x:c>
      <x:c r="L64" s="28" t="str">
        <x:v>NEO_Maths_Money_Discounts_and_Budget_Choic_[FirstName]_[Date]</x:v>
      </x:c>
      <x:c r="M64" s="28" t="str">
        <x:v>What changed in my thinking? What support helped? What would I test or explain next?</x:v>
      </x:c>
      <x:c r="N64" s="36" t="str">
        <x:v>Learner owns the evidence; NEO owns canonical curriculum metadata.</x:v>
      </x:c>
    </x:row>
    <x:row r="65" ht="86" customHeight="1">
      <x:c r="A65" s="35" t="str">
        <x:v>NEO-MATH-FS-03</x:v>
      </x:c>
      <x:c r="B65" s="28" t="str">
        <x:v>Functional &amp; Applied Mathematics</x:v>
      </x:c>
      <x:c r="C65" s="28" t="str">
        <x:v>FS L1/L2 flexible</x:v>
      </x:c>
      <x:c r="D65" s="28" t="str">
        <x:v>Proportional Reasoning</x:v>
      </x:c>
      <x:c r="E65" s="28" t="str">
        <x:v>Recipes, Ratio and Direct Proportion</x:v>
      </x:c>
      <x:c r="F65" s="28" t="str">
        <x:v>Scaled Recipe or Resource Plan</x:v>
      </x:c>
      <x:c r="G65" s="28" t="str">
        <x:v>Interactive choices; Scratchpad image; annotated solution; verbal teach-back; corrected misconception; short written or audio explanation</x:v>
      </x:c>
      <x:c r="H65" s="28" t="str">
        <x:v>Notices or attempts key ideas from use fractions/FDP equivalence with support and can show one relevant representation.</x:v>
      </x:c>
      <x:c r="I65" s="28" t="str">
        <x:v>Uses familiar methods to use simple ratio and completes connected examples with prompts or checking support.</x:v>
      </x:c>
      <x:c r="J65" s="28" t="str">
        <x:v>Independently inverse proportion at Level 2 and explains the mathematical relationship or reasoning in a familiar and one varied context.</x:v>
      </x:c>
      <x:c r="K65" s="28" t="str">
        <x:v>Selects efficient representations or strategies, applies the learning in an unfamiliar context, and can interpret units with precise justification and reflection.</x:v>
      </x:c>
      <x:c r="L65" s="28" t="str">
        <x:v>NEO_Maths_Recipes_Ratio_and_Direct_Proport_[FirstName]_[Date]</x:v>
      </x:c>
      <x:c r="M65" s="28" t="str">
        <x:v>What changed in my thinking? What support helped? What would I test or explain next?</x:v>
      </x:c>
      <x:c r="N65" s="36" t="str">
        <x:v>Learner owns the evidence; NEO owns canonical curriculum metadata.</x:v>
      </x:c>
    </x:row>
    <x:row r="66" ht="86" customHeight="1">
      <x:c r="A66" s="35" t="str">
        <x:v>NEO-MATH-FS-04</x:v>
      </x:c>
      <x:c r="B66" s="28" t="str">
        <x:v>Functional &amp; Applied Mathematics</x:v>
      </x:c>
      <x:c r="C66" s="28" t="str">
        <x:v>FS L1/L2 flexible</x:v>
      </x:c>
      <x:c r="D66" s="28" t="str">
        <x:v>Financial &amp; Applied Reasoning</x:v>
      </x:c>
      <x:c r="E66" s="28" t="str">
        <x:v>Pay, Speed, Density and Real Rates</x:v>
      </x:c>
      <x:c r="F66" s="28" t="str">
        <x:v>Work/Travel Rate Recommendation</x:v>
      </x:c>
      <x:c r="G66" s="28" t="str">
        <x:v>Interactive choices; Scratchpad image; annotated solution; verbal teach-back; corrected misconception; short written or audio explanation</x:v>
      </x:c>
      <x:c r="H66" s="28" t="str">
        <x:v>Notices or attempts key ideas from calculate unit rates with support and can show one relevant representation.</x:v>
      </x:c>
      <x:c r="I66" s="28" t="str">
        <x:v>Uses familiar methods to rates of pay and completes connected examples with prompts or checking support.</x:v>
      </x:c>
      <x:c r="J66" s="28" t="str">
        <x:v>Independently compare offers and explains the mathematical relationship or reasoning in a familiar and one varied context.</x:v>
      </x:c>
      <x:c r="K66" s="28" t="str">
        <x:v>Selects efficient representations or strategies, applies the learning in an unfamiliar context, and can interpret compound measures with precise justification and reflection.</x:v>
      </x:c>
      <x:c r="L66" s="28" t="str">
        <x:v>NEO_Maths_Pay_Speed_Density_and_Real_Rates_[FirstName]_[Date]</x:v>
      </x:c>
      <x:c r="M66" s="28" t="str">
        <x:v>What changed in my thinking? What support helped? What would I test or explain next?</x:v>
      </x:c>
      <x:c r="N66" s="36" t="str">
        <x:v>Learner owns the evidence; NEO owns canonical curriculum metadata.</x:v>
      </x:c>
    </x:row>
    <x:row r="67" ht="86" customHeight="1">
      <x:c r="A67" s="35" t="str">
        <x:v>NEO-MATH-FS-05</x:v>
      </x:c>
      <x:c r="B67" s="28" t="str">
        <x:v>Functional &amp; Applied Mathematics</x:v>
      </x:c>
      <x:c r="C67" s="28" t="str">
        <x:v>FS L1/L2 flexible</x:v>
      </x:c>
      <x:c r="D67" s="28" t="str">
        <x:v>Spatial Reasoning</x:v>
      </x:c>
      <x:c r="E67" s="28" t="str">
        <x:v>Measure, Scale and Making Things Fit</x:v>
      </x:c>
      <x:c r="F67" s="28" t="str">
        <x:v>Room, Storage or Event Layout</x:v>
      </x:c>
      <x:c r="G67" s="28" t="str">
        <x:v>Interactive choices; Scratchpad image; annotated solution; verbal teach-back; corrected misconception; short written or audio explanation</x:v>
      </x:c>
      <x:c r="H67" s="28" t="str">
        <x:v>Notices or attempts key ideas from convert units with support and can show one relevant representation.</x:v>
      </x:c>
      <x:c r="I67" s="28" t="str">
        <x:v>Uses familiar methods to use scales/maps and completes connected examples with prompts or checking support.</x:v>
      </x:c>
      <x:c r="J67" s="28" t="str">
        <x:v>Independently volume and explains the mathematical relationship or reasoning in a familiar and one varied context.</x:v>
      </x:c>
      <x:c r="K67" s="28" t="str">
        <x:v>Selects efficient representations or strategies, applies the learning in an unfamiliar context, and can calculate actual dimensions with precise justification and reflection.</x:v>
      </x:c>
      <x:c r="L67" s="28" t="str">
        <x:v>NEO_Maths_Measure_Scale_and_Making_Things__[FirstName]_[Date]</x:v>
      </x:c>
      <x:c r="M67" s="28" t="str">
        <x:v>What changed in my thinking? What support helped? What would I test or explain next?</x:v>
      </x:c>
      <x:c r="N67" s="36" t="str">
        <x:v>Learner owns the evidence; NEO owns canonical curriculum metadata.</x:v>
      </x:c>
    </x:row>
    <x:row r="68" ht="86" customHeight="1">
      <x:c r="A68" s="35" t="str">
        <x:v>NEO-MATH-FS-06</x:v>
      </x:c>
      <x:c r="B68" s="28" t="str">
        <x:v>Functional &amp; Applied Mathematics</x:v>
      </x:c>
      <x:c r="C68" s="28" t="str">
        <x:v>FS L1/L2 flexible</x:v>
      </x:c>
      <x:c r="D68" s="28" t="str">
        <x:v>Financial &amp; Applied Reasoning</x:v>
      </x:c>
      <x:c r="E68" s="28" t="str">
        <x:v>Time, Travel and Scheduling</x:v>
      </x:c>
      <x:c r="F68" s="28" t="str">
        <x:v>Travel Plan with Contingency</x:v>
      </x:c>
      <x:c r="G68" s="28" t="str">
        <x:v>Interactive choices; Scratchpad image; annotated solution; verbal teach-back; corrected misconception; short written or audio explanation</x:v>
      </x:c>
      <x:c r="H68" s="28" t="str">
        <x:v>Notices or attempts key ideas from calculate time intervals with support and can show one relevant representation.</x:v>
      </x:c>
      <x:c r="I68" s="28" t="str">
        <x:v>Uses familiar methods to read timetables and completes connected examples with prompts or checking support.</x:v>
      </x:c>
      <x:c r="J68" s="28" t="str">
        <x:v>Independently compare routes and explains the mathematical relationship or reasoning in a familiar and one varied context.</x:v>
      </x:c>
      <x:c r="K68" s="28" t="str">
        <x:v>Selects efficient representations or strategies, applies the learning in an unfamiliar context, and can explain assumptions with precise justification and reflection.</x:v>
      </x:c>
      <x:c r="L68" s="28" t="str">
        <x:v>NEO_Maths_Time_Travel_and_Scheduling_[FirstName]_[Date]</x:v>
      </x:c>
      <x:c r="M68" s="28" t="str">
        <x:v>What changed in my thinking? What support helped? What would I test or explain next?</x:v>
      </x:c>
      <x:c r="N68" s="36" t="str">
        <x:v>Learner owns the evidence; NEO owns canonical curriculum metadata.</x:v>
      </x:c>
    </x:row>
    <x:row r="69" ht="86" customHeight="1">
      <x:c r="A69" s="35" t="str">
        <x:v>NEO-MATH-FS-07</x:v>
      </x:c>
      <x:c r="B69" s="28" t="str">
        <x:v>Functional &amp; Applied Mathematics</x:v>
      </x:c>
      <x:c r="C69" s="28" t="str">
        <x:v>FS L1/L2 flexible</x:v>
      </x:c>
      <x:c r="D69" s="28" t="str">
        <x:v>Data &amp; Uncertainty</x:v>
      </x:c>
      <x:c r="E69" s="28" t="str">
        <x:v>Charts, Averages and Claims</x:v>
      </x:c>
      <x:c r="F69" s="28" t="str">
        <x:v>Claim Check Report</x:v>
      </x:c>
      <x:c r="G69" s="28" t="str">
        <x:v>Interactive choices; Scratchpad image; annotated solution; verbal teach-back; corrected misconception; short written or audio explanation</x:v>
      </x:c>
      <x:c r="H69" s="28" t="str">
        <x:v>Notices or attempts key ideas from read/construct charts with support and can show one relevant representation.</x:v>
      </x:c>
      <x:c r="I69" s="28" t="str">
        <x:v>Uses familiar methods to group data and completes connected examples with prompts or checking support.</x:v>
      </x:c>
      <x:c r="J69" s="28" t="str">
        <x:v>Independently compare data sets and explains the mathematical relationship or reasoning in a familiar and one varied context.</x:v>
      </x:c>
      <x:c r="K69" s="28" t="str">
        <x:v>Selects efficient representations or strategies, applies the learning in an unfamiliar context, and can critique a claim with precise justification and reflection.</x:v>
      </x:c>
      <x:c r="L69" s="28" t="str">
        <x:v>NEO_Maths_Charts_Averages_and_Claims_[FirstName]_[Date]</x:v>
      </x:c>
      <x:c r="M69" s="28" t="str">
        <x:v>What changed in my thinking? What support helped? What would I test or explain next?</x:v>
      </x:c>
      <x:c r="N69" s="36" t="str">
        <x:v>Learner owns the evidence; NEO owns canonical curriculum metadata.</x:v>
      </x:c>
    </x:row>
    <x:row r="70" ht="86" customHeight="1">
      <x:c r="A70" s="35" t="str">
        <x:v>NEO-MATH-FS-08</x:v>
      </x:c>
      <x:c r="B70" s="28" t="str">
        <x:v>Functional &amp; Applied Mathematics</x:v>
      </x:c>
      <x:c r="C70" s="28" t="str">
        <x:v>FS L1/L2 flexible</x:v>
      </x:c>
      <x:c r="D70" s="28" t="str">
        <x:v>Data &amp; Uncertainty</x:v>
      </x:c>
      <x:c r="E70" s="28" t="str">
        <x:v>Probability, Risk and Everyday Decisions</x:v>
      </x:c>
      <x:c r="F70" s="28" t="str">
        <x:v>Everyday Risk Communication Card</x:v>
      </x:c>
      <x:c r="G70" s="28" t="str">
        <x:v>Interactive choices; Scratchpad image; annotated solution; verbal teach-back; corrected misconception; short written or audio explanation</x:v>
      </x:c>
      <x:c r="H70" s="28" t="str">
        <x:v>Notices or attempts key ideas from use probability scale with support and can show one relevant representation.</x:v>
      </x:c>
      <x:c r="I70" s="28" t="str">
        <x:v>Uses familiar methods to calculate simple events and completes connected examples with prompts or checking support.</x:v>
      </x:c>
      <x:c r="J70" s="28" t="str">
        <x:v>Independently use combined events/tables at L2 and explains the mathematical relationship or reasoning in a familiar and one varied context.</x:v>
      </x:c>
      <x:c r="K70" s="28" t="str">
        <x:v>Selects efficient representations or strategies, applies the learning in an unfamiliar context, and can interpret likelihood with precise justification and reflection.</x:v>
      </x:c>
      <x:c r="L70" s="28" t="str">
        <x:v>NEO_Maths_Probability_Risk_and_Everyday_De_[FirstName]_[Date]</x:v>
      </x:c>
      <x:c r="M70" s="28" t="str">
        <x:v>What changed in my thinking? What support helped? What would I test or explain next?</x:v>
      </x:c>
      <x:c r="N70" s="36" t="str">
        <x:v>Learner owns the evidence; NEO owns canonical curriculum metadata.</x:v>
      </x:c>
    </x:row>
    <x:row r="71" ht="86" customHeight="1">
      <x:c r="A71" s="35" t="str">
        <x:v>NEO-MATH-FS-09</x:v>
      </x:c>
      <x:c r="B71" s="28" t="str">
        <x:v>Functional &amp; Applied Mathematics</x:v>
      </x:c>
      <x:c r="C71" s="28" t="str">
        <x:v>FS L1/L2 flexible</x:v>
      </x:c>
      <x:c r="D71" s="28" t="str">
        <x:v>Modelling</x:v>
      </x:c>
      <x:c r="E71" s="28" t="str">
        <x:v>Applied Decision Project</x:v>
      </x:c>
      <x:c r="F71" s="28" t="str">
        <x:v>Multi-Step Applied Decision Portfolio</x:v>
      </x:c>
      <x:c r="G71" s="28" t="str">
        <x:v>Interactive choices; Scratchpad image; annotated solution; verbal teach-back; corrected misconception; short written or audio explanation</x:v>
      </x:c>
      <x:c r="H71" s="28" t="str">
        <x:v>Notices or attempts key ideas from identify information with support and can show one relevant representation.</x:v>
      </x:c>
      <x:c r="I71" s="28" t="str">
        <x:v>Uses familiar methods to plan multiple steps and completes connected examples with prompts or checking support.</x:v>
      </x:c>
      <x:c r="J71" s="28" t="str">
        <x:v>Independently calculate to required accuracy and explains the mathematical relationship or reasoning in a familiar and one varied context.</x:v>
      </x:c>
      <x:c r="K71" s="28" t="str">
        <x:v>Selects efficient representations or strategies, applies the learning in an unfamiliar context, and can present a recommendation with precise justification and reflection.</x:v>
      </x:c>
      <x:c r="L71" s="28" t="str">
        <x:v>NEO_Maths_Applied_Decision_Project_[FirstName]_[Date]</x:v>
      </x:c>
      <x:c r="M71" s="28" t="str">
        <x:v>What changed in my thinking? What support helped? What would I test or explain next?</x:v>
      </x:c>
      <x:c r="N71" s="36" t="str">
        <x:v>Learner owns the evidence; NEO owns canonical curriculum metadata.</x:v>
      </x:c>
    </x:row>
    <x:row r="72" ht="86" customHeight="1">
      <x:c r="A72" s="37" t="str">
        <x:v>NEO-MATH-FS-10</x:v>
      </x:c>
      <x:c r="B72" s="38" t="str">
        <x:v>Functional &amp; Applied Mathematics</x:v>
      </x:c>
      <x:c r="C72" s="38" t="str">
        <x:v>FS L1/L2 flexible</x:v>
      </x:c>
      <x:c r="D72" s="38" t="str">
        <x:v>Self-Regulated Mathematical Learning</x:v>
      </x:c>
      <x:c r="E72" s="38" t="str">
        <x:v>Functional Skills Assessment Navigation</x:v>
      </x:c>
      <x:c r="F72" s="38" t="str">
        <x:v>Personal Problem-Solving Navigation Card</x:v>
      </x:c>
      <x:c r="G72" s="38" t="str">
        <x:v>Interactive choices; Scratchpad image; annotated solution; verbal teach-back; corrected misconception; short written or audio explanation</x:v>
      </x:c>
      <x:c r="H72" s="38" t="str">
        <x:v>Notices or attempts key ideas from read mathematical information with support and can show one relevant representation.</x:v>
      </x:c>
      <x:c r="I72" s="38" t="str">
        <x:v>Uses familiar methods to identify operations and completes connected examples with prompts or checking support.</x:v>
      </x:c>
      <x:c r="J72" s="38" t="str">
        <x:v>Independently use required accuracy and explains the mathematical relationship or reasoning in a familiar and one varied context.</x:v>
      </x:c>
      <x:c r="K72" s="38" t="str">
        <x:v>Selects efficient representations or strategies, applies the learning in an unfamiliar context, and can use calculator/non-calculator strategies with precise justification and reflection.</x:v>
      </x:c>
      <x:c r="L72" s="38" t="str">
        <x:v>NEO_Maths_Functional_Skills_Assessment_Nav_[FirstName]_[Date]</x:v>
      </x:c>
      <x:c r="M72" s="38" t="str">
        <x:v>What changed in my thinking? What support helped? What would I test or explain next?</x:v>
      </x:c>
      <x:c r="N72" s="39" t="str">
        <x:v>Learner owns the evidence; NEO owns canonical curriculum metadata.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f3eb60d6e234d5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32" hidden="0" customWidth="1"/>
    <x:col min="5" max="5" width="18" hidden="0" customWidth="1"/>
    <x:col min="6" max="6" width="20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18" hidden="0" customWidth="1"/>
    <x:col min="12" max="12" width="20" hidden="0" customWidth="1"/>
    <x:col min="13" max="13" width="34" hidden="0" customWidth="1"/>
  </x:cols>
  <x:sheetData>
    <x:row r="1">
      <x:c r="A1" s="5" t="str">
        <x:v>NEO Maths Curriculum Build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2" t="str">
        <x:v>Operational register for moving units from mapped curriculum to interactive lesson, Practice Companion, Learner Guide, Supporting Adult Guidance, review and lock.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32" t="str">
        <x:v>Unit ID</x:v>
      </x:c>
      <x:c r="B4" s="33" t="str">
        <x:v>Pathway</x:v>
      </x:c>
      <x:c r="C4" s="33" t="str">
        <x:v>Year / Stage</x:v>
      </x:c>
      <x:c r="D4" s="33" t="str">
        <x:v>Unit Title</x:v>
      </x:c>
      <x:c r="E4" s="33" t="str">
        <x:v>Curriculum Map</x:v>
      </x:c>
      <x:c r="F4" s="33" t="str">
        <x:v>Interactive Tool</x:v>
      </x:c>
      <x:c r="G4" s="33" t="str">
        <x:v>HTML Lesson</x:v>
      </x:c>
      <x:c r="H4" s="33" t="str">
        <x:v>Practice Companion</x:v>
      </x:c>
      <x:c r="I4" s="33" t="str">
        <x:v>Learner Guide</x:v>
      </x:c>
      <x:c r="J4" s="33" t="str">
        <x:v>Adult Guidance</x:v>
      </x:c>
      <x:c r="K4" s="33" t="str">
        <x:v>Review</x:v>
      </x:c>
      <x:c r="L4" s="33" t="str">
        <x:v>Lock Status</x:v>
      </x:c>
      <x:c r="M4" s="34" t="str">
        <x:v>Priority / Note</x:v>
      </x:c>
    </x:row>
    <x:row r="5" ht="42" customHeight="1">
      <x:c r="A5" s="35" t="str">
        <x:v>NEO-MATH-DISC-01</x:v>
      </x:c>
      <x:c r="B5" s="28" t="str">
        <x:v>Discovery / Reconnection</x:v>
      </x:c>
      <x:c r="C5" s="28" t="str">
        <x:v>Flexible entry</x:v>
      </x:c>
      <x:c r="D5" s="28" t="str">
        <x:v>Finding My Maths Starting Point</x:v>
      </x:c>
      <x:c r="E5" s="28" t="str">
        <x:v>Complete</x:v>
      </x:c>
      <x:c r="F5" s="28" t="str">
        <x:v>Designed</x:v>
      </x:c>
      <x:c r="G5" s="28" t="str">
        <x:v>Planned</x:v>
      </x:c>
      <x:c r="H5" s="28" t="str">
        <x:v>Planned</x:v>
      </x:c>
      <x:c r="I5" s="28" t="str">
        <x:v>Planned</x:v>
      </x:c>
      <x:c r="J5" s="28" t="str">
        <x:v>Planned</x:v>
      </x:c>
      <x:c r="K5" s="28" t="str">
        <x:v>Not started</x:v>
      </x:c>
      <x:c r="L5" s="28" t="str">
        <x:v>Planned</x:v>
      </x:c>
      <x:c r="M5" s="36" t="str">
        <x:v>Sequence after spine review</x:v>
      </x:c>
    </x:row>
    <x:row r="6" ht="42" customHeight="1">
      <x:c r="A6" s="35" t="str">
        <x:v>NEO-MATH-DISC-02</x:v>
      </x:c>
      <x:c r="B6" s="28" t="str">
        <x:v>Discovery / Reconnection</x:v>
      </x:c>
      <x:c r="C6" s="28" t="str">
        <x:v>Flexible entry</x:v>
      </x:c>
      <x:c r="D6" s="28" t="str">
        <x:v>Numbers I Can Trust</x:v>
      </x:c>
      <x:c r="E6" s="28" t="str">
        <x:v>Complete</x:v>
      </x:c>
      <x:c r="F6" s="28" t="str">
        <x:v>Planned</x:v>
      </x:c>
      <x:c r="G6" s="28" t="str">
        <x:v>Planned</x:v>
      </x:c>
      <x:c r="H6" s="28" t="str">
        <x:v>Planned</x:v>
      </x:c>
      <x:c r="I6" s="28" t="str">
        <x:v>Planned</x:v>
      </x:c>
      <x:c r="J6" s="28" t="str">
        <x:v>Planned</x:v>
      </x:c>
      <x:c r="K6" s="28" t="str">
        <x:v>Not started</x:v>
      </x:c>
      <x:c r="L6" s="28" t="str">
        <x:v>Planned</x:v>
      </x:c>
      <x:c r="M6" s="36" t="str">
        <x:v>Sequence after spine review</x:v>
      </x:c>
    </x:row>
    <x:row r="7" ht="42" customHeight="1">
      <x:c r="A7" s="35" t="str">
        <x:v>NEO-MATH-DISC-03</x:v>
      </x:c>
      <x:c r="B7" s="28" t="str">
        <x:v>Discovery / Reconnection</x:v>
      </x:c>
      <x:c r="C7" s="28" t="str">
        <x:v>Flexible entry</x:v>
      </x:c>
      <x:c r="D7" s="28" t="str">
        <x:v>Operations as Choices</x:v>
      </x:c>
      <x:c r="E7" s="28" t="str">
        <x:v>Complete</x:v>
      </x:c>
      <x:c r="F7" s="28" t="str">
        <x:v>Planned</x:v>
      </x:c>
      <x:c r="G7" s="28" t="str">
        <x:v>Planned</x:v>
      </x:c>
      <x:c r="H7" s="28" t="str">
        <x:v>Planned</x:v>
      </x:c>
      <x:c r="I7" s="28" t="str">
        <x:v>Planned</x:v>
      </x:c>
      <x:c r="J7" s="28" t="str">
        <x:v>Planned</x:v>
      </x:c>
      <x:c r="K7" s="28" t="str">
        <x:v>Not started</x:v>
      </x:c>
      <x:c r="L7" s="28" t="str">
        <x:v>Planned</x:v>
      </x:c>
      <x:c r="M7" s="36" t="str">
        <x:v>Sequence after spine review</x:v>
      </x:c>
    </x:row>
    <x:row r="8" ht="42" customHeight="1">
      <x:c r="A8" s="35" t="str">
        <x:v>NEO-MATH-DISC-04</x:v>
      </x:c>
      <x:c r="B8" s="28" t="str">
        <x:v>Discovery / Reconnection</x:v>
      </x:c>
      <x:c r="C8" s="28" t="str">
        <x:v>Flexible entry</x:v>
      </x:c>
      <x:c r="D8" s="28" t="str">
        <x:v>Fractions, Decimals and Percentages as One Family</x:v>
      </x:c>
      <x:c r="E8" s="28" t="str">
        <x:v>Complete</x:v>
      </x:c>
      <x:c r="F8" s="28" t="str">
        <x:v>Planned</x:v>
      </x:c>
      <x:c r="G8" s="28" t="str">
        <x:v>Planned</x:v>
      </x:c>
      <x:c r="H8" s="28" t="str">
        <x:v>Planned</x:v>
      </x:c>
      <x:c r="I8" s="28" t="str">
        <x:v>Planned</x:v>
      </x:c>
      <x:c r="J8" s="28" t="str">
        <x:v>Planned</x:v>
      </x:c>
      <x:c r="K8" s="28" t="str">
        <x:v>Not started</x:v>
      </x:c>
      <x:c r="L8" s="28" t="str">
        <x:v>Planned</x:v>
      </x:c>
      <x:c r="M8" s="36" t="str">
        <x:v>Sequence after spine review</x:v>
      </x:c>
    </x:row>
    <x:row r="9" ht="42" customHeight="1">
      <x:c r="A9" s="35" t="str">
        <x:v>NEO-MATH-DISC-05</x:v>
      </x:c>
      <x:c r="B9" s="28" t="str">
        <x:v>Discovery / Reconnection</x:v>
      </x:c>
      <x:c r="C9" s="28" t="str">
        <x:v>Flexible entry</x:v>
      </x:c>
      <x:c r="D9" s="28" t="str">
        <x:v>Patterns Before Letters</x:v>
      </x:c>
      <x:c r="E9" s="28" t="str">
        <x:v>Complete</x:v>
      </x:c>
      <x:c r="F9" s="28" t="str">
        <x:v>Planned</x:v>
      </x:c>
      <x:c r="G9" s="28" t="str">
        <x:v>Planned</x:v>
      </x:c>
      <x:c r="H9" s="28" t="str">
        <x:v>Planned</x:v>
      </x:c>
      <x:c r="I9" s="28" t="str">
        <x:v>Planned</x:v>
      </x:c>
      <x:c r="J9" s="28" t="str">
        <x:v>Planned</x:v>
      </x:c>
      <x:c r="K9" s="28" t="str">
        <x:v>Not started</x:v>
      </x:c>
      <x:c r="L9" s="28" t="str">
        <x:v>Planned</x:v>
      </x:c>
      <x:c r="M9" s="36" t="str">
        <x:v>Sequence after spine review</x:v>
      </x:c>
    </x:row>
    <x:row r="10" ht="42" customHeight="1">
      <x:c r="A10" s="35" t="str">
        <x:v>NEO-MATH-DISC-06</x:v>
      </x:c>
      <x:c r="B10" s="28" t="str">
        <x:v>Discovery / Reconnection</x:v>
      </x:c>
      <x:c r="C10" s="28" t="str">
        <x:v>Flexible entry</x:v>
      </x:c>
      <x:c r="D10" s="28" t="str">
        <x:v>Shape, Space and Measure Around Me</x:v>
      </x:c>
      <x:c r="E10" s="28" t="str">
        <x:v>Complete</x:v>
      </x:c>
      <x:c r="F10" s="28" t="str">
        <x:v>Planned</x:v>
      </x:c>
      <x:c r="G10" s="28" t="str">
        <x:v>Planned</x:v>
      </x:c>
      <x:c r="H10" s="28" t="str">
        <x:v>Planned</x:v>
      </x:c>
      <x:c r="I10" s="28" t="str">
        <x:v>Planned</x:v>
      </x:c>
      <x:c r="J10" s="28" t="str">
        <x:v>Planned</x:v>
      </x:c>
      <x:c r="K10" s="28" t="str">
        <x:v>Not started</x:v>
      </x:c>
      <x:c r="L10" s="28" t="str">
        <x:v>Planned</x:v>
      </x:c>
      <x:c r="M10" s="36" t="str">
        <x:v>Sequence after spine review</x:v>
      </x:c>
    </x:row>
    <x:row r="11" ht="42" customHeight="1">
      <x:c r="A11" s="35" t="str">
        <x:v>NEO-MATH-DISC-07</x:v>
      </x:c>
      <x:c r="B11" s="28" t="str">
        <x:v>Discovery / Reconnection</x:v>
      </x:c>
      <x:c r="C11" s="28" t="str">
        <x:v>Flexible entry</x:v>
      </x:c>
      <x:c r="D11" s="28" t="str">
        <x:v>What Can Data Really Tell Me?</x:v>
      </x:c>
      <x:c r="E11" s="28" t="str">
        <x:v>Complete</x:v>
      </x:c>
      <x:c r="F11" s="28" t="str">
        <x:v>Planned</x:v>
      </x:c>
      <x:c r="G11" s="28" t="str">
        <x:v>Planned</x:v>
      </x:c>
      <x:c r="H11" s="28" t="str">
        <x:v>Planned</x:v>
      </x:c>
      <x:c r="I11" s="28" t="str">
        <x:v>Planned</x:v>
      </x:c>
      <x:c r="J11" s="28" t="str">
        <x:v>Planned</x:v>
      </x:c>
      <x:c r="K11" s="28" t="str">
        <x:v>Not started</x:v>
      </x:c>
      <x:c r="L11" s="28" t="str">
        <x:v>Planned</x:v>
      </x:c>
      <x:c r="M11" s="36" t="str">
        <x:v>Sequence after spine review</x:v>
      </x:c>
    </x:row>
    <x:row r="12" ht="42" customHeight="1">
      <x:c r="A12" s="35" t="str">
        <x:v>NEO-MATH-DISC-08</x:v>
      </x:c>
      <x:c r="B12" s="28" t="str">
        <x:v>Discovery / Reconnection</x:v>
      </x:c>
      <x:c r="C12" s="28" t="str">
        <x:v>Flexible entry</x:v>
      </x:c>
      <x:c r="D12" s="28" t="str">
        <x:v>Maths for a Real Decision</x:v>
      </x:c>
      <x:c r="E12" s="28" t="str">
        <x:v>Complete</x:v>
      </x:c>
      <x:c r="F12" s="28" t="str">
        <x:v>Planned</x:v>
      </x:c>
      <x:c r="G12" s="28" t="str">
        <x:v>Planned</x:v>
      </x:c>
      <x:c r="H12" s="28" t="str">
        <x:v>Planned</x:v>
      </x:c>
      <x:c r="I12" s="28" t="str">
        <x:v>Planned</x:v>
      </x:c>
      <x:c r="J12" s="28" t="str">
        <x:v>Planned</x:v>
      </x:c>
      <x:c r="K12" s="28" t="str">
        <x:v>Not started</x:v>
      </x:c>
      <x:c r="L12" s="28" t="str">
        <x:v>Planned</x:v>
      </x:c>
      <x:c r="M12" s="36" t="str">
        <x:v>Sequence after spine review</x:v>
      </x:c>
    </x:row>
    <x:row r="13" ht="42" customHeight="1">
      <x:c r="A13" s="35" t="str">
        <x:v>NEO-MATH-Y7-01</x:v>
      </x:c>
      <x:c r="B13" s="28" t="str">
        <x:v>Year 7 Foundations</x:v>
      </x:c>
      <x:c r="C13" s="28" t="str">
        <x:v>Year 7</x:v>
      </x:c>
      <x:c r="D13" s="28" t="str">
        <x:v>How Much Is a Digit Worth?</x:v>
      </x:c>
      <x:c r="E13" s="28" t="str">
        <x:v>Complete</x:v>
      </x:c>
      <x:c r="F13" s="28" t="str">
        <x:v>Planned</x:v>
      </x:c>
      <x:c r="G13" s="28" t="str">
        <x:v>Planned</x:v>
      </x:c>
      <x:c r="H13" s="28" t="str">
        <x:v>Planned</x:v>
      </x:c>
      <x:c r="I13" s="28" t="str">
        <x:v>Planned</x:v>
      </x:c>
      <x:c r="J13" s="28" t="str">
        <x:v>Planned</x:v>
      </x:c>
      <x:c r="K13" s="28" t="str">
        <x:v>Not started</x:v>
      </x:c>
      <x:c r="L13" s="28" t="str">
        <x:v>Planned</x:v>
      </x:c>
      <x:c r="M13" s="36" t="str">
        <x:v>Sequence after spine review</x:v>
      </x:c>
    </x:row>
    <x:row r="14" ht="42" customHeight="1">
      <x:c r="A14" s="35" t="str">
        <x:v>NEO-MATH-Y7-02</x:v>
      </x:c>
      <x:c r="B14" s="28" t="str">
        <x:v>Year 7 Foundations</x:v>
      </x:c>
      <x:c r="C14" s="28" t="str">
        <x:v>Year 7</x:v>
      </x:c>
      <x:c r="D14" s="28" t="str">
        <x:v>Calculations That Make Sense</x:v>
      </x:c>
      <x:c r="E14" s="28" t="str">
        <x:v>Complete</x:v>
      </x:c>
      <x:c r="F14" s="28" t="str">
        <x:v>Planned</x:v>
      </x:c>
      <x:c r="G14" s="28" t="str">
        <x:v>Planned</x:v>
      </x:c>
      <x:c r="H14" s="28" t="str">
        <x:v>Planned</x:v>
      </x:c>
      <x:c r="I14" s="28" t="str">
        <x:v>Planned</x:v>
      </x:c>
      <x:c r="J14" s="28" t="str">
        <x:v>Planned</x:v>
      </x:c>
      <x:c r="K14" s="28" t="str">
        <x:v>Not started</x:v>
      </x:c>
      <x:c r="L14" s="28" t="str">
        <x:v>Planned</x:v>
      </x:c>
      <x:c r="M14" s="36" t="str">
        <x:v>Sequence after spine review</x:v>
      </x:c>
    </x:row>
    <x:row r="15" ht="42" customHeight="1">
      <x:c r="A15" s="35" t="str">
        <x:v>NEO-MATH-Y7-03</x:v>
      </x:c>
      <x:c r="B15" s="28" t="str">
        <x:v>Year 7 Foundations</x:v>
      </x:c>
      <x:c r="C15" s="28" t="str">
        <x:v>Year 7</x:v>
      </x:c>
      <x:c r="D15" s="28" t="str">
        <x:v>Patterns, Factors and Hidden Structure</x:v>
      </x:c>
      <x:c r="E15" s="28" t="str">
        <x:v>Complete</x:v>
      </x:c>
      <x:c r="F15" s="28" t="str">
        <x:v>Planned</x:v>
      </x:c>
      <x:c r="G15" s="28" t="str">
        <x:v>Planned</x:v>
      </x:c>
      <x:c r="H15" s="28" t="str">
        <x:v>Planned</x:v>
      </x:c>
      <x:c r="I15" s="28" t="str">
        <x:v>Planned</x:v>
      </x:c>
      <x:c r="J15" s="28" t="str">
        <x:v>Planned</x:v>
      </x:c>
      <x:c r="K15" s="28" t="str">
        <x:v>Not started</x:v>
      </x:c>
      <x:c r="L15" s="28" t="str">
        <x:v>Planned</x:v>
      </x:c>
      <x:c r="M15" s="36" t="str">
        <x:v>Sequence after spine review</x:v>
      </x:c>
    </x:row>
    <x:row r="16" ht="42" customHeight="1">
      <x:c r="A16" s="35" t="str">
        <x:v>NEO-MATH-Y7-04</x:v>
      </x:c>
      <x:c r="B16" s="28" t="str">
        <x:v>Year 7 Foundations</x:v>
      </x:c>
      <x:c r="C16" s="28" t="str">
        <x:v>Year 7</x:v>
      </x:c>
      <x:c r="D16" s="28" t="str">
        <x:v>One Amount, Three Languages</x:v>
      </x:c>
      <x:c r="E16" s="28" t="str">
        <x:v>Complete</x:v>
      </x:c>
      <x:c r="F16" s="28" t="str">
        <x:v>Planned</x:v>
      </x:c>
      <x:c r="G16" s="28" t="str">
        <x:v>Planned</x:v>
      </x:c>
      <x:c r="H16" s="28" t="str">
        <x:v>Planned</x:v>
      </x:c>
      <x:c r="I16" s="28" t="str">
        <x:v>Planned</x:v>
      </x:c>
      <x:c r="J16" s="28" t="str">
        <x:v>Planned</x:v>
      </x:c>
      <x:c r="K16" s="28" t="str">
        <x:v>Not started</x:v>
      </x:c>
      <x:c r="L16" s="28" t="str">
        <x:v>Planned</x:v>
      </x:c>
      <x:c r="M16" s="36" t="str">
        <x:v>Sequence after spine review</x:v>
      </x:c>
    </x:row>
    <x:row r="17" ht="42" customHeight="1">
      <x:c r="A17" s="35" t="str">
        <x:v>NEO-MATH-Y7-05</x:v>
      </x:c>
      <x:c r="B17" s="28" t="str">
        <x:v>Year 7 Foundations</x:v>
      </x:c>
      <x:c r="C17" s="28" t="str">
        <x:v>Year 7</x:v>
      </x:c>
      <x:c r="D17" s="28" t="str">
        <x:v>Angles Tell Us Why</x:v>
      </x:c>
      <x:c r="E17" s="28" t="str">
        <x:v>Complete</x:v>
      </x:c>
      <x:c r="F17" s="28" t="str">
        <x:v>Planned</x:v>
      </x:c>
      <x:c r="G17" s="28" t="str">
        <x:v>Planned</x:v>
      </x:c>
      <x:c r="H17" s="28" t="str">
        <x:v>Planned</x:v>
      </x:c>
      <x:c r="I17" s="28" t="str">
        <x:v>Planned</x:v>
      </x:c>
      <x:c r="J17" s="28" t="str">
        <x:v>Planned</x:v>
      </x:c>
      <x:c r="K17" s="28" t="str">
        <x:v>Not started</x:v>
      </x:c>
      <x:c r="L17" s="28" t="str">
        <x:v>Planned</x:v>
      </x:c>
      <x:c r="M17" s="36" t="str">
        <x:v>Sequence after spine review</x:v>
      </x:c>
    </x:row>
    <x:row r="18" ht="42" customHeight="1">
      <x:c r="A18" s="35" t="str">
        <x:v>NEO-MATH-Y7-06</x:v>
      </x:c>
      <x:c r="B18" s="28" t="str">
        <x:v>Year 7 Foundations</x:v>
      </x:c>
      <x:c r="C18" s="28" t="str">
        <x:v>Year 7</x:v>
      </x:c>
      <x:c r="D18" s="28" t="str">
        <x:v>Perimeter and Area: Same Shape Story?</x:v>
      </x:c>
      <x:c r="E18" s="28" t="str">
        <x:v>Complete</x:v>
      </x:c>
      <x:c r="F18" s="28" t="str">
        <x:v>Planned</x:v>
      </x:c>
      <x:c r="G18" s="28" t="str">
        <x:v>Planned</x:v>
      </x:c>
      <x:c r="H18" s="28" t="str">
        <x:v>Planned</x:v>
      </x:c>
      <x:c r="I18" s="28" t="str">
        <x:v>Planned</x:v>
      </x:c>
      <x:c r="J18" s="28" t="str">
        <x:v>Planned</x:v>
      </x:c>
      <x:c r="K18" s="28" t="str">
        <x:v>Not started</x:v>
      </x:c>
      <x:c r="L18" s="28" t="str">
        <x:v>Planned</x:v>
      </x:c>
      <x:c r="M18" s="36" t="str">
        <x:v>Sequence after spine review</x:v>
      </x:c>
    </x:row>
    <x:row r="19" ht="42" customHeight="1">
      <x:c r="A19" s="35" t="str">
        <x:v>NEO-MATH-Y7-07</x:v>
      </x:c>
      <x:c r="B19" s="28" t="str">
        <x:v>Year 7 Foundations</x:v>
      </x:c>
      <x:c r="C19" s="28" t="str">
        <x:v>Year 7</x:v>
      </x:c>
      <x:c r="D19" s="28" t="str">
        <x:v>Relationships That Scale</x:v>
      </x:c>
      <x:c r="E19" s="28" t="str">
        <x:v>Complete</x:v>
      </x:c>
      <x:c r="F19" s="28" t="str">
        <x:v>Reviewed</x:v>
      </x:c>
      <x:c r="G19" s="28" t="str">
        <x:v>Reviewed</x:v>
      </x:c>
      <x:c r="H19" s="28" t="str">
        <x:v>Reviewed</x:v>
      </x:c>
      <x:c r="I19" s="28" t="str">
        <x:v>Built</x:v>
      </x:c>
      <x:c r="J19" s="28" t="str">
        <x:v>Built</x:v>
      </x:c>
      <x:c r="K19" s="28" t="str">
        <x:v>Reviewed</x:v>
      </x:c>
      <x:c r="L19" s="28" t="str">
        <x:v>Locked prototype</x:v>
      </x:c>
      <x:c r="M19" s="36" t="str">
        <x:v>Reference standard</x:v>
      </x:c>
    </x:row>
    <x:row r="20" ht="42" customHeight="1">
      <x:c r="A20" s="35" t="str">
        <x:v>NEO-MATH-Y7-08</x:v>
      </x:c>
      <x:c r="B20" s="28" t="str">
        <x:v>Year 7 Foundations</x:v>
      </x:c>
      <x:c r="C20" s="28" t="str">
        <x:v>Year 7</x:v>
      </x:c>
      <x:c r="D20" s="28" t="str">
        <x:v>Coordinates and Moves</x:v>
      </x:c>
      <x:c r="E20" s="28" t="str">
        <x:v>Complete</x:v>
      </x:c>
      <x:c r="F20" s="28" t="str">
        <x:v>Planned</x:v>
      </x:c>
      <x:c r="G20" s="28" t="str">
        <x:v>Planned</x:v>
      </x:c>
      <x:c r="H20" s="28" t="str">
        <x:v>Planned</x:v>
      </x:c>
      <x:c r="I20" s="28" t="str">
        <x:v>Planned</x:v>
      </x:c>
      <x:c r="J20" s="28" t="str">
        <x:v>Planned</x:v>
      </x:c>
      <x:c r="K20" s="28" t="str">
        <x:v>Not started</x:v>
      </x:c>
      <x:c r="L20" s="28" t="str">
        <x:v>Planned</x:v>
      </x:c>
      <x:c r="M20" s="36" t="str">
        <x:v>Sequence after spine review</x:v>
      </x:c>
    </x:row>
    <x:row r="21" ht="42" customHeight="1">
      <x:c r="A21" s="35" t="str">
        <x:v>NEO-MATH-Y7-09</x:v>
      </x:c>
      <x:c r="B21" s="28" t="str">
        <x:v>Year 7 Foundations</x:v>
      </x:c>
      <x:c r="C21" s="28" t="str">
        <x:v>Year 7</x:v>
      </x:c>
      <x:c r="D21" s="28" t="str">
        <x:v>Averages and Fair Shares</x:v>
      </x:c>
      <x:c r="E21" s="28" t="str">
        <x:v>Complete</x:v>
      </x:c>
      <x:c r="F21" s="28" t="str">
        <x:v>Planned</x:v>
      </x:c>
      <x:c r="G21" s="28" t="str">
        <x:v>Planned</x:v>
      </x:c>
      <x:c r="H21" s="28" t="str">
        <x:v>Planned</x:v>
      </x:c>
      <x:c r="I21" s="28" t="str">
        <x:v>Planned</x:v>
      </x:c>
      <x:c r="J21" s="28" t="str">
        <x:v>Planned</x:v>
      </x:c>
      <x:c r="K21" s="28" t="str">
        <x:v>Not started</x:v>
      </x:c>
      <x:c r="L21" s="28" t="str">
        <x:v>Planned</x:v>
      </x:c>
      <x:c r="M21" s="36" t="str">
        <x:v>Sequence after spine review</x:v>
      </x:c>
    </x:row>
    <x:row r="22" ht="42" customHeight="1">
      <x:c r="A22" s="35" t="str">
        <x:v>NEO-MATH-Y7-10</x:v>
      </x:c>
      <x:c r="B22" s="28" t="str">
        <x:v>Year 7 Foundations</x:v>
      </x:c>
      <x:c r="C22" s="28" t="str">
        <x:v>Year 7</x:v>
      </x:c>
      <x:c r="D22" s="28" t="str">
        <x:v>Chance, Experiments and Fairness</x:v>
      </x:c>
      <x:c r="E22" s="28" t="str">
        <x:v>Complete</x:v>
      </x:c>
      <x:c r="F22" s="28" t="str">
        <x:v>Planned</x:v>
      </x:c>
      <x:c r="G22" s="28" t="str">
        <x:v>Planned</x:v>
      </x:c>
      <x:c r="H22" s="28" t="str">
        <x:v>Planned</x:v>
      </x:c>
      <x:c r="I22" s="28" t="str">
        <x:v>Planned</x:v>
      </x:c>
      <x:c r="J22" s="28" t="str">
        <x:v>Planned</x:v>
      </x:c>
      <x:c r="K22" s="28" t="str">
        <x:v>Not started</x:v>
      </x:c>
      <x:c r="L22" s="28" t="str">
        <x:v>Planned</x:v>
      </x:c>
      <x:c r="M22" s="36" t="str">
        <x:v>Sequence after spine review</x:v>
      </x:c>
    </x:row>
    <x:row r="23" ht="42" customHeight="1">
      <x:c r="A23" s="35" t="str">
        <x:v>NEO-MATH-Y8-01</x:v>
      </x:c>
      <x:c r="B23" s="28" t="str">
        <x:v>Year 8 Connections</x:v>
      </x:c>
      <x:c r="C23" s="28" t="str">
        <x:v>Year 8</x:v>
      </x:c>
      <x:c r="D23" s="28" t="str">
        <x:v>Percent Change and the Story of Growth</x:v>
      </x:c>
      <x:c r="E23" s="28" t="str">
        <x:v>Complete</x:v>
      </x:c>
      <x:c r="F23" s="28" t="str">
        <x:v>Planned</x:v>
      </x:c>
      <x:c r="G23" s="28" t="str">
        <x:v>Planned</x:v>
      </x:c>
      <x:c r="H23" s="28" t="str">
        <x:v>Planned</x:v>
      </x:c>
      <x:c r="I23" s="28" t="str">
        <x:v>Planned</x:v>
      </x:c>
      <x:c r="J23" s="28" t="str">
        <x:v>Planned</x:v>
      </x:c>
      <x:c r="K23" s="28" t="str">
        <x:v>Not started</x:v>
      </x:c>
      <x:c r="L23" s="28" t="str">
        <x:v>Planned</x:v>
      </x:c>
      <x:c r="M23" s="36" t="str">
        <x:v>Sequence after spine review</x:v>
      </x:c>
    </x:row>
    <x:row r="24" ht="42" customHeight="1">
      <x:c r="A24" s="35" t="str">
        <x:v>NEO-MATH-Y8-02</x:v>
      </x:c>
      <x:c r="B24" s="28" t="str">
        <x:v>Year 8 Connections</x:v>
      </x:c>
      <x:c r="C24" s="28" t="str">
        <x:v>Year 8</x:v>
      </x:c>
      <x:c r="D24" s="28" t="str">
        <x:v>Algebra as a Language of Structure</x:v>
      </x:c>
      <x:c r="E24" s="28" t="str">
        <x:v>Complete</x:v>
      </x:c>
      <x:c r="F24" s="28" t="str">
        <x:v>Planned</x:v>
      </x:c>
      <x:c r="G24" s="28" t="str">
        <x:v>Planned</x:v>
      </x:c>
      <x:c r="H24" s="28" t="str">
        <x:v>Planned</x:v>
      </x:c>
      <x:c r="I24" s="28" t="str">
        <x:v>Planned</x:v>
      </x:c>
      <x:c r="J24" s="28" t="str">
        <x:v>Planned</x:v>
      </x:c>
      <x:c r="K24" s="28" t="str">
        <x:v>Not started</x:v>
      </x:c>
      <x:c r="L24" s="28" t="str">
        <x:v>Planned</x:v>
      </x:c>
      <x:c r="M24" s="36" t="str">
        <x:v>Sequence after spine review</x:v>
      </x:c>
    </x:row>
    <x:row r="25" ht="42" customHeight="1">
      <x:c r="A25" s="35" t="str">
        <x:v>NEO-MATH-Y8-03</x:v>
      </x:c>
      <x:c r="B25" s="28" t="str">
        <x:v>Year 8 Connections</x:v>
      </x:c>
      <x:c r="C25" s="28" t="str">
        <x:v>Year 8</x:v>
      </x:c>
      <x:c r="D25" s="28" t="str">
        <x:v>Equations: Keeping a Relationship in Balance</x:v>
      </x:c>
      <x:c r="E25" s="28" t="str">
        <x:v>Complete</x:v>
      </x:c>
      <x:c r="F25" s="28" t="str">
        <x:v>Planned</x:v>
      </x:c>
      <x:c r="G25" s="28" t="str">
        <x:v>Planned</x:v>
      </x:c>
      <x:c r="H25" s="28" t="str">
        <x:v>Planned</x:v>
      </x:c>
      <x:c r="I25" s="28" t="str">
        <x:v>Planned</x:v>
      </x:c>
      <x:c r="J25" s="28" t="str">
        <x:v>Planned</x:v>
      </x:c>
      <x:c r="K25" s="28" t="str">
        <x:v>Not started</x:v>
      </x:c>
      <x:c r="L25" s="28" t="str">
        <x:v>Planned</x:v>
      </x:c>
      <x:c r="M25" s="36" t="str">
        <x:v>Sequence after spine review</x:v>
      </x:c>
    </x:row>
    <x:row r="26" ht="42" customHeight="1">
      <x:c r="A26" s="35" t="str">
        <x:v>NEO-MATH-Y8-04</x:v>
      </x:c>
      <x:c r="B26" s="28" t="str">
        <x:v>Year 8 Connections</x:v>
      </x:c>
      <x:c r="C26" s="28" t="str">
        <x:v>Year 8</x:v>
      </x:c>
      <x:c r="D26" s="28" t="str">
        <x:v>Lines Tell Stories of Change</x:v>
      </x:c>
      <x:c r="E26" s="28" t="str">
        <x:v>Complete</x:v>
      </x:c>
      <x:c r="F26" s="28" t="str">
        <x:v>Reviewed</x:v>
      </x:c>
      <x:c r="G26" s="28" t="str">
        <x:v>Reviewed</x:v>
      </x:c>
      <x:c r="H26" s="28" t="str">
        <x:v>Reviewed</x:v>
      </x:c>
      <x:c r="I26" s="28" t="str">
        <x:v>Built</x:v>
      </x:c>
      <x:c r="J26" s="28" t="str">
        <x:v>Built</x:v>
      </x:c>
      <x:c r="K26" s="28" t="str">
        <x:v>Reviewed</x:v>
      </x:c>
      <x:c r="L26" s="28" t="str">
        <x:v>Locked prototype</x:v>
      </x:c>
      <x:c r="M26" s="36" t="str">
        <x:v>Reference standard</x:v>
      </x:c>
    </x:row>
    <x:row r="27" ht="42" customHeight="1">
      <x:c r="A27" s="35" t="str">
        <x:v>NEO-MATH-Y8-05</x:v>
      </x:c>
      <x:c r="B27" s="28" t="str">
        <x:v>Year 8 Connections</x:v>
      </x:c>
      <x:c r="C27" s="28" t="str">
        <x:v>Year 8</x:v>
      </x:c>
      <x:c r="D27" s="28" t="str">
        <x:v>Sequences: From Steps to Rules</x:v>
      </x:c>
      <x:c r="E27" s="28" t="str">
        <x:v>Complete</x:v>
      </x:c>
      <x:c r="F27" s="28" t="str">
        <x:v>Planned</x:v>
      </x:c>
      <x:c r="G27" s="28" t="str">
        <x:v>Planned</x:v>
      </x:c>
      <x:c r="H27" s="28" t="str">
        <x:v>Planned</x:v>
      </x:c>
      <x:c r="I27" s="28" t="str">
        <x:v>Planned</x:v>
      </x:c>
      <x:c r="J27" s="28" t="str">
        <x:v>Planned</x:v>
      </x:c>
      <x:c r="K27" s="28" t="str">
        <x:v>Not started</x:v>
      </x:c>
      <x:c r="L27" s="28" t="str">
        <x:v>Planned</x:v>
      </x:c>
      <x:c r="M27" s="36" t="str">
        <x:v>Sequence after spine review</x:v>
      </x:c>
    </x:row>
    <x:row r="28" ht="42" customHeight="1">
      <x:c r="A28" s="35" t="str">
        <x:v>NEO-MATH-Y8-06</x:v>
      </x:c>
      <x:c r="B28" s="28" t="str">
        <x:v>Year 8 Connections</x:v>
      </x:c>
      <x:c r="C28" s="28" t="str">
        <x:v>Year 8</x:v>
      </x:c>
      <x:c r="D28" s="28" t="str">
        <x:v>Parallel Lines and Polygon Logic</x:v>
      </x:c>
      <x:c r="E28" s="28" t="str">
        <x:v>Complete</x:v>
      </x:c>
      <x:c r="F28" s="28" t="str">
        <x:v>Planned</x:v>
      </x:c>
      <x:c r="G28" s="28" t="str">
        <x:v>Planned</x:v>
      </x:c>
      <x:c r="H28" s="28" t="str">
        <x:v>Planned</x:v>
      </x:c>
      <x:c r="I28" s="28" t="str">
        <x:v>Planned</x:v>
      </x:c>
      <x:c r="J28" s="28" t="str">
        <x:v>Planned</x:v>
      </x:c>
      <x:c r="K28" s="28" t="str">
        <x:v>Not started</x:v>
      </x:c>
      <x:c r="L28" s="28" t="str">
        <x:v>Planned</x:v>
      </x:c>
      <x:c r="M28" s="36" t="str">
        <x:v>Sequence after spine review</x:v>
      </x:c>
    </x:row>
    <x:row r="29" ht="42" customHeight="1">
      <x:c r="A29" s="35" t="str">
        <x:v>NEO-MATH-Y8-07</x:v>
      </x:c>
      <x:c r="B29" s="28" t="str">
        <x:v>Year 8 Connections</x:v>
      </x:c>
      <x:c r="C29" s="28" t="str">
        <x:v>Year 8</x:v>
      </x:c>
      <x:c r="D29" s="28" t="str">
        <x:v>Circles, Prisms and Packaging</x:v>
      </x:c>
      <x:c r="E29" s="28" t="str">
        <x:v>Complete</x:v>
      </x:c>
      <x:c r="F29" s="28" t="str">
        <x:v>Planned</x:v>
      </x:c>
      <x:c r="G29" s="28" t="str">
        <x:v>Planned</x:v>
      </x:c>
      <x:c r="H29" s="28" t="str">
        <x:v>Planned</x:v>
      </x:c>
      <x:c r="I29" s="28" t="str">
        <x:v>Planned</x:v>
      </x:c>
      <x:c r="J29" s="28" t="str">
        <x:v>Planned</x:v>
      </x:c>
      <x:c r="K29" s="28" t="str">
        <x:v>Not started</x:v>
      </x:c>
      <x:c r="L29" s="28" t="str">
        <x:v>Planned</x:v>
      </x:c>
      <x:c r="M29" s="36" t="str">
        <x:v>Sequence after spine review</x:v>
      </x:c>
    </x:row>
    <x:row r="30" ht="42" customHeight="1">
      <x:c r="A30" s="35" t="str">
        <x:v>NEO-MATH-Y8-08</x:v>
      </x:c>
      <x:c r="B30" s="28" t="str">
        <x:v>Year 8 Connections</x:v>
      </x:c>
      <x:c r="C30" s="28" t="str">
        <x:v>Year 8</x:v>
      </x:c>
      <x:c r="D30" s="28" t="str">
        <x:v>Rates, Best Value and Direct Proportion</x:v>
      </x:c>
      <x:c r="E30" s="28" t="str">
        <x:v>Complete</x:v>
      </x:c>
      <x:c r="F30" s="28" t="str">
        <x:v>Planned</x:v>
      </x:c>
      <x:c r="G30" s="28" t="str">
        <x:v>Planned</x:v>
      </x:c>
      <x:c r="H30" s="28" t="str">
        <x:v>Planned</x:v>
      </x:c>
      <x:c r="I30" s="28" t="str">
        <x:v>Planned</x:v>
      </x:c>
      <x:c r="J30" s="28" t="str">
        <x:v>Planned</x:v>
      </x:c>
      <x:c r="K30" s="28" t="str">
        <x:v>Not started</x:v>
      </x:c>
      <x:c r="L30" s="28" t="str">
        <x:v>Planned</x:v>
      </x:c>
      <x:c r="M30" s="36" t="str">
        <x:v>Sequence after spine review</x:v>
      </x:c>
    </x:row>
    <x:row r="31" ht="42" customHeight="1">
      <x:c r="A31" s="35" t="str">
        <x:v>NEO-MATH-Y8-09</x:v>
      </x:c>
      <x:c r="B31" s="28" t="str">
        <x:v>Year 8 Connections</x:v>
      </x:c>
      <x:c r="C31" s="28" t="str">
        <x:v>Year 8</x:v>
      </x:c>
      <x:c r="D31" s="28" t="str">
        <x:v>Comparing Data Without Hiding the Story</x:v>
      </x:c>
      <x:c r="E31" s="28" t="str">
        <x:v>Complete</x:v>
      </x:c>
      <x:c r="F31" s="28" t="str">
        <x:v>Planned</x:v>
      </x:c>
      <x:c r="G31" s="28" t="str">
        <x:v>Planned</x:v>
      </x:c>
      <x:c r="H31" s="28" t="str">
        <x:v>Planned</x:v>
      </x:c>
      <x:c r="I31" s="28" t="str">
        <x:v>Planned</x:v>
      </x:c>
      <x:c r="J31" s="28" t="str">
        <x:v>Planned</x:v>
      </x:c>
      <x:c r="K31" s="28" t="str">
        <x:v>Not started</x:v>
      </x:c>
      <x:c r="L31" s="28" t="str">
        <x:v>Planned</x:v>
      </x:c>
      <x:c r="M31" s="36" t="str">
        <x:v>Sequence after spine review</x:v>
      </x:c>
    </x:row>
    <x:row r="32" ht="42" customHeight="1">
      <x:c r="A32" s="35" t="str">
        <x:v>NEO-MATH-Y8-10</x:v>
      </x:c>
      <x:c r="B32" s="28" t="str">
        <x:v>Year 8 Connections</x:v>
      </x:c>
      <x:c r="C32" s="28" t="str">
        <x:v>Year 8</x:v>
      </x:c>
      <x:c r="D32" s="28" t="str">
        <x:v>Building Probability Models</x:v>
      </x:c>
      <x:c r="E32" s="28" t="str">
        <x:v>Complete</x:v>
      </x:c>
      <x:c r="F32" s="28" t="str">
        <x:v>Planned</x:v>
      </x:c>
      <x:c r="G32" s="28" t="str">
        <x:v>Planned</x:v>
      </x:c>
      <x:c r="H32" s="28" t="str">
        <x:v>Planned</x:v>
      </x:c>
      <x:c r="I32" s="28" t="str">
        <x:v>Planned</x:v>
      </x:c>
      <x:c r="J32" s="28" t="str">
        <x:v>Planned</x:v>
      </x:c>
      <x:c r="K32" s="28" t="str">
        <x:v>Not started</x:v>
      </x:c>
      <x:c r="L32" s="28" t="str">
        <x:v>Planned</x:v>
      </x:c>
      <x:c r="M32" s="36" t="str">
        <x:v>Sequence after spine review</x:v>
      </x:c>
    </x:row>
    <x:row r="33" ht="42" customHeight="1">
      <x:c r="A33" s="35" t="str">
        <x:v>NEO-MATH-Y9-01</x:v>
      </x:c>
      <x:c r="B33" s="28" t="str">
        <x:v>Year 9 Bridge</x:v>
      </x:c>
      <x:c r="C33" s="28" t="str">
        <x:v>Year 9</x:v>
      </x:c>
      <x:c r="D33" s="28" t="str">
        <x:v>Accuracy, Powers and Scale</x:v>
      </x:c>
      <x:c r="E33" s="28" t="str">
        <x:v>Complete</x:v>
      </x:c>
      <x:c r="F33" s="28" t="str">
        <x:v>Planned</x:v>
      </x:c>
      <x:c r="G33" s="28" t="str">
        <x:v>Planned</x:v>
      </x:c>
      <x:c r="H33" s="28" t="str">
        <x:v>Planned</x:v>
      </x:c>
      <x:c r="I33" s="28" t="str">
        <x:v>Planned</x:v>
      </x:c>
      <x:c r="J33" s="28" t="str">
        <x:v>Planned</x:v>
      </x:c>
      <x:c r="K33" s="28" t="str">
        <x:v>Not started</x:v>
      </x:c>
      <x:c r="L33" s="28" t="str">
        <x:v>Planned</x:v>
      </x:c>
      <x:c r="M33" s="36" t="str">
        <x:v>Early build priority</x:v>
      </x:c>
    </x:row>
    <x:row r="34" ht="42" customHeight="1">
      <x:c r="A34" s="35" t="str">
        <x:v>NEO-MATH-Y9-02</x:v>
      </x:c>
      <x:c r="B34" s="28" t="str">
        <x:v>Year 9 Bridge</x:v>
      </x:c>
      <x:c r="C34" s="28" t="str">
        <x:v>Year 9</x:v>
      </x:c>
      <x:c r="D34" s="28" t="str">
        <x:v>Solids, Cross-Sections and Space</x:v>
      </x:c>
      <x:c r="E34" s="28" t="str">
        <x:v>Complete</x:v>
      </x:c>
      <x:c r="F34" s="28" t="str">
        <x:v>Planned</x:v>
      </x:c>
      <x:c r="G34" s="28" t="str">
        <x:v>Planned</x:v>
      </x:c>
      <x:c r="H34" s="28" t="str">
        <x:v>Planned</x:v>
      </x:c>
      <x:c r="I34" s="28" t="str">
        <x:v>Planned</x:v>
      </x:c>
      <x:c r="J34" s="28" t="str">
        <x:v>Planned</x:v>
      </x:c>
      <x:c r="K34" s="28" t="str">
        <x:v>Not started</x:v>
      </x:c>
      <x:c r="L34" s="28" t="str">
        <x:v>Planned</x:v>
      </x:c>
      <x:c r="M34" s="36" t="str">
        <x:v>Early build priority</x:v>
      </x:c>
    </x:row>
    <x:row r="35" ht="42" customHeight="1">
      <x:c r="A35" s="35" t="str">
        <x:v>NEO-MATH-Y9-03</x:v>
      </x:c>
      <x:c r="B35" s="28" t="str">
        <x:v>Year 9 Bridge</x:v>
      </x:c>
      <x:c r="C35" s="28" t="str">
        <x:v>Year 9</x:v>
      </x:c>
      <x:c r="D35" s="28" t="str">
        <x:v>Quadratics: When Change Itself Changes</x:v>
      </x:c>
      <x:c r="E35" s="28" t="str">
        <x:v>Complete</x:v>
      </x:c>
      <x:c r="F35" s="28" t="str">
        <x:v>Planned</x:v>
      </x:c>
      <x:c r="G35" s="28" t="str">
        <x:v>Planned</x:v>
      </x:c>
      <x:c r="H35" s="28" t="str">
        <x:v>Planned</x:v>
      </x:c>
      <x:c r="I35" s="28" t="str">
        <x:v>Planned</x:v>
      </x:c>
      <x:c r="J35" s="28" t="str">
        <x:v>Planned</x:v>
      </x:c>
      <x:c r="K35" s="28" t="str">
        <x:v>Not started</x:v>
      </x:c>
      <x:c r="L35" s="28" t="str">
        <x:v>Planned</x:v>
      </x:c>
      <x:c r="M35" s="36" t="str">
        <x:v>Early build priority</x:v>
      </x:c>
    </x:row>
    <x:row r="36" ht="42" customHeight="1">
      <x:c r="A36" s="35" t="str">
        <x:v>NEO-MATH-Y9-04</x:v>
      </x:c>
      <x:c r="B36" s="28" t="str">
        <x:v>Year 9 Bridge</x:v>
      </x:c>
      <x:c r="C36" s="28" t="str">
        <x:v>Year 9</x:v>
      </x:c>
      <x:c r="D36" s="28" t="str">
        <x:v>Precision, Loci and Safe Routes</x:v>
      </x:c>
      <x:c r="E36" s="28" t="str">
        <x:v>Complete</x:v>
      </x:c>
      <x:c r="F36" s="28" t="str">
        <x:v>Planned</x:v>
      </x:c>
      <x:c r="G36" s="28" t="str">
        <x:v>Planned</x:v>
      </x:c>
      <x:c r="H36" s="28" t="str">
        <x:v>Planned</x:v>
      </x:c>
      <x:c r="I36" s="28" t="str">
        <x:v>Planned</x:v>
      </x:c>
      <x:c r="J36" s="28" t="str">
        <x:v>Planned</x:v>
      </x:c>
      <x:c r="K36" s="28" t="str">
        <x:v>Not started</x:v>
      </x:c>
      <x:c r="L36" s="28" t="str">
        <x:v>Planned</x:v>
      </x:c>
      <x:c r="M36" s="36" t="str">
        <x:v>Early build priority</x:v>
      </x:c>
    </x:row>
    <x:row r="37" ht="42" customHeight="1">
      <x:c r="A37" s="35" t="str">
        <x:v>NEO-MATH-Y9-05</x:v>
      </x:c>
      <x:c r="B37" s="28" t="str">
        <x:v>Year 9 Bridge</x:v>
      </x:c>
      <x:c r="C37" s="28" t="str">
        <x:v>Year 9</x:v>
      </x:c>
      <x:c r="D37" s="28" t="str">
        <x:v>Inequalities: Mathematics with Boundaries</x:v>
      </x:c>
      <x:c r="E37" s="28" t="str">
        <x:v>Complete</x:v>
      </x:c>
      <x:c r="F37" s="28" t="str">
        <x:v>Planned</x:v>
      </x:c>
      <x:c r="G37" s="28" t="str">
        <x:v>Planned</x:v>
      </x:c>
      <x:c r="H37" s="28" t="str">
        <x:v>Planned</x:v>
      </x:c>
      <x:c r="I37" s="28" t="str">
        <x:v>Planned</x:v>
      </x:c>
      <x:c r="J37" s="28" t="str">
        <x:v>Planned</x:v>
      </x:c>
      <x:c r="K37" s="28" t="str">
        <x:v>Not started</x:v>
      </x:c>
      <x:c r="L37" s="28" t="str">
        <x:v>Planned</x:v>
      </x:c>
      <x:c r="M37" s="36" t="str">
        <x:v>Early build priority</x:v>
      </x:c>
    </x:row>
    <x:row r="38" ht="42" customHeight="1">
      <x:c r="A38" s="35" t="str">
        <x:v>NEO-MATH-Y9-06</x:v>
      </x:c>
      <x:c r="B38" s="28" t="str">
        <x:v>Year 9 Bridge</x:v>
      </x:c>
      <x:c r="C38" s="28" t="str">
        <x:v>Year 9</x:v>
      </x:c>
      <x:c r="D38" s="28" t="str">
        <x:v>Formulae and Rearranging: Changing the Subject</x:v>
      </x:c>
      <x:c r="E38" s="28" t="str">
        <x:v>Complete</x:v>
      </x:c>
      <x:c r="F38" s="28" t="str">
        <x:v>Planned</x:v>
      </x:c>
      <x:c r="G38" s="28" t="str">
        <x:v>Planned</x:v>
      </x:c>
      <x:c r="H38" s="28" t="str">
        <x:v>Planned</x:v>
      </x:c>
      <x:c r="I38" s="28" t="str">
        <x:v>Planned</x:v>
      </x:c>
      <x:c r="J38" s="28" t="str">
        <x:v>Planned</x:v>
      </x:c>
      <x:c r="K38" s="28" t="str">
        <x:v>Not started</x:v>
      </x:c>
      <x:c r="L38" s="28" t="str">
        <x:v>Planned</x:v>
      </x:c>
      <x:c r="M38" s="36" t="str">
        <x:v>Early build priority</x:v>
      </x:c>
    </x:row>
    <x:row r="39" ht="42" customHeight="1">
      <x:c r="A39" s="35" t="str">
        <x:v>NEO-MATH-Y9-07</x:v>
      </x:c>
      <x:c r="B39" s="28" t="str">
        <x:v>Year 9 Bridge</x:v>
      </x:c>
      <x:c r="C39" s="28" t="str">
        <x:v>Year 9</x:v>
      </x:c>
      <x:c r="D39" s="28" t="str">
        <x:v>Pythagoras and the Hidden Length</x:v>
      </x:c>
      <x:c r="E39" s="28" t="str">
        <x:v>Complete</x:v>
      </x:c>
      <x:c r="F39" s="28" t="str">
        <x:v>Planned</x:v>
      </x:c>
      <x:c r="G39" s="28" t="str">
        <x:v>Planned</x:v>
      </x:c>
      <x:c r="H39" s="28" t="str">
        <x:v>Planned</x:v>
      </x:c>
      <x:c r="I39" s="28" t="str">
        <x:v>Planned</x:v>
      </x:c>
      <x:c r="J39" s="28" t="str">
        <x:v>Planned</x:v>
      </x:c>
      <x:c r="K39" s="28" t="str">
        <x:v>Not started</x:v>
      </x:c>
      <x:c r="L39" s="28" t="str">
        <x:v>Planned</x:v>
      </x:c>
      <x:c r="M39" s="36" t="str">
        <x:v>Early build priority</x:v>
      </x:c>
    </x:row>
    <x:row r="40" ht="42" customHeight="1">
      <x:c r="A40" s="35" t="str">
        <x:v>NEO-MATH-Y9-08</x:v>
      </x:c>
      <x:c r="B40" s="28" t="str">
        <x:v>Year 9 Bridge</x:v>
      </x:c>
      <x:c r="C40" s="28" t="str">
        <x:v>Year 9</x:v>
      </x:c>
      <x:c r="D40" s="28" t="str">
        <x:v>Similarity and Scale: Same Shape, New Size</x:v>
      </x:c>
      <x:c r="E40" s="28" t="str">
        <x:v>Complete</x:v>
      </x:c>
      <x:c r="F40" s="28" t="str">
        <x:v>Planned</x:v>
      </x:c>
      <x:c r="G40" s="28" t="str">
        <x:v>Planned</x:v>
      </x:c>
      <x:c r="H40" s="28" t="str">
        <x:v>Planned</x:v>
      </x:c>
      <x:c r="I40" s="28" t="str">
        <x:v>Planned</x:v>
      </x:c>
      <x:c r="J40" s="28" t="str">
        <x:v>Planned</x:v>
      </x:c>
      <x:c r="K40" s="28" t="str">
        <x:v>Not started</x:v>
      </x:c>
      <x:c r="L40" s="28" t="str">
        <x:v>Planned</x:v>
      </x:c>
      <x:c r="M40" s="36" t="str">
        <x:v>Early build priority</x:v>
      </x:c>
    </x:row>
    <x:row r="41" ht="42" customHeight="1">
      <x:c r="A41" s="35" t="str">
        <x:v>NEO-MATH-Y9-09</x:v>
      </x:c>
      <x:c r="B41" s="28" t="str">
        <x:v>Year 9 Bridge</x:v>
      </x:c>
      <x:c r="C41" s="28" t="str">
        <x:v>Year 9</x:v>
      </x:c>
      <x:c r="D41" s="28" t="str">
        <x:v>Sampling, Bias and What We Can Infer</x:v>
      </x:c>
      <x:c r="E41" s="28" t="str">
        <x:v>Complete</x:v>
      </x:c>
      <x:c r="F41" s="28" t="str">
        <x:v>Planned</x:v>
      </x:c>
      <x:c r="G41" s="28" t="str">
        <x:v>Planned</x:v>
      </x:c>
      <x:c r="H41" s="28" t="str">
        <x:v>Planned</x:v>
      </x:c>
      <x:c r="I41" s="28" t="str">
        <x:v>Planned</x:v>
      </x:c>
      <x:c r="J41" s="28" t="str">
        <x:v>Planned</x:v>
      </x:c>
      <x:c r="K41" s="28" t="str">
        <x:v>Not started</x:v>
      </x:c>
      <x:c r="L41" s="28" t="str">
        <x:v>Planned</x:v>
      </x:c>
      <x:c r="M41" s="36" t="str">
        <x:v>Early build priority</x:v>
      </x:c>
    </x:row>
    <x:row r="42" ht="42" customHeight="1">
      <x:c r="A42" s="35" t="str">
        <x:v>NEO-MATH-Y9-10</x:v>
      </x:c>
      <x:c r="B42" s="28" t="str">
        <x:v>Year 9 Bridge</x:v>
      </x:c>
      <x:c r="C42" s="28" t="str">
        <x:v>Year 9</x:v>
      </x:c>
      <x:c r="D42" s="28" t="str">
        <x:v>Probability Trees and Conditional Change</x:v>
      </x:c>
      <x:c r="E42" s="28" t="str">
        <x:v>Complete</x:v>
      </x:c>
      <x:c r="F42" s="28" t="str">
        <x:v>Planned</x:v>
      </x:c>
      <x:c r="G42" s="28" t="str">
        <x:v>Planned</x:v>
      </x:c>
      <x:c r="H42" s="28" t="str">
        <x:v>Planned</x:v>
      </x:c>
      <x:c r="I42" s="28" t="str">
        <x:v>Planned</x:v>
      </x:c>
      <x:c r="J42" s="28" t="str">
        <x:v>Planned</x:v>
      </x:c>
      <x:c r="K42" s="28" t="str">
        <x:v>Not started</x:v>
      </x:c>
      <x:c r="L42" s="28" t="str">
        <x:v>Planned</x:v>
      </x:c>
      <x:c r="M42" s="36" t="str">
        <x:v>Early build priority</x:v>
      </x:c>
    </x:row>
    <x:row r="43" ht="42" customHeight="1">
      <x:c r="A43" s="35" t="str">
        <x:v>NEO-MATH-Y10-01</x:v>
      </x:c>
      <x:c r="B43" s="28" t="str">
        <x:v>iGCSE Year 1</x:v>
      </x:c>
      <x:c r="C43" s="28" t="str">
        <x:v>Year 10</x:v>
      </x:c>
      <x:c r="D43" s="28" t="str">
        <x:v>Number Systems and Calculator Judgement</x:v>
      </x:c>
      <x:c r="E43" s="28" t="str">
        <x:v>Complete</x:v>
      </x:c>
      <x:c r="F43" s="28" t="str">
        <x:v>Planned</x:v>
      </x:c>
      <x:c r="G43" s="28" t="str">
        <x:v>Planned</x:v>
      </x:c>
      <x:c r="H43" s="28" t="str">
        <x:v>Planned</x:v>
      </x:c>
      <x:c r="I43" s="28" t="str">
        <x:v>Planned</x:v>
      </x:c>
      <x:c r="J43" s="28" t="str">
        <x:v>Planned</x:v>
      </x:c>
      <x:c r="K43" s="28" t="str">
        <x:v>Not started</x:v>
      </x:c>
      <x:c r="L43" s="28" t="str">
        <x:v>Planned</x:v>
      </x:c>
      <x:c r="M43" s="36" t="str">
        <x:v>Early build priority</x:v>
      </x:c>
    </x:row>
    <x:row r="44" ht="42" customHeight="1">
      <x:c r="A44" s="35" t="str">
        <x:v>NEO-MATH-Y10-02</x:v>
      </x:c>
      <x:c r="B44" s="28" t="str">
        <x:v>iGCSE Year 1</x:v>
      </x:c>
      <x:c r="C44" s="28" t="str">
        <x:v>Year 10</x:v>
      </x:c>
      <x:c r="D44" s="28" t="str">
        <x:v>Algebraic Expressions and Identities</x:v>
      </x:c>
      <x:c r="E44" s="28" t="str">
        <x:v>Complete</x:v>
      </x:c>
      <x:c r="F44" s="28" t="str">
        <x:v>Planned</x:v>
      </x:c>
      <x:c r="G44" s="28" t="str">
        <x:v>Planned</x:v>
      </x:c>
      <x:c r="H44" s="28" t="str">
        <x:v>Planned</x:v>
      </x:c>
      <x:c r="I44" s="28" t="str">
        <x:v>Planned</x:v>
      </x:c>
      <x:c r="J44" s="28" t="str">
        <x:v>Planned</x:v>
      </x:c>
      <x:c r="K44" s="28" t="str">
        <x:v>Not started</x:v>
      </x:c>
      <x:c r="L44" s="28" t="str">
        <x:v>Planned</x:v>
      </x:c>
      <x:c r="M44" s="36" t="str">
        <x:v>Early build priority</x:v>
      </x:c>
    </x:row>
    <x:row r="45" ht="42" customHeight="1">
      <x:c r="A45" s="35" t="str">
        <x:v>NEO-MATH-Y10-03</x:v>
      </x:c>
      <x:c r="B45" s="28" t="str">
        <x:v>iGCSE Year 1</x:v>
      </x:c>
      <x:c r="C45" s="28" t="str">
        <x:v>Year 10</x:v>
      </x:c>
      <x:c r="D45" s="28" t="str">
        <x:v>Straight Lines, Sets and Connected Representations</x:v>
      </x:c>
      <x:c r="E45" s="28" t="str">
        <x:v>Complete</x:v>
      </x:c>
      <x:c r="F45" s="28" t="str">
        <x:v>Planned</x:v>
      </x:c>
      <x:c r="G45" s="28" t="str">
        <x:v>Planned</x:v>
      </x:c>
      <x:c r="H45" s="28" t="str">
        <x:v>Planned</x:v>
      </x:c>
      <x:c r="I45" s="28" t="str">
        <x:v>Planned</x:v>
      </x:c>
      <x:c r="J45" s="28" t="str">
        <x:v>Planned</x:v>
      </x:c>
      <x:c r="K45" s="28" t="str">
        <x:v>Not started</x:v>
      </x:c>
      <x:c r="L45" s="28" t="str">
        <x:v>Planned</x:v>
      </x:c>
      <x:c r="M45" s="36" t="str">
        <x:v>Early build priority</x:v>
      </x:c>
    </x:row>
    <x:row r="46" ht="42" customHeight="1">
      <x:c r="A46" s="35" t="str">
        <x:v>NEO-MATH-Y10-04</x:v>
      </x:c>
      <x:c r="B46" s="28" t="str">
        <x:v>iGCSE Year 1</x:v>
      </x:c>
      <x:c r="C46" s="28" t="str">
        <x:v>Year 10</x:v>
      </x:c>
      <x:c r="D46" s="28" t="str">
        <x:v>Percentages, Ratio and Growth Models</x:v>
      </x:c>
      <x:c r="E46" s="28" t="str">
        <x:v>Complete</x:v>
      </x:c>
      <x:c r="F46" s="28" t="str">
        <x:v>Planned</x:v>
      </x:c>
      <x:c r="G46" s="28" t="str">
        <x:v>Planned</x:v>
      </x:c>
      <x:c r="H46" s="28" t="str">
        <x:v>Planned</x:v>
      </x:c>
      <x:c r="I46" s="28" t="str">
        <x:v>Planned</x:v>
      </x:c>
      <x:c r="J46" s="28" t="str">
        <x:v>Planned</x:v>
      </x:c>
      <x:c r="K46" s="28" t="str">
        <x:v>Not started</x:v>
      </x:c>
      <x:c r="L46" s="28" t="str">
        <x:v>Planned</x:v>
      </x:c>
      <x:c r="M46" s="36" t="str">
        <x:v>Early build priority</x:v>
      </x:c>
    </x:row>
    <x:row r="47" ht="42" customHeight="1">
      <x:c r="A47" s="35" t="str">
        <x:v>NEO-MATH-Y10-05</x:v>
      </x:c>
      <x:c r="B47" s="28" t="str">
        <x:v>iGCSE Year 1</x:v>
      </x:c>
      <x:c r="C47" s="28" t="str">
        <x:v>Year 10</x:v>
      </x:c>
      <x:c r="D47" s="28" t="str">
        <x:v>Equations, Inequalities and Simultaneous Relationships</x:v>
      </x:c>
      <x:c r="E47" s="28" t="str">
        <x:v>Complete</x:v>
      </x:c>
      <x:c r="F47" s="28" t="str">
        <x:v>Planned</x:v>
      </x:c>
      <x:c r="G47" s="28" t="str">
        <x:v>Planned</x:v>
      </x:c>
      <x:c r="H47" s="28" t="str">
        <x:v>Planned</x:v>
      </x:c>
      <x:c r="I47" s="28" t="str">
        <x:v>Planned</x:v>
      </x:c>
      <x:c r="J47" s="28" t="str">
        <x:v>Planned</x:v>
      </x:c>
      <x:c r="K47" s="28" t="str">
        <x:v>Not started</x:v>
      </x:c>
      <x:c r="L47" s="28" t="str">
        <x:v>Planned</x:v>
      </x:c>
      <x:c r="M47" s="36" t="str">
        <x:v>Early build priority</x:v>
      </x:c>
    </x:row>
    <x:row r="48" ht="42" customHeight="1">
      <x:c r="A48" s="35" t="str">
        <x:v>NEO-MATH-Y10-06</x:v>
      </x:c>
      <x:c r="B48" s="28" t="str">
        <x:v>iGCSE Year 1</x:v>
      </x:c>
      <x:c r="C48" s="28" t="str">
        <x:v>Year 10</x:v>
      </x:c>
      <x:c r="D48" s="28" t="str">
        <x:v>Pythagoras, Trigonometry and Measuring the Unreachable</x:v>
      </x:c>
      <x:c r="E48" s="28" t="str">
        <x:v>Complete</x:v>
      </x:c>
      <x:c r="F48" s="28" t="str">
        <x:v>Planned</x:v>
      </x:c>
      <x:c r="G48" s="28" t="str">
        <x:v>Planned</x:v>
      </x:c>
      <x:c r="H48" s="28" t="str">
        <x:v>Planned</x:v>
      </x:c>
      <x:c r="I48" s="28" t="str">
        <x:v>Planned</x:v>
      </x:c>
      <x:c r="J48" s="28" t="str">
        <x:v>Planned</x:v>
      </x:c>
      <x:c r="K48" s="28" t="str">
        <x:v>Not started</x:v>
      </x:c>
      <x:c r="L48" s="28" t="str">
        <x:v>Planned</x:v>
      </x:c>
      <x:c r="M48" s="36" t="str">
        <x:v>Early build priority</x:v>
      </x:c>
    </x:row>
    <x:row r="49" ht="42" customHeight="1">
      <x:c r="A49" s="35" t="str">
        <x:v>NEO-MATH-Y10-07</x:v>
      </x:c>
      <x:c r="B49" s="28" t="str">
        <x:v>iGCSE Year 1</x:v>
      </x:c>
      <x:c r="C49" s="28" t="str">
        <x:v>Year 10</x:v>
      </x:c>
      <x:c r="D49" s="28" t="str">
        <x:v>Frequency, Scatter and the Shape of Data</x:v>
      </x:c>
      <x:c r="E49" s="28" t="str">
        <x:v>Complete</x:v>
      </x:c>
      <x:c r="F49" s="28" t="str">
        <x:v>Planned</x:v>
      </x:c>
      <x:c r="G49" s="28" t="str">
        <x:v>Planned</x:v>
      </x:c>
      <x:c r="H49" s="28" t="str">
        <x:v>Planned</x:v>
      </x:c>
      <x:c r="I49" s="28" t="str">
        <x:v>Planned</x:v>
      </x:c>
      <x:c r="J49" s="28" t="str">
        <x:v>Planned</x:v>
      </x:c>
      <x:c r="K49" s="28" t="str">
        <x:v>Not started</x:v>
      </x:c>
      <x:c r="L49" s="28" t="str">
        <x:v>Planned</x:v>
      </x:c>
      <x:c r="M49" s="36" t="str">
        <x:v>Early build priority</x:v>
      </x:c>
    </x:row>
    <x:row r="50" ht="42" customHeight="1">
      <x:c r="A50" s="35" t="str">
        <x:v>NEO-MATH-Y10-08</x:v>
      </x:c>
      <x:c r="B50" s="28" t="str">
        <x:v>iGCSE Year 1</x:v>
      </x:c>
      <x:c r="C50" s="28" t="str">
        <x:v>Year 10</x:v>
      </x:c>
      <x:c r="D50" s="28" t="str">
        <x:v>Bounds and the Mathematics of ‘Nearly’</x:v>
      </x:c>
      <x:c r="E50" s="28" t="str">
        <x:v>Complete</x:v>
      </x:c>
      <x:c r="F50" s="28" t="str">
        <x:v>Planned</x:v>
      </x:c>
      <x:c r="G50" s="28" t="str">
        <x:v>Planned</x:v>
      </x:c>
      <x:c r="H50" s="28" t="str">
        <x:v>Planned</x:v>
      </x:c>
      <x:c r="I50" s="28" t="str">
        <x:v>Planned</x:v>
      </x:c>
      <x:c r="J50" s="28" t="str">
        <x:v>Planned</x:v>
      </x:c>
      <x:c r="K50" s="28" t="str">
        <x:v>Not started</x:v>
      </x:c>
      <x:c r="L50" s="28" t="str">
        <x:v>Planned</x:v>
      </x:c>
      <x:c r="M50" s="36" t="str">
        <x:v>Early build priority</x:v>
      </x:c>
    </x:row>
    <x:row r="51" ht="42" customHeight="1">
      <x:c r="A51" s="35" t="str">
        <x:v>NEO-MATH-Y10-09</x:v>
      </x:c>
      <x:c r="B51" s="28" t="str">
        <x:v>iGCSE Year 1</x:v>
      </x:c>
      <x:c r="C51" s="28" t="str">
        <x:v>Year 10</x:v>
      </x:c>
      <x:c r="D51" s="28" t="str">
        <x:v>Quadratics: Factors, Roots and Graphs</x:v>
      </x:c>
      <x:c r="E51" s="28" t="str">
        <x:v>Complete</x:v>
      </x:c>
      <x:c r="F51" s="28" t="str">
        <x:v>Planned</x:v>
      </x:c>
      <x:c r="G51" s="28" t="str">
        <x:v>Planned</x:v>
      </x:c>
      <x:c r="H51" s="28" t="str">
        <x:v>Planned</x:v>
      </x:c>
      <x:c r="I51" s="28" t="str">
        <x:v>Planned</x:v>
      </x:c>
      <x:c r="J51" s="28" t="str">
        <x:v>Planned</x:v>
      </x:c>
      <x:c r="K51" s="28" t="str">
        <x:v>Not started</x:v>
      </x:c>
      <x:c r="L51" s="28" t="str">
        <x:v>Planned</x:v>
      </x:c>
      <x:c r="M51" s="36" t="str">
        <x:v>Early build priority</x:v>
      </x:c>
    </x:row>
    <x:row r="52" ht="42" customHeight="1">
      <x:c r="A52" s="35" t="str">
        <x:v>NEO-MATH-Y10-10</x:v>
      </x:c>
      <x:c r="B52" s="28" t="str">
        <x:v>iGCSE Year 1</x:v>
      </x:c>
      <x:c r="C52" s="28" t="str">
        <x:v>Year 10</x:v>
      </x:c>
      <x:c r="D52" s="28" t="str">
        <x:v>The Connected Maths Performance Project</x:v>
      </x:c>
      <x:c r="E52" s="28" t="str">
        <x:v>Complete</x:v>
      </x:c>
      <x:c r="F52" s="28" t="str">
        <x:v>Planned</x:v>
      </x:c>
      <x:c r="G52" s="28" t="str">
        <x:v>Planned</x:v>
      </x:c>
      <x:c r="H52" s="28" t="str">
        <x:v>Planned</x:v>
      </x:c>
      <x:c r="I52" s="28" t="str">
        <x:v>Planned</x:v>
      </x:c>
      <x:c r="J52" s="28" t="str">
        <x:v>Planned</x:v>
      </x:c>
      <x:c r="K52" s="28" t="str">
        <x:v>Not started</x:v>
      </x:c>
      <x:c r="L52" s="28" t="str">
        <x:v>Planned</x:v>
      </x:c>
      <x:c r="M52" s="36" t="str">
        <x:v>Early build priority</x:v>
      </x:c>
    </x:row>
    <x:row r="53" ht="42" customHeight="1">
      <x:c r="A53" s="35" t="str">
        <x:v>NEO-MATH-Y11-01</x:v>
      </x:c>
      <x:c r="B53" s="28" t="str">
        <x:v>iGCSE Year 2</x:v>
      </x:c>
      <x:c r="C53" s="28" t="str">
        <x:v>Year 11</x:v>
      </x:c>
      <x:c r="D53" s="28" t="str">
        <x:v>Advanced Algebra: Structure, Strategy and Proof</x:v>
      </x:c>
      <x:c r="E53" s="28" t="str">
        <x:v>Complete</x:v>
      </x:c>
      <x:c r="F53" s="28" t="str">
        <x:v>Planned</x:v>
      </x:c>
      <x:c r="G53" s="28" t="str">
        <x:v>Planned</x:v>
      </x:c>
      <x:c r="H53" s="28" t="str">
        <x:v>Planned</x:v>
      </x:c>
      <x:c r="I53" s="28" t="str">
        <x:v>Planned</x:v>
      </x:c>
      <x:c r="J53" s="28" t="str">
        <x:v>Planned</x:v>
      </x:c>
      <x:c r="K53" s="28" t="str">
        <x:v>Not started</x:v>
      </x:c>
      <x:c r="L53" s="28" t="str">
        <x:v>Planned</x:v>
      </x:c>
      <x:c r="M53" s="36" t="str">
        <x:v>Sequence after spine review</x:v>
      </x:c>
    </x:row>
    <x:row r="54" ht="42" customHeight="1">
      <x:c r="A54" s="35" t="str">
        <x:v>NEO-MATH-Y11-02</x:v>
      </x:c>
      <x:c r="B54" s="28" t="str">
        <x:v>iGCSE Year 2</x:v>
      </x:c>
      <x:c r="C54" s="28" t="str">
        <x:v>Year 11</x:v>
      </x:c>
      <x:c r="D54" s="28" t="str">
        <x:v>Functions, Transformations and Rates of Change</x:v>
      </x:c>
      <x:c r="E54" s="28" t="str">
        <x:v>Complete</x:v>
      </x:c>
      <x:c r="F54" s="28" t="str">
        <x:v>Planned</x:v>
      </x:c>
      <x:c r="G54" s="28" t="str">
        <x:v>Planned</x:v>
      </x:c>
      <x:c r="H54" s="28" t="str">
        <x:v>Planned</x:v>
      </x:c>
      <x:c r="I54" s="28" t="str">
        <x:v>Planned</x:v>
      </x:c>
      <x:c r="J54" s="28" t="str">
        <x:v>Planned</x:v>
      </x:c>
      <x:c r="K54" s="28" t="str">
        <x:v>Not started</x:v>
      </x:c>
      <x:c r="L54" s="28" t="str">
        <x:v>Planned</x:v>
      </x:c>
      <x:c r="M54" s="36" t="str">
        <x:v>Sequence after spine review</x:v>
      </x:c>
    </x:row>
    <x:row r="55" ht="42" customHeight="1">
      <x:c r="A55" s="35" t="str">
        <x:v>NEO-MATH-Y11-03</x:v>
      </x:c>
      <x:c r="B55" s="28" t="str">
        <x:v>iGCSE Year 2</x:v>
      </x:c>
      <x:c r="C55" s="28" t="str">
        <x:v>Year 11</x:v>
      </x:c>
      <x:c r="D55" s="28" t="str">
        <x:v>Motion Graphs: Distance, Speed and Area</x:v>
      </x:c>
      <x:c r="E55" s="28" t="str">
        <x:v>Complete</x:v>
      </x:c>
      <x:c r="F55" s="28" t="str">
        <x:v>Planned</x:v>
      </x:c>
      <x:c r="G55" s="28" t="str">
        <x:v>Planned</x:v>
      </x:c>
      <x:c r="H55" s="28" t="str">
        <x:v>Planned</x:v>
      </x:c>
      <x:c r="I55" s="28" t="str">
        <x:v>Planned</x:v>
      </x:c>
      <x:c r="J55" s="28" t="str">
        <x:v>Planned</x:v>
      </x:c>
      <x:c r="K55" s="28" t="str">
        <x:v>Not started</x:v>
      </x:c>
      <x:c r="L55" s="28" t="str">
        <x:v>Planned</x:v>
      </x:c>
      <x:c r="M55" s="36" t="str">
        <x:v>Sequence after spine review</x:v>
      </x:c>
    </x:row>
    <x:row r="56" ht="42" customHeight="1">
      <x:c r="A56" s="35" t="str">
        <x:v>NEO-MATH-Y11-04</x:v>
      </x:c>
      <x:c r="B56" s="28" t="str">
        <x:v>iGCSE Year 2</x:v>
      </x:c>
      <x:c r="C56" s="28" t="str">
        <x:v>Year 11</x:v>
      </x:c>
      <x:c r="D56" s="28" t="str">
        <x:v>Circle Geometry and Proof Chains</x:v>
      </x:c>
      <x:c r="E56" s="28" t="str">
        <x:v>Complete</x:v>
      </x:c>
      <x:c r="F56" s="28" t="str">
        <x:v>Planned</x:v>
      </x:c>
      <x:c r="G56" s="28" t="str">
        <x:v>Planned</x:v>
      </x:c>
      <x:c r="H56" s="28" t="str">
        <x:v>Planned</x:v>
      </x:c>
      <x:c r="I56" s="28" t="str">
        <x:v>Planned</x:v>
      </x:c>
      <x:c r="J56" s="28" t="str">
        <x:v>Planned</x:v>
      </x:c>
      <x:c r="K56" s="28" t="str">
        <x:v>Not started</x:v>
      </x:c>
      <x:c r="L56" s="28" t="str">
        <x:v>Planned</x:v>
      </x:c>
      <x:c r="M56" s="36" t="str">
        <x:v>Sequence after spine review</x:v>
      </x:c>
    </x:row>
    <x:row r="57" ht="42" customHeight="1">
      <x:c r="A57" s="35" t="str">
        <x:v>NEO-MATH-Y11-05</x:v>
      </x:c>
      <x:c r="B57" s="28" t="str">
        <x:v>iGCSE Year 2</x:v>
      </x:c>
      <x:c r="C57" s="28" t="str">
        <x:v>Year 11</x:v>
      </x:c>
      <x:c r="D57" s="28" t="str">
        <x:v>Similarity, Vectors and Transformation Geometry</x:v>
      </x:c>
      <x:c r="E57" s="28" t="str">
        <x:v>Complete</x:v>
      </x:c>
      <x:c r="F57" s="28" t="str">
        <x:v>Planned</x:v>
      </x:c>
      <x:c r="G57" s="28" t="str">
        <x:v>Planned</x:v>
      </x:c>
      <x:c r="H57" s="28" t="str">
        <x:v>Planned</x:v>
      </x:c>
      <x:c r="I57" s="28" t="str">
        <x:v>Planned</x:v>
      </x:c>
      <x:c r="J57" s="28" t="str">
        <x:v>Planned</x:v>
      </x:c>
      <x:c r="K57" s="28" t="str">
        <x:v>Not started</x:v>
      </x:c>
      <x:c r="L57" s="28" t="str">
        <x:v>Planned</x:v>
      </x:c>
      <x:c r="M57" s="36" t="str">
        <x:v>Sequence after spine review</x:v>
      </x:c>
    </x:row>
    <x:row r="58" ht="42" customHeight="1">
      <x:c r="A58" s="35" t="str">
        <x:v>NEO-MATH-Y11-06</x:v>
      </x:c>
      <x:c r="B58" s="28" t="str">
        <x:v>iGCSE Year 2</x:v>
      </x:c>
      <x:c r="C58" s="28" t="str">
        <x:v>Year 11</x:v>
      </x:c>
      <x:c r="D58" s="28" t="str">
        <x:v>Trigonometry and 3D Measures</x:v>
      </x:c>
      <x:c r="E58" s="28" t="str">
        <x:v>Complete</x:v>
      </x:c>
      <x:c r="F58" s="28" t="str">
        <x:v>Planned</x:v>
      </x:c>
      <x:c r="G58" s="28" t="str">
        <x:v>Planned</x:v>
      </x:c>
      <x:c r="H58" s="28" t="str">
        <x:v>Planned</x:v>
      </x:c>
      <x:c r="I58" s="28" t="str">
        <x:v>Planned</x:v>
      </x:c>
      <x:c r="J58" s="28" t="str">
        <x:v>Planned</x:v>
      </x:c>
      <x:c r="K58" s="28" t="str">
        <x:v>Not started</x:v>
      </x:c>
      <x:c r="L58" s="28" t="str">
        <x:v>Planned</x:v>
      </x:c>
      <x:c r="M58" s="36" t="str">
        <x:v>Sequence after spine review</x:v>
      </x:c>
    </x:row>
    <x:row r="59" ht="42" customHeight="1">
      <x:c r="A59" s="35" t="str">
        <x:v>NEO-MATH-Y11-07</x:v>
      </x:c>
      <x:c r="B59" s="28" t="str">
        <x:v>iGCSE Year 2</x:v>
      </x:c>
      <x:c r="C59" s="28" t="str">
        <x:v>Year 11</x:v>
      </x:c>
      <x:c r="D59" s="28" t="str">
        <x:v>Histograms, Cumulative Frequency and Comparing Distributions</x:v>
      </x:c>
      <x:c r="E59" s="28" t="str">
        <x:v>Complete</x:v>
      </x:c>
      <x:c r="F59" s="28" t="str">
        <x:v>Planned</x:v>
      </x:c>
      <x:c r="G59" s="28" t="str">
        <x:v>Planned</x:v>
      </x:c>
      <x:c r="H59" s="28" t="str">
        <x:v>Planned</x:v>
      </x:c>
      <x:c r="I59" s="28" t="str">
        <x:v>Planned</x:v>
      </x:c>
      <x:c r="J59" s="28" t="str">
        <x:v>Planned</x:v>
      </x:c>
      <x:c r="K59" s="28" t="str">
        <x:v>Not started</x:v>
      </x:c>
      <x:c r="L59" s="28" t="str">
        <x:v>Planned</x:v>
      </x:c>
      <x:c r="M59" s="36" t="str">
        <x:v>Sequence after spine review</x:v>
      </x:c>
    </x:row>
    <x:row r="60" ht="42" customHeight="1">
      <x:c r="A60" s="35" t="str">
        <x:v>NEO-MATH-Y11-08</x:v>
      </x:c>
      <x:c r="B60" s="28" t="str">
        <x:v>iGCSE Year 2</x:v>
      </x:c>
      <x:c r="C60" s="28" t="str">
        <x:v>Year 11</x:v>
      </x:c>
      <x:c r="D60" s="28" t="str">
        <x:v>Conditional Probability and Decision-Making</x:v>
      </x:c>
      <x:c r="E60" s="28" t="str">
        <x:v>Complete</x:v>
      </x:c>
      <x:c r="F60" s="28" t="str">
        <x:v>Planned</x:v>
      </x:c>
      <x:c r="G60" s="28" t="str">
        <x:v>Planned</x:v>
      </x:c>
      <x:c r="H60" s="28" t="str">
        <x:v>Planned</x:v>
      </x:c>
      <x:c r="I60" s="28" t="str">
        <x:v>Planned</x:v>
      </x:c>
      <x:c r="J60" s="28" t="str">
        <x:v>Planned</x:v>
      </x:c>
      <x:c r="K60" s="28" t="str">
        <x:v>Not started</x:v>
      </x:c>
      <x:c r="L60" s="28" t="str">
        <x:v>Planned</x:v>
      </x:c>
      <x:c r="M60" s="36" t="str">
        <x:v>Sequence after spine review</x:v>
      </x:c>
    </x:row>
    <x:row r="61" ht="42" customHeight="1">
      <x:c r="A61" s="35" t="str">
        <x:v>NEO-MATH-Y11-09</x:v>
      </x:c>
      <x:c r="B61" s="28" t="str">
        <x:v>iGCSE Year 2</x:v>
      </x:c>
      <x:c r="C61" s="28" t="str">
        <x:v>Year 11</x:v>
      </x:c>
      <x:c r="D61" s="28" t="str">
        <x:v>Exam Problems as Translation</x:v>
      </x:c>
      <x:c r="E61" s="28" t="str">
        <x:v>Complete</x:v>
      </x:c>
      <x:c r="F61" s="28" t="str">
        <x:v>Planned</x:v>
      </x:c>
      <x:c r="G61" s="28" t="str">
        <x:v>Planned</x:v>
      </x:c>
      <x:c r="H61" s="28" t="str">
        <x:v>Planned</x:v>
      </x:c>
      <x:c r="I61" s="28" t="str">
        <x:v>Planned</x:v>
      </x:c>
      <x:c r="J61" s="28" t="str">
        <x:v>Planned</x:v>
      </x:c>
      <x:c r="K61" s="28" t="str">
        <x:v>Not started</x:v>
      </x:c>
      <x:c r="L61" s="28" t="str">
        <x:v>Planned</x:v>
      </x:c>
      <x:c r="M61" s="36" t="str">
        <x:v>Sequence after spine review</x:v>
      </x:c>
    </x:row>
    <x:row r="62" ht="42" customHeight="1">
      <x:c r="A62" s="35" t="str">
        <x:v>NEO-MATH-Y11-10</x:v>
      </x:c>
      <x:c r="B62" s="28" t="str">
        <x:v>iGCSE Year 2</x:v>
      </x:c>
      <x:c r="C62" s="28" t="str">
        <x:v>Year 11</x:v>
      </x:c>
      <x:c r="D62" s="28" t="str">
        <x:v>Mathematics Capstone: Solve, Explain, Evaluate</x:v>
      </x:c>
      <x:c r="E62" s="28" t="str">
        <x:v>Complete</x:v>
      </x:c>
      <x:c r="F62" s="28" t="str">
        <x:v>Planned</x:v>
      </x:c>
      <x:c r="G62" s="28" t="str">
        <x:v>Planned</x:v>
      </x:c>
      <x:c r="H62" s="28" t="str">
        <x:v>Planned</x:v>
      </x:c>
      <x:c r="I62" s="28" t="str">
        <x:v>Planned</x:v>
      </x:c>
      <x:c r="J62" s="28" t="str">
        <x:v>Planned</x:v>
      </x:c>
      <x:c r="K62" s="28" t="str">
        <x:v>Not started</x:v>
      </x:c>
      <x:c r="L62" s="28" t="str">
        <x:v>Planned</x:v>
      </x:c>
      <x:c r="M62" s="36" t="str">
        <x:v>Sequence after spine review</x:v>
      </x:c>
    </x:row>
    <x:row r="63" ht="42" customHeight="1">
      <x:c r="A63" s="35" t="str">
        <x:v>NEO-MATH-FS-01</x:v>
      </x:c>
      <x:c r="B63" s="28" t="str">
        <x:v>Functional &amp; Applied Mathematics</x:v>
      </x:c>
      <x:c r="C63" s="28" t="str">
        <x:v>FS L1/L2 flexible</x:v>
      </x:c>
      <x:c r="D63" s="28" t="str">
        <x:v>Everyday Number and Estimation</x:v>
      </x:c>
      <x:c r="E63" s="28" t="str">
        <x:v>Complete</x:v>
      </x:c>
      <x:c r="F63" s="28" t="str">
        <x:v>Planned</x:v>
      </x:c>
      <x:c r="G63" s="28" t="str">
        <x:v>Planned</x:v>
      </x:c>
      <x:c r="H63" s="28" t="str">
        <x:v>Planned</x:v>
      </x:c>
      <x:c r="I63" s="28" t="str">
        <x:v>Planned</x:v>
      </x:c>
      <x:c r="J63" s="28" t="str">
        <x:v>Planned</x:v>
      </x:c>
      <x:c r="K63" s="28" t="str">
        <x:v>Not started</x:v>
      </x:c>
      <x:c r="L63" s="28" t="str">
        <x:v>Planned</x:v>
      </x:c>
      <x:c r="M63" s="36" t="str">
        <x:v>Sequence after spine review</x:v>
      </x:c>
    </x:row>
    <x:row r="64" ht="42" customHeight="1">
      <x:c r="A64" s="35" t="str">
        <x:v>NEO-MATH-FS-02</x:v>
      </x:c>
      <x:c r="B64" s="28" t="str">
        <x:v>Functional &amp; Applied Mathematics</x:v>
      </x:c>
      <x:c r="C64" s="28" t="str">
        <x:v>FS L1/L2 flexible</x:v>
      </x:c>
      <x:c r="D64" s="28" t="str">
        <x:v>Money, Discounts and Budget Choices</x:v>
      </x:c>
      <x:c r="E64" s="28" t="str">
        <x:v>Complete</x:v>
      </x:c>
      <x:c r="F64" s="28" t="str">
        <x:v>Planned</x:v>
      </x:c>
      <x:c r="G64" s="28" t="str">
        <x:v>Planned</x:v>
      </x:c>
      <x:c r="H64" s="28" t="str">
        <x:v>Planned</x:v>
      </x:c>
      <x:c r="I64" s="28" t="str">
        <x:v>Planned</x:v>
      </x:c>
      <x:c r="J64" s="28" t="str">
        <x:v>Planned</x:v>
      </x:c>
      <x:c r="K64" s="28" t="str">
        <x:v>Not started</x:v>
      </x:c>
      <x:c r="L64" s="28" t="str">
        <x:v>Planned</x:v>
      </x:c>
      <x:c r="M64" s="36" t="str">
        <x:v>Sequence after spine review</x:v>
      </x:c>
    </x:row>
    <x:row r="65" ht="42" customHeight="1">
      <x:c r="A65" s="35" t="str">
        <x:v>NEO-MATH-FS-03</x:v>
      </x:c>
      <x:c r="B65" s="28" t="str">
        <x:v>Functional &amp; Applied Mathematics</x:v>
      </x:c>
      <x:c r="C65" s="28" t="str">
        <x:v>FS L1/L2 flexible</x:v>
      </x:c>
      <x:c r="D65" s="28" t="str">
        <x:v>Recipes, Ratio and Direct Proportion</x:v>
      </x:c>
      <x:c r="E65" s="28" t="str">
        <x:v>Complete</x:v>
      </x:c>
      <x:c r="F65" s="28" t="str">
        <x:v>Planned</x:v>
      </x:c>
      <x:c r="G65" s="28" t="str">
        <x:v>Planned</x:v>
      </x:c>
      <x:c r="H65" s="28" t="str">
        <x:v>Planned</x:v>
      </x:c>
      <x:c r="I65" s="28" t="str">
        <x:v>Planned</x:v>
      </x:c>
      <x:c r="J65" s="28" t="str">
        <x:v>Planned</x:v>
      </x:c>
      <x:c r="K65" s="28" t="str">
        <x:v>Not started</x:v>
      </x:c>
      <x:c r="L65" s="28" t="str">
        <x:v>Planned</x:v>
      </x:c>
      <x:c r="M65" s="36" t="str">
        <x:v>Sequence after spine review</x:v>
      </x:c>
    </x:row>
    <x:row r="66" ht="42" customHeight="1">
      <x:c r="A66" s="35" t="str">
        <x:v>NEO-MATH-FS-04</x:v>
      </x:c>
      <x:c r="B66" s="28" t="str">
        <x:v>Functional &amp; Applied Mathematics</x:v>
      </x:c>
      <x:c r="C66" s="28" t="str">
        <x:v>FS L1/L2 flexible</x:v>
      </x:c>
      <x:c r="D66" s="28" t="str">
        <x:v>Pay, Speed, Density and Real Rates</x:v>
      </x:c>
      <x:c r="E66" s="28" t="str">
        <x:v>Complete</x:v>
      </x:c>
      <x:c r="F66" s="28" t="str">
        <x:v>Planned</x:v>
      </x:c>
      <x:c r="G66" s="28" t="str">
        <x:v>Planned</x:v>
      </x:c>
      <x:c r="H66" s="28" t="str">
        <x:v>Planned</x:v>
      </x:c>
      <x:c r="I66" s="28" t="str">
        <x:v>Planned</x:v>
      </x:c>
      <x:c r="J66" s="28" t="str">
        <x:v>Planned</x:v>
      </x:c>
      <x:c r="K66" s="28" t="str">
        <x:v>Not started</x:v>
      </x:c>
      <x:c r="L66" s="28" t="str">
        <x:v>Planned</x:v>
      </x:c>
      <x:c r="M66" s="36" t="str">
        <x:v>Sequence after spine review</x:v>
      </x:c>
    </x:row>
    <x:row r="67" ht="42" customHeight="1">
      <x:c r="A67" s="35" t="str">
        <x:v>NEO-MATH-FS-05</x:v>
      </x:c>
      <x:c r="B67" s="28" t="str">
        <x:v>Functional &amp; Applied Mathematics</x:v>
      </x:c>
      <x:c r="C67" s="28" t="str">
        <x:v>FS L1/L2 flexible</x:v>
      </x:c>
      <x:c r="D67" s="28" t="str">
        <x:v>Measure, Scale and Making Things Fit</x:v>
      </x:c>
      <x:c r="E67" s="28" t="str">
        <x:v>Complete</x:v>
      </x:c>
      <x:c r="F67" s="28" t="str">
        <x:v>Planned</x:v>
      </x:c>
      <x:c r="G67" s="28" t="str">
        <x:v>Planned</x:v>
      </x:c>
      <x:c r="H67" s="28" t="str">
        <x:v>Planned</x:v>
      </x:c>
      <x:c r="I67" s="28" t="str">
        <x:v>Planned</x:v>
      </x:c>
      <x:c r="J67" s="28" t="str">
        <x:v>Planned</x:v>
      </x:c>
      <x:c r="K67" s="28" t="str">
        <x:v>Not started</x:v>
      </x:c>
      <x:c r="L67" s="28" t="str">
        <x:v>Planned</x:v>
      </x:c>
      <x:c r="M67" s="36" t="str">
        <x:v>Sequence after spine review</x:v>
      </x:c>
    </x:row>
    <x:row r="68" ht="42" customHeight="1">
      <x:c r="A68" s="35" t="str">
        <x:v>NEO-MATH-FS-06</x:v>
      </x:c>
      <x:c r="B68" s="28" t="str">
        <x:v>Functional &amp; Applied Mathematics</x:v>
      </x:c>
      <x:c r="C68" s="28" t="str">
        <x:v>FS L1/L2 flexible</x:v>
      </x:c>
      <x:c r="D68" s="28" t="str">
        <x:v>Time, Travel and Scheduling</x:v>
      </x:c>
      <x:c r="E68" s="28" t="str">
        <x:v>Complete</x:v>
      </x:c>
      <x:c r="F68" s="28" t="str">
        <x:v>Planned</x:v>
      </x:c>
      <x:c r="G68" s="28" t="str">
        <x:v>Planned</x:v>
      </x:c>
      <x:c r="H68" s="28" t="str">
        <x:v>Planned</x:v>
      </x:c>
      <x:c r="I68" s="28" t="str">
        <x:v>Planned</x:v>
      </x:c>
      <x:c r="J68" s="28" t="str">
        <x:v>Planned</x:v>
      </x:c>
      <x:c r="K68" s="28" t="str">
        <x:v>Not started</x:v>
      </x:c>
      <x:c r="L68" s="28" t="str">
        <x:v>Planned</x:v>
      </x:c>
      <x:c r="M68" s="36" t="str">
        <x:v>Sequence after spine review</x:v>
      </x:c>
    </x:row>
    <x:row r="69" ht="42" customHeight="1">
      <x:c r="A69" s="35" t="str">
        <x:v>NEO-MATH-FS-07</x:v>
      </x:c>
      <x:c r="B69" s="28" t="str">
        <x:v>Functional &amp; Applied Mathematics</x:v>
      </x:c>
      <x:c r="C69" s="28" t="str">
        <x:v>FS L1/L2 flexible</x:v>
      </x:c>
      <x:c r="D69" s="28" t="str">
        <x:v>Charts, Averages and Claims</x:v>
      </x:c>
      <x:c r="E69" s="28" t="str">
        <x:v>Complete</x:v>
      </x:c>
      <x:c r="F69" s="28" t="str">
        <x:v>Planned</x:v>
      </x:c>
      <x:c r="G69" s="28" t="str">
        <x:v>Planned</x:v>
      </x:c>
      <x:c r="H69" s="28" t="str">
        <x:v>Planned</x:v>
      </x:c>
      <x:c r="I69" s="28" t="str">
        <x:v>Planned</x:v>
      </x:c>
      <x:c r="J69" s="28" t="str">
        <x:v>Planned</x:v>
      </x:c>
      <x:c r="K69" s="28" t="str">
        <x:v>Not started</x:v>
      </x:c>
      <x:c r="L69" s="28" t="str">
        <x:v>Planned</x:v>
      </x:c>
      <x:c r="M69" s="36" t="str">
        <x:v>Sequence after spine review</x:v>
      </x:c>
    </x:row>
    <x:row r="70" ht="42" customHeight="1">
      <x:c r="A70" s="35" t="str">
        <x:v>NEO-MATH-FS-08</x:v>
      </x:c>
      <x:c r="B70" s="28" t="str">
        <x:v>Functional &amp; Applied Mathematics</x:v>
      </x:c>
      <x:c r="C70" s="28" t="str">
        <x:v>FS L1/L2 flexible</x:v>
      </x:c>
      <x:c r="D70" s="28" t="str">
        <x:v>Probability, Risk and Everyday Decisions</x:v>
      </x:c>
      <x:c r="E70" s="28" t="str">
        <x:v>Complete</x:v>
      </x:c>
      <x:c r="F70" s="28" t="str">
        <x:v>Planned</x:v>
      </x:c>
      <x:c r="G70" s="28" t="str">
        <x:v>Planned</x:v>
      </x:c>
      <x:c r="H70" s="28" t="str">
        <x:v>Planned</x:v>
      </x:c>
      <x:c r="I70" s="28" t="str">
        <x:v>Planned</x:v>
      </x:c>
      <x:c r="J70" s="28" t="str">
        <x:v>Planned</x:v>
      </x:c>
      <x:c r="K70" s="28" t="str">
        <x:v>Not started</x:v>
      </x:c>
      <x:c r="L70" s="28" t="str">
        <x:v>Planned</x:v>
      </x:c>
      <x:c r="M70" s="36" t="str">
        <x:v>Sequence after spine review</x:v>
      </x:c>
    </x:row>
    <x:row r="71" ht="42" customHeight="1">
      <x:c r="A71" s="35" t="str">
        <x:v>NEO-MATH-FS-09</x:v>
      </x:c>
      <x:c r="B71" s="28" t="str">
        <x:v>Functional &amp; Applied Mathematics</x:v>
      </x:c>
      <x:c r="C71" s="28" t="str">
        <x:v>FS L1/L2 flexible</x:v>
      </x:c>
      <x:c r="D71" s="28" t="str">
        <x:v>Applied Decision Project</x:v>
      </x:c>
      <x:c r="E71" s="28" t="str">
        <x:v>Complete</x:v>
      </x:c>
      <x:c r="F71" s="28" t="str">
        <x:v>Planned</x:v>
      </x:c>
      <x:c r="G71" s="28" t="str">
        <x:v>Planned</x:v>
      </x:c>
      <x:c r="H71" s="28" t="str">
        <x:v>Planned</x:v>
      </x:c>
      <x:c r="I71" s="28" t="str">
        <x:v>Planned</x:v>
      </x:c>
      <x:c r="J71" s="28" t="str">
        <x:v>Planned</x:v>
      </x:c>
      <x:c r="K71" s="28" t="str">
        <x:v>Not started</x:v>
      </x:c>
      <x:c r="L71" s="28" t="str">
        <x:v>Planned</x:v>
      </x:c>
      <x:c r="M71" s="36" t="str">
        <x:v>Sequence after spine review</x:v>
      </x:c>
    </x:row>
    <x:row r="72" ht="42" customHeight="1">
      <x:c r="A72" s="37" t="str">
        <x:v>NEO-MATH-FS-10</x:v>
      </x:c>
      <x:c r="B72" s="38" t="str">
        <x:v>Functional &amp; Applied Mathematics</x:v>
      </x:c>
      <x:c r="C72" s="38" t="str">
        <x:v>FS L1/L2 flexible</x:v>
      </x:c>
      <x:c r="D72" s="38" t="str">
        <x:v>Functional Skills Assessment Navigation</x:v>
      </x:c>
      <x:c r="E72" s="38" t="str">
        <x:v>Complete</x:v>
      </x:c>
      <x:c r="F72" s="38" t="str">
        <x:v>Planned</x:v>
      </x:c>
      <x:c r="G72" s="38" t="str">
        <x:v>Planned</x:v>
      </x:c>
      <x:c r="H72" s="38" t="str">
        <x:v>Planned</x:v>
      </x:c>
      <x:c r="I72" s="38" t="str">
        <x:v>Planned</x:v>
      </x:c>
      <x:c r="J72" s="38" t="str">
        <x:v>Planned</x:v>
      </x:c>
      <x:c r="K72" s="38" t="str">
        <x:v>Not started</x:v>
      </x:c>
      <x:c r="L72" s="38" t="str">
        <x:v>Planned</x:v>
      </x:c>
      <x:c r="M72" s="39" t="str">
        <x:v>Sequence after spine review</x:v>
      </x:c>
    </x:row>
  </x:sheetData>
  <x:mergeCells>
    <x:mergeCell ref="A1:M1"/>
    <x:mergeCell ref="A2:M2"/>
  </x:mergeCells>
  <x:conditionalFormatting sqref="E5:E72">
    <x:cfRule type="expression" dxfId="2" priority="1">
      <x:formula>E5="Locked prototype"</x:formula>
    </x:cfRule>
    <x:cfRule type="expression" dxfId="3" priority="2">
      <x:formula>OR(E5="Built",E5="Reviewed",E5="Complete")</x:formula>
    </x:cfRule>
  </x:conditionalFormatting>
  <x:conditionalFormatting sqref="F5:F72">
    <x:cfRule type="expression" dxfId="4" priority="3">
      <x:formula>F5="Locked prototype"</x:formula>
    </x:cfRule>
    <x:cfRule type="expression" dxfId="5" priority="4">
      <x:formula>OR(F5="Built",F5="Reviewed",F5="Complete")</x:formula>
    </x:cfRule>
  </x:conditionalFormatting>
  <x:conditionalFormatting sqref="G5:G72">
    <x:cfRule type="expression" dxfId="6" priority="5">
      <x:formula>G5="Locked prototype"</x:formula>
    </x:cfRule>
    <x:cfRule type="expression" dxfId="7" priority="6">
      <x:formula>OR(G5="Built",G5="Reviewed",G5="Complete")</x:formula>
    </x:cfRule>
  </x:conditionalFormatting>
  <x:conditionalFormatting sqref="H5:H72">
    <x:cfRule type="expression" dxfId="8" priority="7">
      <x:formula>H5="Locked prototype"</x:formula>
    </x:cfRule>
    <x:cfRule type="expression" dxfId="9" priority="8">
      <x:formula>OR(H5="Built",H5="Reviewed",H5="Complete")</x:formula>
    </x:cfRule>
  </x:conditionalFormatting>
  <x:conditionalFormatting sqref="I5:I72">
    <x:cfRule type="expression" dxfId="10" priority="9">
      <x:formula>I5="Locked prototype"</x:formula>
    </x:cfRule>
    <x:cfRule type="expression" dxfId="11" priority="10">
      <x:formula>OR(I5="Built",I5="Reviewed",I5="Complete")</x:formula>
    </x:cfRule>
  </x:conditionalFormatting>
  <x:conditionalFormatting sqref="J5:J72">
    <x:cfRule type="expression" dxfId="12" priority="11">
      <x:formula>J5="Locked prototype"</x:formula>
    </x:cfRule>
    <x:cfRule type="expression" dxfId="13" priority="12">
      <x:formula>OR(J5="Built",J5="Reviewed",J5="Complete")</x:formula>
    </x:cfRule>
  </x:conditionalFormatting>
  <x:conditionalFormatting sqref="K5:K72">
    <x:cfRule type="expression" dxfId="14" priority="13">
      <x:formula>K5="Locked prototype"</x:formula>
    </x:cfRule>
    <x:cfRule type="expression" dxfId="15" priority="14">
      <x:formula>OR(K5="Built",K5="Reviewed",K5="Complete")</x:formula>
    </x:cfRule>
  </x:conditionalFormatting>
  <x:conditionalFormatting sqref="L5:L72">
    <x:cfRule type="expression" dxfId="16" priority="15">
      <x:formula>L5="Locked prototype"</x:formula>
    </x:cfRule>
    <x:cfRule type="expression" dxfId="17" priority="16">
      <x:formula>OR(L5="Built",L5="Reviewed",L5="Complete")</x:formula>
    </x:cfRule>
  </x:conditionalFormatting>
  <x:dataValidations count="8">
    <x:dataValidation type="list" sqref="E5:E72">
      <x:formula1>"Not started,Planned,Designed,Built,HTML Built,Reviewed,Complete,Locked prototype"</x:formula1>
    </x:dataValidation>
    <x:dataValidation type="list" sqref="F5:F72">
      <x:formula1>"Not started,Planned,Designed,Built,HTML Built,Reviewed,Complete,Locked prototype"</x:formula1>
    </x:dataValidation>
    <x:dataValidation type="list" sqref="G5:G72">
      <x:formula1>"Not started,Planned,Designed,Built,HTML Built,Reviewed,Complete,Locked prototype"</x:formula1>
    </x:dataValidation>
    <x:dataValidation type="list" sqref="H5:H72">
      <x:formula1>"Not started,Planned,Designed,Built,HTML Built,Reviewed,Complete,Locked prototype"</x:formula1>
    </x:dataValidation>
    <x:dataValidation type="list" sqref="I5:I72">
      <x:formula1>"Not started,Planned,Designed,Built,HTML Built,Reviewed,Complete,Locked prototype"</x:formula1>
    </x:dataValidation>
    <x:dataValidation type="list" sqref="J5:J72">
      <x:formula1>"Not started,Planned,Designed,Built,HTML Built,Reviewed,Complete,Locked prototype"</x:formula1>
    </x:dataValidation>
    <x:dataValidation type="list" sqref="K5:K72">
      <x:formula1>"Not started,Planned,Designed,Built,HTML Built,Reviewed,Complete,Locked prototype"</x:formula1>
    </x:dataValidation>
    <x:dataValidation type="list" sqref="L5:L72">
      <x:formula1>"Not started,Planned,Designed,Built,HTML Built,Reviewed,Complete,Locked prototype"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8eed4fbe13473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3" max="3" width="38" hidden="0" customWidth="1"/>
    <x:col min="4" max="4" width="72" hidden="0" customWidth="1"/>
    <x:col min="5" max="5" width="34" hidden="0" customWidth="1"/>
    <x:col min="6" max="6" width="58" hidden="0" customWidth="1"/>
  </x:cols>
  <x:sheetData>
    <x:row r="1">
      <x:c r="A1" s="5" t="str">
        <x:v>Sources, Assumptions and Review Notes</x:v>
      </x:c>
      <x:c r="B1" s="5"/>
      <x:c r="C1" s="5"/>
      <x:c r="D1" s="5"/>
      <x:c r="E1" s="5"/>
      <x:c r="F1" s="5"/>
    </x:row>
    <x:row r="2">
      <x:c r="A2" s="12" t="str">
        <x:v>This workbook is a GreenPrint curriculum architecture draft. External specifications are overlays and must be checked at annual review or before formal assessment entry.</x:v>
      </x:c>
      <x:c r="B2" s="12"/>
      <x:c r="C2" s="12"/>
      <x:c r="D2" s="12"/>
      <x:c r="E2" s="12"/>
      <x:c r="F2" s="12"/>
    </x:row>
    <x:row r="4">
      <x:c r="A4" s="32" t="str">
        <x:v>Source / Decision</x:v>
      </x:c>
      <x:c r="B4" s="33" t="str">
        <x:v>Purpose in Workbook</x:v>
      </x:c>
      <x:c r="C4" s="33" t="str">
        <x:v>Authority / Status</x:v>
      </x:c>
      <x:c r="D4" s="33" t="str">
        <x:v>URL or File</x:v>
      </x:c>
      <x:c r="E4" s="33" t="str">
        <x:v>Review Date / Trigger</x:v>
      </x:c>
      <x:c r="F4" s="34" t="str">
        <x:v>Design Note</x:v>
      </x:c>
    </x:row>
    <x:row r="5" ht="72" customHeight="1">
      <x:c r="A5" s="35" t="str">
        <x:v>NEO Curriculum — Intent, Implementation and Impact v0.1</x:v>
      </x:c>
      <x:c r="B5" s="28" t="str">
        <x:v>Curriculum × Overlay architecture; modes; pathways; Mastery; portable evidence</x:v>
      </x:c>
      <x:c r="C5" s="28" t="str">
        <x:v>NEO working draft / greenprint</x:v>
      </x:c>
      <x:c r="D5" s="28" t="str">
        <x:v>Uploaded project file: NEO_Curriculum___Intent__Implementation_and_Impact_v0_1.md.pdf</x:v>
      </x:c>
      <x:c r="E5" s="28" t="str">
        <x:v>Interim September 2026; annual April review</x:v>
      </x:c>
      <x:c r="F5" s="36" t="str">
        <x:v>Connection before curriculum. Always. Qualification specifications describe assessment, not learning.</x:v>
      </x:c>
    </x:row>
    <x:row r="6" ht="72" customHeight="1">
      <x:c r="A6" s="35" t="str">
        <x:v>NEO Cornerstones in Mathematics</x:v>
      </x:c>
      <x:c r="B6" s="28" t="str">
        <x:v>Definitions and mathematical interpretation of six Cornerstones</x:v>
      </x:c>
      <x:c r="C6" s="28" t="str">
        <x:v>NEO working design reference</x:v>
      </x:c>
      <x:c r="D6" s="28" t="str">
        <x:v>Uploaded project file: NEO Cornerstones in Mathematics.pdf</x:v>
      </x:c>
      <x:c r="E6" s="28" t="str">
        <x:v>Review with Teaching and Learning Policy</x:v>
      </x:c>
      <x:c r="F6" s="36" t="str">
        <x:v>Fit is deliberately uneven; Nutrition should not be forced in abstract units.</x:v>
      </x:c>
    </x:row>
    <x:row r="7" ht="72" customHeight="1">
      <x:c r="A7" s="35" t="str">
        <x:v>National Curriculum in England: Mathematics programmes of study</x:v>
      </x:c>
      <x:c r="B7" s="28" t="str">
        <x:v>KS3 canonical learning source and progression principles</x:v>
      </x:c>
      <x:c r="C7" s="28" t="str">
        <x:v>Department for Education statutory programme of study</x:v>
      </x:c>
      <x:c r="D7" s="28" t="str">
        <x:v>https://www.gov.uk/government/publications/national-curriculum-in-england-mathematics-programmes-of-study/national-curriculum-in-england-mathematics-programmes-of-study</x:v>
      </x:c>
      <x:c r="E7" s="28" t="str">
        <x:v>Annual curriculum review or statutory change</x:v>
      </x:c>
      <x:c r="F7" s="36" t="str">
        <x:v>KS3 is interconnected; progression should reflect secure understanding and readiness.</x:v>
      </x:c>
    </x:row>
    <x:row r="8" ht="72" customHeight="1">
      <x:c r="A8" s="35" t="str">
        <x:v>Pearson Edexcel International GCSE Mathematics A (4MA1)</x:v>
      </x:c>
      <x:c r="B8" s="28" t="str">
        <x:v>Qualification overlay for NEO core academic maths pathway</x:v>
      </x:c>
      <x:c r="C8" s="28" t="str">
        <x:v>Pearson qualification specification / course page</x:v>
      </x:c>
      <x:c r="D8" s="28" t="str">
        <x:v>https://qualifications.pearson.com/en/qualifications/edexcel-international-gcses/international-gcse-mathematics-a-2016.html</x:v>
      </x:c>
      <x:c r="E8" s="28" t="str">
        <x:v>Before each annual KS4 map review and exam entry cycle</x:v>
      </x:c>
      <x:c r="F8" s="36" t="str">
        <x:v>NEO draft names 4MA1 Foundation/Higher. Current Pearson course page should be treated as source of truth.</x:v>
      </x:c>
    </x:row>
    <x:row r="9" ht="72" customHeight="1">
      <x:c r="A9" s="35" t="str">
        <x:v>Pearson Edexcel Functional Skills Mathematics (2019)</x:v>
      </x:c>
      <x:c r="B9" s="28" t="str">
        <x:v>Applied qualification overlay, Level 1 and Level 2</x:v>
      </x:c>
      <x:c r="C9" s="28" t="str">
        <x:v>Pearson accredited qualification page</x:v>
      </x:c>
      <x:c r="D9" s="28" t="str">
        <x:v>https://qualifications.pearson.com/en/qualifications/edexcel-functional-skills/maths-2019.html</x:v>
      </x:c>
      <x:c r="E9" s="28" t="str">
        <x:v>Before annual applied-pathway review; Pearson page currently lists review date 31 August 2028</x:v>
      </x:c>
      <x:c r="F9" s="36" t="str">
        <x:v>Three content areas: number; measures/shape/space; handling information/data. Problem solving is central.</x:v>
      </x:c>
    </x:row>
    <x:row r="10" ht="72" customHeight="1">
      <x:c r="A10" s="35" t="str">
        <x:v>Yr 6 + KS3_KS4 Maths SoW Verseal V3</x:v>
      </x:c>
      <x:c r="B10" s="28" t="str">
        <x:v>Legacy sequencing, misconceptions, diagnostic questions and topic order</x:v>
      </x:c>
      <x:c r="C10" s="28" t="str">
        <x:v>Uploaded internal working scheme of work</x:v>
      </x:c>
      <x:c r="D10" s="28" t="str">
        <x:v>Uploaded project file: Yr 6 + KS3_KS4_Maths_SoW_Verseal_V3.xlsx</x:v>
      </x:c>
      <x:c r="E10" s="28" t="str">
        <x:v>Superseded progressively by NEO canonical map</x:v>
      </x:c>
      <x:c r="F10" s="36" t="str">
        <x:v>Used as sequencing evidence; Ways of Knowing language retired in favour of Cornerstones.</x:v>
      </x:c>
    </x:row>
    <x:row r="11" ht="72" customHeight="1">
      <x:c r="A11" s="35" t="str">
        <x:v>Maths Progress International 11–14 Student Books Years 7–9</x:v>
      </x:c>
      <x:c r="B11" s="28" t="str">
        <x:v>Sequence anchor and topic-order cross-check</x:v>
      </x:c>
      <x:c r="C11" s="28" t="str">
        <x:v>Uploaded reference textbooks</x:v>
      </x:c>
      <x:c r="D11" s="28" t="str">
        <x:v>Uploaded project files: Years 7, 8 and 9 PDFs</x:v>
      </x:c>
      <x:c r="E11" s="28" t="str">
        <x:v>When revising KS3 sequence</x:v>
      </x:c>
      <x:c r="F11" s="36" t="str">
        <x:v>Used as a sequence reference, not copied as curriculum.</x:v>
      </x:c>
    </x:row>
    <x:row r="12" ht="72" customHeight="1">
      <x:c r="A12" s="35" t="str">
        <x:v>GreenPrint v0.4 locked design decisions</x:v>
      </x:c>
      <x:c r="B12" s="28" t="str">
        <x:v>Stepping Stones; lesson package; embedded Scratchpad; toolbar order; prototype standard</x:v>
      </x:c>
      <x:c r="C12" s="28" t="str">
        <x:v>NEO Mathematics Running Design Record</x:v>
      </x:c>
      <x:c r="D12" s="28" t="str">
        <x:v>NEO_Mathematics_Curriculum_GreenPrint_Running_Design_Record_v0.4.docx</x:v>
      </x:c>
      <x:c r="E12" s="28" t="str">
        <x:v>Carry forward to next GreenPrint version</x:v>
      </x:c>
      <x:c r="F12" s="36" t="str">
        <x:v>Standard package: Interactive Lesson, Practice Companion, Final Portfolio Task, Learner Guide, Supporting Adult Guidance.</x:v>
      </x:c>
    </x:row>
    <x:row r="13" ht="72" customHeight="1">
      <x:c r="A13" s="35" t="str">
        <x:v>Reference prototype: Ratio and Proportion v5</x:v>
      </x:c>
      <x:c r="B13" s="28" t="str">
        <x:v>Reference interaction, guidance and Scratchpad architecture</x:v>
      </x:c>
      <x:c r="C13" s="28" t="str">
        <x:v>Reviewed NEO prototype</x:v>
      </x:c>
      <x:c r="D13" s="28" t="str">
        <x:v>NEO_Maths_KS3_Ratio_Proportion_Interactive_v5.html</x:v>
      </x:c>
      <x:c r="E13" s="28" t="str">
        <x:v>Use as implementation benchmark</x:v>
      </x:c>
      <x:c r="F13" s="36" t="str">
        <x:v>Recipe Scaler, Ratio Table Builder, Smoothie Design, progressive practice and embedded Scratchpad.</x:v>
      </x:c>
    </x:row>
    <x:row r="14" ht="72" customHeight="1">
      <x:c r="A14" s="37" t="str">
        <x:v>Reference prototype: Straight-Line Graphs v5</x:v>
      </x:c>
      <x:c r="B14" s="38" t="str">
        <x:v>Reference dynamic graph and conjecture-before-reveal architecture</x:v>
      </x:c>
      <x:c r="C14" s="38" t="str">
        <x:v>Reviewed NEO prototype</x:v>
      </x:c>
      <x:c r="D14" s="38" t="str">
        <x:v>NEO_Maths_KS4_Straight_Line_Graphs_Interactive_v5.html</x:v>
      </x:c>
      <x:c r="E14" s="38" t="str">
        <x:v>Use as implementation benchmark</x:v>
      </x:c>
      <x:c r="F14" s="39" t="str">
        <x:v>Gradient Explorer, Matcher, Line Detective, Story Builder and coordinate Scratchpad.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5f120df0b0442e3"/>
  </x:tableParts>
</x:worksheet>
</file>